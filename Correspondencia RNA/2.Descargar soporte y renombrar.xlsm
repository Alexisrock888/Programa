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eyesc\Downloads\Correspondeica exportar\"/>
    </mc:Choice>
  </mc:AlternateContent>
  <xr:revisionPtr revIDLastSave="0" documentId="13_ncr:1_{3342EAF7-3E30-4875-B1E4-EF278E1CD983}" xr6:coauthVersionLast="47" xr6:coauthVersionMax="47" xr10:uidLastSave="{00000000-0000-0000-0000-000000000000}"/>
  <bookViews>
    <workbookView xWindow="28680" yWindow="-120" windowWidth="29040" windowHeight="15720" xr2:uid="{197B2736-BA65-4925-8FF0-4092F023E0B6}"/>
  </bookViews>
  <sheets>
    <sheet name="Hoja1" sheetId="1" r:id="rId1"/>
    <sheet name="Hoja2" sheetId="2" r:id="rId2"/>
    <sheet name="Hoja3" sheetId="3" r:id="rId3"/>
  </sheets>
  <functionGroups builtInGroupCount="19"/>
  <definedNames>
    <definedName name="_xlnm._FilterDatabase" localSheetId="1" hidden="1">Hoja2!$A$1:$E$32</definedName>
    <definedName name="_xlpm.n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77" i="1" l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A78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49" i="1"/>
  <c r="A50" i="1"/>
  <c r="A51" i="1"/>
  <c r="E2" i="3" a="1"/>
  <c r="E2" i="3" s="1"/>
  <c r="H41" i="1"/>
  <c r="H42" i="1"/>
  <c r="H43" i="1"/>
  <c r="H44" i="1"/>
  <c r="H45" i="1"/>
  <c r="H46" i="1"/>
  <c r="H47" i="1"/>
  <c r="B41" i="1"/>
  <c r="C41" i="1"/>
  <c r="D41" i="1"/>
  <c r="B42" i="1"/>
  <c r="C42" i="1"/>
  <c r="D42" i="1"/>
  <c r="B43" i="1"/>
  <c r="C43" i="1"/>
  <c r="D43" i="1"/>
  <c r="B44" i="1"/>
  <c r="C44" i="1"/>
  <c r="D44" i="1"/>
  <c r="B45" i="1"/>
  <c r="C45" i="1"/>
  <c r="D45" i="1"/>
  <c r="B46" i="1"/>
  <c r="C46" i="1"/>
  <c r="D46" i="1"/>
  <c r="B47" i="1"/>
  <c r="C47" i="1"/>
  <c r="D47" i="1"/>
  <c r="B48" i="1"/>
  <c r="C48" i="1"/>
  <c r="D48" i="1"/>
  <c r="A41" i="1"/>
  <c r="A42" i="1"/>
  <c r="A43" i="1"/>
  <c r="A44" i="1"/>
  <c r="A45" i="1"/>
  <c r="A46" i="1"/>
  <c r="A47" i="1"/>
  <c r="A48" i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E41" i="3" a="1"/>
  <c r="E41" i="3" s="1"/>
  <c r="E42" i="3" a="1"/>
  <c r="E42" i="3" s="1"/>
  <c r="E43" i="3" a="1"/>
  <c r="E43" i="3" s="1"/>
  <c r="E44" i="3" a="1"/>
  <c r="E44" i="3" s="1"/>
  <c r="E45" i="3" a="1"/>
  <c r="E45" i="3" s="1"/>
  <c r="E46" i="3" a="1"/>
  <c r="E46" i="3" s="1"/>
  <c r="E47" i="3" a="1"/>
  <c r="E47" i="3" s="1"/>
  <c r="E48" i="3" a="1"/>
  <c r="E48" i="3" s="1"/>
  <c r="E49" i="3" a="1"/>
  <c r="E49" i="3" s="1"/>
  <c r="E50" i="3" a="1"/>
  <c r="E50" i="3" s="1"/>
  <c r="E51" i="3" a="1"/>
  <c r="E51" i="3" s="1"/>
  <c r="E52" i="3" a="1"/>
  <c r="E52" i="3" s="1"/>
  <c r="E53" i="3" a="1"/>
  <c r="E53" i="3" s="1"/>
  <c r="E54" i="3" a="1"/>
  <c r="E54" i="3" s="1"/>
  <c r="E55" i="3" a="1"/>
  <c r="E55" i="3" s="1"/>
  <c r="E56" i="3" a="1"/>
  <c r="E56" i="3" s="1"/>
  <c r="E57" i="3" a="1"/>
  <c r="E57" i="3" s="1"/>
  <c r="E58" i="3" a="1"/>
  <c r="E58" i="3" s="1"/>
  <c r="E59" i="3" a="1"/>
  <c r="E59" i="3" s="1"/>
  <c r="E60" i="3" a="1"/>
  <c r="E60" i="3" s="1"/>
  <c r="E61" i="3" a="1"/>
  <c r="E61" i="3" s="1"/>
  <c r="E62" i="3" a="1"/>
  <c r="E62" i="3" s="1"/>
  <c r="E63" i="3" a="1"/>
  <c r="E63" i="3" s="1"/>
  <c r="E64" i="3" a="1"/>
  <c r="E64" i="3" s="1"/>
  <c r="E65" i="3" a="1"/>
  <c r="E65" i="3" s="1"/>
  <c r="E66" i="3" a="1"/>
  <c r="E66" i="3" s="1"/>
  <c r="E67" i="3" a="1"/>
  <c r="E67" i="3" s="1"/>
  <c r="E68" i="3" a="1"/>
  <c r="E68" i="3" s="1"/>
  <c r="E69" i="3" a="1"/>
  <c r="E69" i="3" s="1"/>
  <c r="E70" i="3" a="1"/>
  <c r="E70" i="3" s="1"/>
  <c r="E71" i="3" a="1"/>
  <c r="E71" i="3" s="1"/>
  <c r="E72" i="3" a="1"/>
  <c r="E72" i="3" s="1"/>
  <c r="E73" i="3" a="1"/>
  <c r="E73" i="3" s="1"/>
  <c r="E74" i="3" a="1"/>
  <c r="E74" i="3" s="1"/>
  <c r="E75" i="3" a="1"/>
  <c r="E75" i="3" s="1"/>
  <c r="E76" i="3" a="1"/>
  <c r="E76" i="3" s="1"/>
  <c r="E77" i="3" a="1"/>
  <c r="E77" i="3" s="1"/>
  <c r="E78" i="3" a="1"/>
  <c r="E78" i="3" s="1"/>
  <c r="E79" i="3" a="1"/>
  <c r="E79" i="3" s="1"/>
  <c r="E80" i="3" a="1"/>
  <c r="E80" i="3" s="1"/>
  <c r="E81" i="3" a="1"/>
  <c r="E81" i="3" s="1"/>
  <c r="E82" i="3" a="1"/>
  <c r="E82" i="3" s="1"/>
  <c r="E83" i="3" a="1"/>
  <c r="E83" i="3" s="1"/>
  <c r="E84" i="3" a="1"/>
  <c r="E84" i="3" s="1"/>
  <c r="E85" i="3" a="1"/>
  <c r="E85" i="3" s="1"/>
  <c r="E86" i="3" a="1"/>
  <c r="E86" i="3" s="1"/>
  <c r="E87" i="3" a="1"/>
  <c r="E87" i="3" s="1"/>
  <c r="E88" i="3" a="1"/>
  <c r="E88" i="3" s="1"/>
  <c r="E89" i="3" a="1"/>
  <c r="E89" i="3" s="1"/>
  <c r="E90" i="3" a="1"/>
  <c r="E90" i="3" s="1"/>
  <c r="E91" i="3" a="1"/>
  <c r="E91" i="3" s="1"/>
  <c r="E92" i="3" a="1"/>
  <c r="E92" i="3" s="1"/>
  <c r="E93" i="3" a="1"/>
  <c r="E93" i="3" s="1"/>
  <c r="E94" i="3" a="1"/>
  <c r="E94" i="3" s="1"/>
  <c r="E95" i="3" a="1"/>
  <c r="E95" i="3" s="1"/>
  <c r="E96" i="3" a="1"/>
  <c r="E96" i="3" s="1"/>
  <c r="E97" i="3" a="1"/>
  <c r="E97" i="3" s="1"/>
  <c r="E98" i="3" a="1"/>
  <c r="E98" i="3" s="1"/>
  <c r="E99" i="3" a="1"/>
  <c r="E99" i="3" s="1"/>
  <c r="E100" i="3" a="1"/>
  <c r="E100" i="3" s="1"/>
  <c r="H40" i="1"/>
  <c r="H39" i="1"/>
  <c r="H38" i="1"/>
  <c r="H37" i="1"/>
  <c r="H36" i="1"/>
  <c r="H35" i="1"/>
  <c r="H34" i="1"/>
  <c r="H33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C40" i="1"/>
  <c r="D40" i="1"/>
  <c r="A33" i="1"/>
  <c r="A34" i="1"/>
  <c r="A35" i="1"/>
  <c r="A36" i="1"/>
  <c r="A37" i="1"/>
  <c r="A38" i="1"/>
  <c r="A39" i="1"/>
  <c r="A40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2" i="1"/>
  <c r="A2" i="1" l="1"/>
  <c r="E29" i="3" a="1"/>
  <c r="E29" i="3" s="1"/>
  <c r="E30" i="3" a="1"/>
  <c r="E30" i="3" s="1"/>
  <c r="E31" i="3" a="1"/>
  <c r="E31" i="3" s="1"/>
  <c r="E3" i="3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27" i="3" a="1"/>
  <c r="E27" i="3" s="1"/>
  <c r="E28" i="3" a="1"/>
  <c r="E28" i="3" s="1"/>
  <c r="A32" i="1"/>
  <c r="A31" i="1"/>
  <c r="H32" i="1"/>
  <c r="B32" i="1"/>
  <c r="D3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2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A19" i="1"/>
  <c r="A20" i="1"/>
  <c r="A21" i="1"/>
  <c r="A22" i="1"/>
  <c r="A23" i="1"/>
  <c r="A24" i="1"/>
  <c r="A25" i="1"/>
  <c r="A26" i="1"/>
  <c r="A27" i="1"/>
  <c r="A28" i="1"/>
  <c r="A29" i="1"/>
  <c r="A30" i="1"/>
  <c r="B12" i="1"/>
  <c r="D12" i="1"/>
  <c r="B13" i="1"/>
  <c r="D13" i="1"/>
  <c r="B14" i="1"/>
  <c r="D14" i="1"/>
  <c r="B15" i="1"/>
  <c r="D15" i="1"/>
  <c r="B16" i="1"/>
  <c r="D16" i="1"/>
  <c r="B17" i="1"/>
  <c r="D17" i="1"/>
  <c r="B18" i="1"/>
  <c r="D18" i="1"/>
  <c r="A12" i="1"/>
  <c r="A13" i="1"/>
  <c r="A14" i="1"/>
  <c r="A15" i="1"/>
  <c r="A16" i="1"/>
  <c r="A17" i="1"/>
  <c r="A18" i="1"/>
  <c r="B2" i="1"/>
  <c r="D2" i="1"/>
  <c r="A3" i="1"/>
  <c r="B3" i="1"/>
  <c r="D3" i="1"/>
  <c r="A4" i="1"/>
  <c r="B4" i="1"/>
  <c r="D4" i="1"/>
  <c r="A5" i="1"/>
  <c r="B5" i="1"/>
  <c r="D5" i="1"/>
  <c r="A6" i="1"/>
  <c r="B6" i="1"/>
  <c r="D6" i="1"/>
  <c r="A7" i="1"/>
  <c r="B7" i="1"/>
  <c r="D7" i="1"/>
  <c r="A8" i="1"/>
  <c r="B8" i="1"/>
  <c r="D8" i="1"/>
  <c r="A9" i="1"/>
  <c r="B9" i="1"/>
  <c r="D9" i="1"/>
  <c r="A10" i="1"/>
  <c r="B10" i="1"/>
  <c r="D10" i="1"/>
  <c r="A11" i="1"/>
  <c r="B11" i="1"/>
  <c r="D11" i="1"/>
  <c r="I57" i="1" l="1"/>
  <c r="F77" i="1"/>
  <c r="I77" i="1"/>
  <c r="F64" i="1"/>
  <c r="I65" i="1"/>
  <c r="I69" i="1"/>
  <c r="I61" i="1"/>
  <c r="F53" i="1"/>
  <c r="F57" i="1"/>
  <c r="F69" i="1"/>
  <c r="F73" i="1"/>
  <c r="F49" i="1"/>
  <c r="I50" i="1"/>
  <c r="I54" i="1"/>
  <c r="I73" i="1"/>
  <c r="F65" i="1"/>
  <c r="I66" i="1"/>
  <c r="I70" i="1"/>
  <c r="F61" i="1"/>
  <c r="I62" i="1"/>
  <c r="F54" i="1"/>
  <c r="F58" i="1"/>
  <c r="F50" i="1"/>
  <c r="F70" i="1"/>
  <c r="F74" i="1"/>
  <c r="I58" i="1"/>
  <c r="F66" i="1"/>
  <c r="I51" i="1"/>
  <c r="I55" i="1"/>
  <c r="I74" i="1"/>
  <c r="I63" i="1"/>
  <c r="I67" i="1"/>
  <c r="I71" i="1"/>
  <c r="F62" i="1"/>
  <c r="F51" i="1"/>
  <c r="F55" i="1"/>
  <c r="F59" i="1"/>
  <c r="I59" i="1"/>
  <c r="F67" i="1"/>
  <c r="F71" i="1"/>
  <c r="F75" i="1"/>
  <c r="I75" i="1"/>
  <c r="I48" i="1"/>
  <c r="I52" i="1"/>
  <c r="I56" i="1"/>
  <c r="F63" i="1"/>
  <c r="I64" i="1"/>
  <c r="I68" i="1"/>
  <c r="I72" i="1"/>
  <c r="I60" i="1"/>
  <c r="F52" i="1"/>
  <c r="F56" i="1"/>
  <c r="F60" i="1"/>
  <c r="I76" i="1"/>
  <c r="F68" i="1"/>
  <c r="F72" i="1"/>
  <c r="F76" i="1"/>
  <c r="F48" i="1"/>
  <c r="I49" i="1"/>
  <c r="I53" i="1"/>
  <c r="I44" i="1"/>
  <c r="I42" i="1"/>
  <c r="I46" i="1"/>
  <c r="F42" i="1"/>
  <c r="F46" i="1"/>
  <c r="I47" i="1"/>
  <c r="I41" i="1"/>
  <c r="F44" i="1"/>
  <c r="F47" i="1"/>
  <c r="F45" i="1"/>
  <c r="I45" i="1"/>
  <c r="F43" i="1"/>
  <c r="F41" i="1"/>
  <c r="I43" i="1"/>
  <c r="F34" i="1"/>
  <c r="I33" i="1"/>
  <c r="I34" i="1"/>
  <c r="I37" i="1"/>
  <c r="I40" i="1"/>
  <c r="F35" i="1"/>
  <c r="I38" i="1"/>
  <c r="F33" i="1"/>
  <c r="I39" i="1"/>
  <c r="I35" i="1"/>
  <c r="I36" i="1"/>
  <c r="F38" i="1"/>
  <c r="F37" i="1"/>
  <c r="F36" i="1"/>
  <c r="F40" i="1"/>
  <c r="F39" i="1"/>
  <c r="F11" i="1"/>
  <c r="F14" i="1"/>
  <c r="F8" i="1"/>
  <c r="F21" i="1"/>
  <c r="F20" i="1"/>
  <c r="F15" i="1"/>
  <c r="F16" i="1"/>
  <c r="F4" i="1"/>
  <c r="F25" i="1"/>
  <c r="F6" i="1"/>
  <c r="F13" i="1"/>
  <c r="F30" i="1"/>
  <c r="F12" i="1"/>
  <c r="F29" i="1"/>
  <c r="F5" i="1"/>
  <c r="F28" i="1"/>
  <c r="F2" i="1"/>
  <c r="F7" i="1"/>
  <c r="F17" i="1"/>
  <c r="F10" i="1"/>
  <c r="F27" i="1"/>
  <c r="F9" i="1"/>
  <c r="F24" i="1"/>
  <c r="F23" i="1"/>
  <c r="F31" i="1"/>
  <c r="F18" i="1"/>
  <c r="F19" i="1"/>
  <c r="F26" i="1"/>
  <c r="F3" i="1"/>
  <c r="F22" i="1"/>
  <c r="F32" i="1"/>
  <c r="I3" i="1"/>
  <c r="I16" i="1"/>
  <c r="I2" i="1"/>
  <c r="I18" i="1"/>
  <c r="I17" i="1"/>
  <c r="I32" i="1"/>
  <c r="I31" i="1"/>
  <c r="I15" i="1"/>
  <c r="I30" i="1"/>
  <c r="I14" i="1"/>
  <c r="I29" i="1"/>
  <c r="I13" i="1"/>
  <c r="I28" i="1"/>
  <c r="I12" i="1"/>
  <c r="I27" i="1"/>
  <c r="I11" i="1"/>
  <c r="I26" i="1"/>
  <c r="I10" i="1"/>
  <c r="I25" i="1"/>
  <c r="I9" i="1"/>
  <c r="I24" i="1"/>
  <c r="I8" i="1"/>
  <c r="I23" i="1"/>
  <c r="I7" i="1"/>
  <c r="I22" i="1"/>
  <c r="I6" i="1"/>
  <c r="I21" i="1"/>
  <c r="I5" i="1"/>
  <c r="I20" i="1"/>
  <c r="I4" i="1"/>
  <c r="I19" i="1"/>
  <c r="J24" i="1" l="1"/>
  <c r="G24" i="1" s="1"/>
  <c r="J61" i="1"/>
  <c r="G61" i="1" s="1"/>
  <c r="J9" i="1"/>
  <c r="G9" i="1" s="1"/>
  <c r="J15" i="1"/>
  <c r="G15" i="1" s="1"/>
  <c r="J35" i="1"/>
  <c r="G35" i="1" s="1"/>
  <c r="J42" i="1"/>
  <c r="G42" i="1" s="1"/>
  <c r="J27" i="1"/>
  <c r="G27" i="1" s="1"/>
  <c r="J20" i="1"/>
  <c r="G20" i="1" s="1"/>
  <c r="J46" i="1"/>
  <c r="G46" i="1" s="1"/>
  <c r="J10" i="1"/>
  <c r="G10" i="1" s="1"/>
  <c r="J21" i="1"/>
  <c r="G21" i="1" s="1"/>
  <c r="J63" i="1"/>
  <c r="G63" i="1" s="1"/>
  <c r="J65" i="1"/>
  <c r="G65" i="1" s="1"/>
  <c r="J17" i="1"/>
  <c r="G17" i="1" s="1"/>
  <c r="J8" i="1"/>
  <c r="G8" i="1" s="1"/>
  <c r="J7" i="1"/>
  <c r="G7" i="1" s="1"/>
  <c r="J14" i="1"/>
  <c r="G14" i="1" s="1"/>
  <c r="J11" i="1"/>
  <c r="G11" i="1" s="1"/>
  <c r="J34" i="1"/>
  <c r="G34" i="1" s="1"/>
  <c r="J66" i="1"/>
  <c r="G66" i="1" s="1"/>
  <c r="J28" i="1"/>
  <c r="G28" i="1" s="1"/>
  <c r="J39" i="1"/>
  <c r="G39" i="1" s="1"/>
  <c r="J48" i="1"/>
  <c r="G48" i="1" s="1"/>
  <c r="J49" i="1"/>
  <c r="G49" i="1" s="1"/>
  <c r="J32" i="1"/>
  <c r="G32" i="1" s="1"/>
  <c r="J5" i="1"/>
  <c r="G5" i="1" s="1"/>
  <c r="J40" i="1"/>
  <c r="G40" i="1" s="1"/>
  <c r="J41" i="1"/>
  <c r="G41" i="1" s="1"/>
  <c r="J76" i="1"/>
  <c r="G76" i="1" s="1"/>
  <c r="J75" i="1"/>
  <c r="G75" i="1" s="1"/>
  <c r="J74" i="1"/>
  <c r="G74" i="1" s="1"/>
  <c r="J73" i="1"/>
  <c r="G73" i="1" s="1"/>
  <c r="J22" i="1"/>
  <c r="G22" i="1" s="1"/>
  <c r="J29" i="1"/>
  <c r="G29" i="1" s="1"/>
  <c r="J36" i="1"/>
  <c r="G36" i="1" s="1"/>
  <c r="J43" i="1"/>
  <c r="G43" i="1" s="1"/>
  <c r="J72" i="1"/>
  <c r="G72" i="1" s="1"/>
  <c r="J71" i="1"/>
  <c r="G71" i="1" s="1"/>
  <c r="J70" i="1"/>
  <c r="G70" i="1" s="1"/>
  <c r="J69" i="1"/>
  <c r="G69" i="1" s="1"/>
  <c r="J16" i="1"/>
  <c r="G16" i="1" s="1"/>
  <c r="J3" i="1"/>
  <c r="G3" i="1" s="1"/>
  <c r="J12" i="1"/>
  <c r="G12" i="1" s="1"/>
  <c r="J37" i="1"/>
  <c r="G37" i="1" s="1"/>
  <c r="J68" i="1"/>
  <c r="G68" i="1" s="1"/>
  <c r="J67" i="1"/>
  <c r="G67" i="1" s="1"/>
  <c r="J50" i="1"/>
  <c r="G50" i="1" s="1"/>
  <c r="J57" i="1"/>
  <c r="G57" i="1" s="1"/>
  <c r="J30" i="1"/>
  <c r="G30" i="1" s="1"/>
  <c r="J38" i="1"/>
  <c r="G38" i="1" s="1"/>
  <c r="J45" i="1"/>
  <c r="G45" i="1" s="1"/>
  <c r="J77" i="1"/>
  <c r="G77" i="1" s="1"/>
  <c r="J53" i="1"/>
  <c r="G53" i="1" s="1"/>
  <c r="J19" i="1"/>
  <c r="G19" i="1" s="1"/>
  <c r="J13" i="1"/>
  <c r="G13" i="1" s="1"/>
  <c r="J47" i="1"/>
  <c r="G47" i="1" s="1"/>
  <c r="J60" i="1"/>
  <c r="G60" i="1" s="1"/>
  <c r="J59" i="1"/>
  <c r="G59" i="1" s="1"/>
  <c r="J18" i="1"/>
  <c r="G18" i="1" s="1"/>
  <c r="J6" i="1"/>
  <c r="G6" i="1" s="1"/>
  <c r="J44" i="1"/>
  <c r="G44" i="1" s="1"/>
  <c r="J56" i="1"/>
  <c r="G56" i="1" s="1"/>
  <c r="J55" i="1"/>
  <c r="G55" i="1" s="1"/>
  <c r="J58" i="1"/>
  <c r="G58" i="1" s="1"/>
  <c r="J31" i="1"/>
  <c r="G31" i="1" s="1"/>
  <c r="J25" i="1"/>
  <c r="G25" i="1" s="1"/>
  <c r="J52" i="1"/>
  <c r="G52" i="1" s="1"/>
  <c r="J51" i="1"/>
  <c r="G51" i="1" s="1"/>
  <c r="J54" i="1"/>
  <c r="G54" i="1" s="1"/>
  <c r="J26" i="1"/>
  <c r="G26" i="1" s="1"/>
  <c r="J23" i="1"/>
  <c r="G23" i="1" s="1"/>
  <c r="J4" i="1"/>
  <c r="G4" i="1" s="1"/>
  <c r="J33" i="1"/>
  <c r="G33" i="1" s="1"/>
  <c r="J62" i="1"/>
  <c r="G62" i="1" s="1"/>
  <c r="J64" i="1"/>
  <c r="G64" i="1" s="1"/>
  <c r="J2" i="1"/>
  <c r="G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<sst xmlns="http://schemas.openxmlformats.org/spreadsheetml/2006/main" count="28" uniqueCount="23">
  <si>
    <t>Para</t>
  </si>
  <si>
    <t>Asunto</t>
  </si>
  <si>
    <t>Hora/minuto</t>
  </si>
  <si>
    <t>Tamaño</t>
  </si>
  <si>
    <t>Fecha envio correo</t>
  </si>
  <si>
    <t>Cedula a enviar</t>
  </si>
  <si>
    <t>Nombre archivo</t>
  </si>
  <si>
    <t>Noti</t>
  </si>
  <si>
    <t>Acta</t>
  </si>
  <si>
    <t>Repetidas</t>
  </si>
  <si>
    <t>Enviado el</t>
  </si>
  <si>
    <t>Categorías</t>
  </si>
  <si>
    <t>Correo</t>
  </si>
  <si>
    <t>Cedula</t>
  </si>
  <si>
    <t>Codigo tramite</t>
  </si>
  <si>
    <t>Acta RNA</t>
  </si>
  <si>
    <t>Correo de hoja 2</t>
  </si>
  <si>
    <t>'alexisrock888@gmail.com'</t>
  </si>
  <si>
    <t>Notificación de resolución de archivo de trámite ante la URNA</t>
  </si>
  <si>
    <t>'alexisreyes.c81@gmail.com'</t>
  </si>
  <si>
    <t>alexisrock888@gmail.com</t>
  </si>
  <si>
    <t>alexisreyes.c81@gmail.com</t>
  </si>
  <si>
    <t>1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</si>
</sst>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theme="1"/>
      </patternFill>
    </fill>
    <fill>
      <patternFill patternType="solid">
        <fgColor rgb="FFFF0000"/>
        <bgColor theme="1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18" fontId="0" fillId="0" borderId="0" xfId="0" applyNumberFormat="1"/>
    <xf numFmtId="49" fontId="0" fillId="0" borderId="0" xfId="0" applyNumberFormat="1"/>
    <xf numFmtId="49" fontId="3" fillId="0" borderId="0" xfId="1" applyNumberForma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6" borderId="0" xfId="0" applyFill="1"/>
    <xf numFmtId="49" fontId="4" fillId="0" borderId="4" xfId="0" applyNumberFormat="1" applyFont="1" applyBorder="1"/>
    <xf numFmtId="0" fontId="3" fillId="0" borderId="0" xfId="1" quotePrefix="1" applyBorder="1"/>
    <xf numFmtId="0" fontId="0" fillId="0" borderId="0" xfId="0" applyAlignment="1">
      <alignment horizontal="center"/>
    </xf>
    <xf numFmtId="164" fontId="2" fillId="3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3" fillId="0" borderId="0" xfId="1" applyBorder="1"/>
    <xf numFmtId="0" fontId="0" fillId="3" borderId="0" xfId="0" applyFill="1"/>
    <xf numFmtId="0" fontId="0" fillId="0" borderId="0" xfId="0" applyFill="1"/>
    <xf numFmtId="16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/>
    <xf numFmtId="49" fontId="3" fillId="0" borderId="0" xfId="1" quotePrefix="1" applyNumberFormat="1" applyBorder="1"/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28576</xdr:rowOff>
    </xdr:from>
    <xdr:to>
      <xdr:col>13</xdr:col>
      <xdr:colOff>247651</xdr:colOff>
      <xdr:row>0</xdr:row>
      <xdr:rowOff>361950</xdr:rowOff>
    </xdr:to>
    <xdr:sp macro="[0]!ExportarCorreos_ConNombreArchivo" textlink="">
      <xdr:nvSpPr>
        <xdr:cNvPr id="2" name="Rectángulo 1">
          <a:extLst>
            <a:ext uri="{FF2B5EF4-FFF2-40B4-BE49-F238E27FC236}">
              <a16:creationId xmlns:a16="http://schemas.microsoft.com/office/drawing/2014/main" id="{679C64C6-DE68-4CB5-9CA1-058847F1D615}"/>
            </a:ext>
          </a:extLst>
        </xdr:cNvPr>
        <xdr:cNvSpPr/>
      </xdr:nvSpPr>
      <xdr:spPr>
        <a:xfrm>
          <a:off x="17897475" y="28576"/>
          <a:ext cx="1285876" cy="333374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Exportar</a:t>
          </a:r>
          <a:r>
            <a:rPr lang="es-CO" sz="1100" baseline="0"/>
            <a:t> PDFS</a:t>
          </a:r>
          <a:endParaRPr lang="es-CO" sz="1100"/>
        </a:p>
      </xdr:txBody>
    </xdr:sp>
    <xdr:clientData/>
  </xdr:twoCellAnchor>
  <xdr:twoCellAnchor>
    <xdr:from>
      <xdr:col>10</xdr:col>
      <xdr:colOff>228601</xdr:colOff>
      <xdr:row>0</xdr:row>
      <xdr:rowOff>38100</xdr:rowOff>
    </xdr:from>
    <xdr:to>
      <xdr:col>11</xdr:col>
      <xdr:colOff>228601</xdr:colOff>
      <xdr:row>0</xdr:row>
      <xdr:rowOff>352425</xdr:rowOff>
    </xdr:to>
    <xdr:sp macro="[0]!QuitarRellenosDesdeFila2" textlink="">
      <xdr:nvSpPr>
        <xdr:cNvPr id="4" name="Rectángulo 3">
          <a:extLst>
            <a:ext uri="{FF2B5EF4-FFF2-40B4-BE49-F238E27FC236}">
              <a16:creationId xmlns:a16="http://schemas.microsoft.com/office/drawing/2014/main" id="{58FA6B6C-93F4-4BB1-AE83-5E164E3FCD35}"/>
            </a:ext>
          </a:extLst>
        </xdr:cNvPr>
        <xdr:cNvSpPr/>
      </xdr:nvSpPr>
      <xdr:spPr>
        <a:xfrm>
          <a:off x="16878301" y="38100"/>
          <a:ext cx="762000" cy="3143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lexisrock888@gmail.com" TargetMode="External"/><Relationship Id="rId1" Type="http://schemas.openxmlformats.org/officeDocument/2006/relationships/hyperlink" Target="mailto:alexisreyes.c8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6C54E-5717-47C8-86CF-4C336229D84B}">
  <sheetPr codeName="Hoja1"/>
  <dimension ref="A1:Z78"/>
  <sheetViews>
    <sheetView tabSelected="1" workbookViewId="0">
      <pane ySplit="1" topLeftCell="A2" activePane="bottomLeft" state="frozen"/>
      <selection pane="bottomLeft" activeCell="C1" sqref="C1"/>
    </sheetView>
  </sheetViews>
  <sheetFormatPr baseColWidth="10" defaultColWidth="11.42578125" defaultRowHeight="15" x14ac:dyDescent="0.25"/>
  <cols>
    <col min="1" max="1" width="70.42578125" bestFit="1" customWidth="1"/>
    <col min="2" max="2" width="28.28515625" customWidth="1"/>
    <col min="3" max="3" width="28.28515625" style="19" customWidth="1"/>
    <col min="4" max="4" width="11.42578125" customWidth="1"/>
    <col min="5" max="5" width="19.7109375" bestFit="1" customWidth="1"/>
    <col min="6" max="6" width="16.140625" bestFit="1" customWidth="1"/>
    <col min="7" max="7" width="43" bestFit="1" customWidth="1"/>
    <col min="8" max="8" width="5.28515625" style="17" bestFit="1" customWidth="1"/>
    <col min="9" max="9" width="19.140625" bestFit="1" customWidth="1"/>
    <col min="10" max="10" width="10.5703125" bestFit="1" customWidth="1"/>
  </cols>
  <sheetData>
    <row r="1" spans="1:26" s="1" customFormat="1" ht="29.25" customHeight="1" x14ac:dyDescent="0.25">
      <c r="A1" s="4" t="s">
        <v>0</v>
      </c>
      <c r="B1" s="4" t="s">
        <v>1</v>
      </c>
      <c r="C1" s="18" t="s">
        <v>2</v>
      </c>
      <c r="D1" s="2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</row>
    <row r="2" spans="1:26" s="14" customFormat="1" x14ac:dyDescent="0.25">
      <c r="A2" s="14" t="str">
        <f>IF(Hoja2!A2="","",Hoja2!A2)</f>
        <v>'alexisrock888@gmail.com'</v>
      </c>
      <c r="B2" s="14" t="str">
        <f>IF(Hoja2!B2="","",Hoja2!B2)</f>
        <v>Notificación de resolución de archivo de trámite ante la URNA</v>
      </c>
      <c r="C2" s="29">
        <f>IF(Hoja2!C2="","",Hoja2!C2)</f>
        <v>0.49722222222222223</v>
      </c>
      <c r="D2" s="30" t="str">
        <f>IF(Hoja2!D2="","",Hoja2!D2)</f>
        <v>1 MB</v>
      </c>
      <c r="E2" s="31">
        <v>46185</v>
      </c>
      <c r="F2" s="14">
        <f>IFERROR(
    INDEX(Hoja3!B:B, MATCH(A2, Hoja3!E:E, 0)),
    IFERROR(
        INDEX(Hoja3!B:B, MATCH(A2, Hoja3!A:A, 0)),
        "## No encontrado ##"
    )
)</f>
        <v>5307571</v>
      </c>
      <c r="G2" s="14" t="str">
        <f>F2&amp;"_"&amp;H2&amp;"_"&amp;I2&amp;J2</f>
        <v>5307571_16_7693</v>
      </c>
      <c r="H2" s="32">
        <f>Hoja3!C2</f>
        <v>16</v>
      </c>
      <c r="I2" s="14">
        <f>IFERROR(
    INDEX(Hoja3!D:D, MATCH(A2, Hoja3!E:E, 0)),
    IFERROR(
        INDEX(Hoja3!D:D, MATCH(A2, Hoja3!A:A, 0)),
        "## No encontrado ##"
    )
)</f>
        <v>7693</v>
      </c>
      <c r="J2" s="14" t="str">
        <f>IF(COUNTIF($F$2:F2,F2)=1, "",
  IF(COUNTIF($F$2:F2,F2)=2, "c",
    "c" &amp; (COUNTIF($F$2:F2,F2)-2)))</f>
        <v/>
      </c>
    </row>
    <row r="3" spans="1:26" s="14" customFormat="1" x14ac:dyDescent="0.25">
      <c r="A3" s="14" t="str">
        <f>IF(Hoja2!A3="","",Hoja2!A3)</f>
        <v>'alexisreyes.c81@gmail.com'</v>
      </c>
      <c r="B3" s="14" t="str">
        <f>IF(Hoja2!B3="","",Hoja2!B3)</f>
        <v>Notificación de resolución de archivo de trámite ante la URNA</v>
      </c>
      <c r="C3" s="29">
        <f>IF(Hoja2!C3="","",Hoja2!C3)</f>
        <v>0.49722222222222223</v>
      </c>
      <c r="D3" s="30" t="str">
        <f>IF(Hoja2!D3="","",Hoja2!D3)</f>
        <v>1 MB</v>
      </c>
      <c r="E3" s="31">
        <v>46185</v>
      </c>
      <c r="F3" s="14">
        <f>IFERROR(
    INDEX(Hoja3!B:B, MATCH(A3, Hoja3!E:E, 0)),
    IFERROR(
        INDEX(Hoja3!B:B, MATCH(A3, Hoja3!A:A, 0)),
        "## No encontrado ##"
    )
)</f>
        <v>1026564480</v>
      </c>
      <c r="G3" s="14" t="str">
        <f t="shared" ref="G3:G66" si="0">F3&amp;"_"&amp;H3&amp;"_"&amp;I3&amp;J3</f>
        <v>1026564480_16_7480</v>
      </c>
      <c r="H3" s="32">
        <f>Hoja3!C3</f>
        <v>16</v>
      </c>
      <c r="I3" s="14">
        <f>IFERROR(
    INDEX(Hoja3!D:D, MATCH(A3, Hoja3!E:E, 0)),
    IFERROR(
        INDEX(Hoja3!D:D, MATCH(A3, Hoja3!A:A, 0)),
        "## No encontrado ##"
    )
)</f>
        <v>7480</v>
      </c>
      <c r="J3" s="14" t="str">
        <f>IF(COUNTIF($F$2:F3,F3)=1, "",
  IF(COUNTIF($F$2:F3,F3)=2, "c",
    "c" &amp; (COUNTIF($F$2:F3,F3)-2)))</f>
        <v/>
      </c>
    </row>
    <row r="4" spans="1:26" s="14" customFormat="1" x14ac:dyDescent="0.25">
      <c r="A4" s="22" t="str">
        <f>IF(Hoja2!A4="","",Hoja2!A4)</f>
        <v/>
      </c>
      <c r="B4" s="22" t="str">
        <f>IF(Hoja2!B4="","",Hoja2!B4)</f>
        <v/>
      </c>
      <c r="C4" s="23" t="str">
        <f>IF(Hoja2!C4="","",Hoja2!C4)</f>
        <v/>
      </c>
      <c r="D4" s="24" t="str">
        <f>IF(Hoja2!D4="","",Hoja2!D4)</f>
        <v/>
      </c>
      <c r="E4" s="25">
        <v>46020</v>
      </c>
      <c r="F4" s="22" t="str">
        <f>IFERROR(
    INDEX(Hoja3!B:B, MATCH(A4, Hoja3!E:E, 0)),
    IFERROR(
        INDEX(Hoja3!B:B, MATCH(A4, Hoja3!A:A, 0)),
        "## No encontrado ##"
    )
)</f>
        <v>## No encontrado ##</v>
      </c>
      <c r="G4" s="22" t="str">
        <f t="shared" si="0"/>
        <v>## No encontrado ##_16_## No encontrado ##</v>
      </c>
      <c r="H4" s="26">
        <f>Hoja3!C4</f>
        <v>16</v>
      </c>
      <c r="I4" s="22" t="str">
        <f>IFERROR(
    INDEX(Hoja3!D:D, MATCH(A4, Hoja3!E:E, 0)),
    IFERROR(
        INDEX(Hoja3!D:D, MATCH(A4, Hoja3!A:A, 0)),
        "## No encontrado ##"
    )
)</f>
        <v>## No encontrado ##</v>
      </c>
      <c r="J4" s="22" t="str">
        <f>IF(COUNTIF($F$2:F4,F4)=1, "",
  IF(COUNTIF($F$2:F4,F4)=2, "c",
    "c" &amp; (COUNTIF($F$2:F4,F4)-2)))</f>
        <v/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spans="1:26" s="14" customFormat="1" x14ac:dyDescent="0.25">
      <c r="A5" s="22" t="str">
        <f>IF(Hoja2!A5="","",Hoja2!A5)</f>
        <v/>
      </c>
      <c r="B5" s="22" t="str">
        <f>IF(Hoja2!B5="","",Hoja2!B5)</f>
        <v/>
      </c>
      <c r="C5" s="23" t="str">
        <f>IF(Hoja2!C5="","",Hoja2!C5)</f>
        <v/>
      </c>
      <c r="D5" s="24" t="str">
        <f>IF(Hoja2!D5="","",Hoja2!D5)</f>
        <v/>
      </c>
      <c r="E5" s="25">
        <v>46020</v>
      </c>
      <c r="F5" s="22" t="str">
        <f>IFERROR(
    INDEX(Hoja3!B:B, MATCH(A5, Hoja3!E:E, 0)),
    IFERROR(
        INDEX(Hoja3!B:B, MATCH(A5, Hoja3!A:A, 0)),
        "## No encontrado ##"
    )
)</f>
        <v>## No encontrado ##</v>
      </c>
      <c r="G5" s="22" t="str">
        <f t="shared" si="0"/>
        <v>## No encontrado ##_16_## No encontrado ##c</v>
      </c>
      <c r="H5" s="26">
        <f>Hoja3!C5</f>
        <v>16</v>
      </c>
      <c r="I5" s="22" t="str">
        <f>IFERROR(
    INDEX(Hoja3!D:D, MATCH(A5, Hoja3!E:E, 0)),
    IFERROR(
        INDEX(Hoja3!D:D, MATCH(A5, Hoja3!A:A, 0)),
        "## No encontrado ##"
    )
)</f>
        <v>## No encontrado ##</v>
      </c>
      <c r="J5" s="22" t="str">
        <f>IF(COUNTIF($F$2:F5,F5)=1, "",
  IF(COUNTIF($F$2:F5,F5)=2, "c",
    "c" &amp; (COUNTIF($F$2:F5,F5)-2)))</f>
        <v>c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spans="1:26" s="14" customFormat="1" x14ac:dyDescent="0.25">
      <c r="A6" s="22" t="str">
        <f>IF(Hoja2!A6="","",Hoja2!A6)</f>
        <v/>
      </c>
      <c r="B6" s="22" t="str">
        <f>IF(Hoja2!B6="","",Hoja2!B6)</f>
        <v/>
      </c>
      <c r="C6" s="23" t="str">
        <f>IF(Hoja2!C6="","",Hoja2!C6)</f>
        <v/>
      </c>
      <c r="D6" s="24" t="str">
        <f>IF(Hoja2!D6="","",Hoja2!D6)</f>
        <v/>
      </c>
      <c r="E6" s="25">
        <v>46020</v>
      </c>
      <c r="F6" s="22" t="str">
        <f>IFERROR(
    INDEX(Hoja3!B:B, MATCH(A6, Hoja3!E:E, 0)),
    IFERROR(
        INDEX(Hoja3!B:B, MATCH(A6, Hoja3!A:A, 0)),
        "## No encontrado ##"
    )
)</f>
        <v>## No encontrado ##</v>
      </c>
      <c r="G6" s="22" t="str">
        <f t="shared" si="0"/>
        <v>## No encontrado ##_16_## No encontrado ##c1</v>
      </c>
      <c r="H6" s="26">
        <f>Hoja3!C6</f>
        <v>16</v>
      </c>
      <c r="I6" s="22" t="str">
        <f>IFERROR(
    INDEX(Hoja3!D:D, MATCH(A6, Hoja3!E:E, 0)),
    IFERROR(
        INDEX(Hoja3!D:D, MATCH(A6, Hoja3!A:A, 0)),
        "## No encontrado ##"
    )
)</f>
        <v>## No encontrado ##</v>
      </c>
      <c r="J6" s="22" t="str">
        <f>IF(COUNTIF($F$2:F6,F6)=1, "",
  IF(COUNTIF($F$2:F6,F6)=2, "c",
    "c" &amp; (COUNTIF($F$2:F6,F6)-2)))</f>
        <v>c1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spans="1:26" s="14" customFormat="1" x14ac:dyDescent="0.25">
      <c r="A7" s="22" t="str">
        <f>IF(Hoja2!A7="","",Hoja2!A7)</f>
        <v/>
      </c>
      <c r="B7" s="22" t="str">
        <f>IF(Hoja2!B7="","",Hoja2!B7)</f>
        <v/>
      </c>
      <c r="C7" s="23" t="str">
        <f>IF(Hoja2!C7="","",Hoja2!C7)</f>
        <v/>
      </c>
      <c r="D7" s="24" t="str">
        <f>IF(Hoja2!D7="","",Hoja2!D7)</f>
        <v/>
      </c>
      <c r="E7" s="25">
        <v>46020</v>
      </c>
      <c r="F7" s="22" t="str">
        <f>IFERROR(
    INDEX(Hoja3!B:B, MATCH(A7, Hoja3!E:E, 0)),
    IFERROR(
        INDEX(Hoja3!B:B, MATCH(A7, Hoja3!A:A, 0)),
        "## No encontrado ##"
    )
)</f>
        <v>## No encontrado ##</v>
      </c>
      <c r="G7" s="22" t="str">
        <f t="shared" si="0"/>
        <v>## No encontrado ##_16_## No encontrado ##c2</v>
      </c>
      <c r="H7" s="26">
        <f>Hoja3!C7</f>
        <v>16</v>
      </c>
      <c r="I7" s="22" t="str">
        <f>IFERROR(
    INDEX(Hoja3!D:D, MATCH(A7, Hoja3!E:E, 0)),
    IFERROR(
        INDEX(Hoja3!D:D, MATCH(A7, Hoja3!A:A, 0)),
        "## No encontrado ##"
    )
)</f>
        <v>## No encontrado ##</v>
      </c>
      <c r="J7" s="22" t="str">
        <f>IF(COUNTIF($F$2:F7,F7)=1, "",
  IF(COUNTIF($F$2:F7,F7)=2, "c",
    "c" &amp; (COUNTIF($F$2:F7,F7)-2)))</f>
        <v>c2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spans="1:26" s="14" customFormat="1" x14ac:dyDescent="0.25">
      <c r="A8" s="22" t="str">
        <f>IF(Hoja2!A8="","",Hoja2!A8)</f>
        <v/>
      </c>
      <c r="B8" s="22" t="str">
        <f>IF(Hoja2!B8="","",Hoja2!B8)</f>
        <v/>
      </c>
      <c r="C8" s="23" t="str">
        <f>IF(Hoja2!C8="","",Hoja2!C8)</f>
        <v/>
      </c>
      <c r="D8" s="24" t="str">
        <f>IF(Hoja2!D8="","",Hoja2!D8)</f>
        <v/>
      </c>
      <c r="E8" s="25">
        <v>46020</v>
      </c>
      <c r="F8" s="22" t="str">
        <f>IFERROR(
    INDEX(Hoja3!B:B, MATCH(A8, Hoja3!E:E, 0)),
    IFERROR(
        INDEX(Hoja3!B:B, MATCH(A8, Hoja3!A:A, 0)),
        "## No encontrado ##"
    )
)</f>
        <v>## No encontrado ##</v>
      </c>
      <c r="G8" s="22" t="str">
        <f t="shared" si="0"/>
        <v>## No encontrado ##_16_## No encontrado ##c3</v>
      </c>
      <c r="H8" s="26">
        <f>Hoja3!C8</f>
        <v>16</v>
      </c>
      <c r="I8" s="22" t="str">
        <f>IFERROR(
    INDEX(Hoja3!D:D, MATCH(A8, Hoja3!E:E, 0)),
    IFERROR(
        INDEX(Hoja3!D:D, MATCH(A8, Hoja3!A:A, 0)),
        "## No encontrado ##"
    )
)</f>
        <v>## No encontrado ##</v>
      </c>
      <c r="J8" s="22" t="str">
        <f>IF(COUNTIF($F$2:F8,F8)=1, "",
  IF(COUNTIF($F$2:F8,F8)=2, "c",
    "c" &amp; (COUNTIF($F$2:F8,F8)-2)))</f>
        <v>c3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spans="1:26" s="14" customFormat="1" x14ac:dyDescent="0.25">
      <c r="A9" s="22" t="str">
        <f>IF(Hoja2!A9="","",Hoja2!A9)</f>
        <v/>
      </c>
      <c r="B9" s="22" t="str">
        <f>IF(Hoja2!B9="","",Hoja2!B9)</f>
        <v/>
      </c>
      <c r="C9" s="23" t="str">
        <f>IF(Hoja2!C9="","",Hoja2!C9)</f>
        <v/>
      </c>
      <c r="D9" s="24" t="str">
        <f>IF(Hoja2!D9="","",Hoja2!D9)</f>
        <v/>
      </c>
      <c r="E9" s="25">
        <v>46020</v>
      </c>
      <c r="F9" s="22" t="str">
        <f>IFERROR(
    INDEX(Hoja3!B:B, MATCH(A9, Hoja3!E:E, 0)),
    IFERROR(
        INDEX(Hoja3!B:B, MATCH(A9, Hoja3!A:A, 0)),
        "## No encontrado ##"
    )
)</f>
        <v>## No encontrado ##</v>
      </c>
      <c r="G9" s="22" t="str">
        <f t="shared" si="0"/>
        <v>## No encontrado ##_16_## No encontrado ##c4</v>
      </c>
      <c r="H9" s="26">
        <f>Hoja3!C9</f>
        <v>16</v>
      </c>
      <c r="I9" s="22" t="str">
        <f>IFERROR(
    INDEX(Hoja3!D:D, MATCH(A9, Hoja3!E:E, 0)),
    IFERROR(
        INDEX(Hoja3!D:D, MATCH(A9, Hoja3!A:A, 0)),
        "## No encontrado ##"
    )
)</f>
        <v>## No encontrado ##</v>
      </c>
      <c r="J9" s="22" t="str">
        <f>IF(COUNTIF($F$2:F9,F9)=1, "",
  IF(COUNTIF($F$2:F9,F9)=2, "c",
    "c" &amp; (COUNTIF($F$2:F9,F9)-2)))</f>
        <v>c4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spans="1:26" s="14" customFormat="1" x14ac:dyDescent="0.25">
      <c r="A10" s="22" t="str">
        <f>IF(Hoja2!A10="","",Hoja2!A10)</f>
        <v/>
      </c>
      <c r="B10" s="22" t="str">
        <f>IF(Hoja2!B10="","",Hoja2!B10)</f>
        <v/>
      </c>
      <c r="C10" s="23" t="str">
        <f>IF(Hoja2!C10="","",Hoja2!C10)</f>
        <v/>
      </c>
      <c r="D10" s="24" t="str">
        <f>IF(Hoja2!D10="","",Hoja2!D10)</f>
        <v/>
      </c>
      <c r="E10" s="25">
        <v>46020</v>
      </c>
      <c r="F10" s="22" t="str">
        <f>IFERROR(
    INDEX(Hoja3!B:B, MATCH(A10, Hoja3!E:E, 0)),
    IFERROR(
        INDEX(Hoja3!B:B, MATCH(A10, Hoja3!A:A, 0)),
        "## No encontrado ##"
    )
)</f>
        <v>## No encontrado ##</v>
      </c>
      <c r="G10" s="22" t="str">
        <f t="shared" si="0"/>
        <v>## No encontrado ##_16_## No encontrado ##c5</v>
      </c>
      <c r="H10" s="26">
        <f>Hoja3!C10</f>
        <v>16</v>
      </c>
      <c r="I10" s="22" t="str">
        <f>IFERROR(
    INDEX(Hoja3!D:D, MATCH(A10, Hoja3!E:E, 0)),
    IFERROR(
        INDEX(Hoja3!D:D, MATCH(A10, Hoja3!A:A, 0)),
        "## No encontrado ##"
    )
)</f>
        <v>## No encontrado ##</v>
      </c>
      <c r="J10" s="22" t="str">
        <f>IF(COUNTIF($F$2:F10,F10)=1, "",
  IF(COUNTIF($F$2:F10,F10)=2, "c",
    "c" &amp; (COUNTIF($F$2:F10,F10)-2)))</f>
        <v>c5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spans="1:26" s="14" customFormat="1" x14ac:dyDescent="0.25">
      <c r="A11" s="22" t="str">
        <f>IF(Hoja2!A11="","",Hoja2!A11)</f>
        <v/>
      </c>
      <c r="B11" s="22" t="str">
        <f>IF(Hoja2!B11="","",Hoja2!B11)</f>
        <v/>
      </c>
      <c r="C11" s="23" t="str">
        <f>IF(Hoja2!C11="","",Hoja2!C11)</f>
        <v/>
      </c>
      <c r="D11" s="24" t="str">
        <f>IF(Hoja2!D11="","",Hoja2!D11)</f>
        <v/>
      </c>
      <c r="E11" s="25">
        <v>46020</v>
      </c>
      <c r="F11" s="22" t="str">
        <f>IFERROR(
    INDEX(Hoja3!B:B, MATCH(A11, Hoja3!E:E, 0)),
    IFERROR(
        INDEX(Hoja3!B:B, MATCH(A11, Hoja3!A:A, 0)),
        "## No encontrado ##"
    )
)</f>
        <v>## No encontrado ##</v>
      </c>
      <c r="G11" s="22" t="str">
        <f t="shared" si="0"/>
        <v>## No encontrado ##_16_## No encontrado ##c6</v>
      </c>
      <c r="H11" s="26">
        <f>Hoja3!C11</f>
        <v>16</v>
      </c>
      <c r="I11" s="22" t="str">
        <f>IFERROR(
    INDEX(Hoja3!D:D, MATCH(A11, Hoja3!E:E, 0)),
    IFERROR(
        INDEX(Hoja3!D:D, MATCH(A11, Hoja3!A:A, 0)),
        "## No encontrado ##"
    )
)</f>
        <v>## No encontrado ##</v>
      </c>
      <c r="J11" s="22" t="str">
        <f>IF(COUNTIF($F$2:F11,F11)=1, "",
  IF(COUNTIF($F$2:F11,F11)=2, "c",
    "c" &amp; (COUNTIF($F$2:F11,F11)-2)))</f>
        <v>c6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</row>
    <row r="12" spans="1:26" s="14" customFormat="1" x14ac:dyDescent="0.25">
      <c r="A12" s="22" t="str">
        <f>IF(Hoja2!A12="","",Hoja2!A12)</f>
        <v/>
      </c>
      <c r="B12" s="22" t="str">
        <f>IF(Hoja2!B12="","",Hoja2!B12)</f>
        <v/>
      </c>
      <c r="C12" s="23" t="str">
        <f>IF(Hoja2!C12="","",Hoja2!C12)</f>
        <v/>
      </c>
      <c r="D12" s="24" t="str">
        <f>IF(Hoja2!D12="","",Hoja2!D12)</f>
        <v/>
      </c>
      <c r="E12" s="25">
        <v>46020</v>
      </c>
      <c r="F12" s="22" t="str">
        <f>IFERROR(
    INDEX(Hoja3!B:B, MATCH(A12, Hoja3!E:E, 0)),
    IFERROR(
        INDEX(Hoja3!B:B, MATCH(A12, Hoja3!A:A, 0)),
        "## No encontrado ##"
    )
)</f>
        <v>## No encontrado ##</v>
      </c>
      <c r="G12" s="22" t="str">
        <f t="shared" si="0"/>
        <v>## No encontrado ##_16_## No encontrado ##c7</v>
      </c>
      <c r="H12" s="26">
        <f>Hoja3!C12</f>
        <v>16</v>
      </c>
      <c r="I12" s="22" t="str">
        <f>IFERROR(
    INDEX(Hoja3!D:D, MATCH(A12, Hoja3!E:E, 0)),
    IFERROR(
        INDEX(Hoja3!D:D, MATCH(A12, Hoja3!A:A, 0)),
        "## No encontrado ##"
    )
)</f>
        <v>## No encontrado ##</v>
      </c>
      <c r="J12" s="22" t="str">
        <f>IF(COUNTIF($F$2:F12,F12)=1, "",
  IF(COUNTIF($F$2:F12,F12)=2, "c",
    "c" &amp; (COUNTIF($F$2:F12,F12)-2)))</f>
        <v>c7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</row>
    <row r="13" spans="1:26" s="14" customFormat="1" x14ac:dyDescent="0.25">
      <c r="A13" s="22" t="str">
        <f>IF(Hoja2!A13="","",Hoja2!A13)</f>
        <v/>
      </c>
      <c r="B13" s="22" t="str">
        <f>IF(Hoja2!B13="","",Hoja2!B13)</f>
        <v/>
      </c>
      <c r="C13" s="23" t="str">
        <f>IF(Hoja2!C13="","",Hoja2!C13)</f>
        <v/>
      </c>
      <c r="D13" s="24" t="str">
        <f>IF(Hoja2!D13="","",Hoja2!D13)</f>
        <v/>
      </c>
      <c r="E13" s="25">
        <v>46020</v>
      </c>
      <c r="F13" s="22" t="str">
        <f>IFERROR(
    INDEX(Hoja3!B:B, MATCH(A13, Hoja3!E:E, 0)),
    IFERROR(
        INDEX(Hoja3!B:B, MATCH(A13, Hoja3!A:A, 0)),
        "## No encontrado ##"
    )
)</f>
        <v>## No encontrado ##</v>
      </c>
      <c r="G13" s="22" t="str">
        <f t="shared" si="0"/>
        <v>## No encontrado ##_16_## No encontrado ##c8</v>
      </c>
      <c r="H13" s="26">
        <f>Hoja3!C13</f>
        <v>16</v>
      </c>
      <c r="I13" s="22" t="str">
        <f>IFERROR(
    INDEX(Hoja3!D:D, MATCH(A13, Hoja3!E:E, 0)),
    IFERROR(
        INDEX(Hoja3!D:D, MATCH(A13, Hoja3!A:A, 0)),
        "## No encontrado ##"
    )
)</f>
        <v>## No encontrado ##</v>
      </c>
      <c r="J13" s="22" t="str">
        <f>IF(COUNTIF($F$2:F13,F13)=1, "",
  IF(COUNTIF($F$2:F13,F13)=2, "c",
    "c" &amp; (COUNTIF($F$2:F13,F13)-2)))</f>
        <v>c8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</row>
    <row r="14" spans="1:26" s="14" customFormat="1" x14ac:dyDescent="0.25">
      <c r="A14" s="22" t="str">
        <f>IF(Hoja2!A14="","",Hoja2!A14)</f>
        <v/>
      </c>
      <c r="B14" s="22" t="str">
        <f>IF(Hoja2!B14="","",Hoja2!B14)</f>
        <v/>
      </c>
      <c r="C14" s="23" t="str">
        <f>IF(Hoja2!C14="","",Hoja2!C14)</f>
        <v/>
      </c>
      <c r="D14" s="24" t="str">
        <f>IF(Hoja2!D14="","",Hoja2!D14)</f>
        <v/>
      </c>
      <c r="E14" s="25">
        <v>46020</v>
      </c>
      <c r="F14" s="22" t="str">
        <f>IFERROR(
    INDEX(Hoja3!B:B, MATCH(A14, Hoja3!E:E, 0)),
    IFERROR(
        INDEX(Hoja3!B:B, MATCH(A14, Hoja3!A:A, 0)),
        "## No encontrado ##"
    )
)</f>
        <v>## No encontrado ##</v>
      </c>
      <c r="G14" s="22" t="str">
        <f t="shared" si="0"/>
        <v>## No encontrado ##_16_## No encontrado ##c9</v>
      </c>
      <c r="H14" s="26">
        <f>Hoja3!C14</f>
        <v>16</v>
      </c>
      <c r="I14" s="22" t="str">
        <f>IFERROR(
    INDEX(Hoja3!D:D, MATCH(A14, Hoja3!E:E, 0)),
    IFERROR(
        INDEX(Hoja3!D:D, MATCH(A14, Hoja3!A:A, 0)),
        "## No encontrado ##"
    )
)</f>
        <v>## No encontrado ##</v>
      </c>
      <c r="J14" s="22" t="str">
        <f>IF(COUNTIF($F$2:F14,F14)=1, "",
  IF(COUNTIF($F$2:F14,F14)=2, "c",
    "c" &amp; (COUNTIF($F$2:F14,F14)-2)))</f>
        <v>c9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</row>
    <row r="15" spans="1:26" s="14" customFormat="1" x14ac:dyDescent="0.25">
      <c r="A15" s="22" t="str">
        <f>IF(Hoja2!A15="","",Hoja2!A15)</f>
        <v/>
      </c>
      <c r="B15" s="22" t="str">
        <f>IF(Hoja2!B15="","",Hoja2!B15)</f>
        <v/>
      </c>
      <c r="C15" s="23" t="str">
        <f>IF(Hoja2!C15="","",Hoja2!C15)</f>
        <v/>
      </c>
      <c r="D15" s="24" t="str">
        <f>IF(Hoja2!D15="","",Hoja2!D15)</f>
        <v/>
      </c>
      <c r="E15" s="25">
        <v>46020</v>
      </c>
      <c r="F15" s="22" t="str">
        <f>IFERROR(
    INDEX(Hoja3!B:B, MATCH(A15, Hoja3!E:E, 0)),
    IFERROR(
        INDEX(Hoja3!B:B, MATCH(A15, Hoja3!A:A, 0)),
        "## No encontrado ##"
    )
)</f>
        <v>## No encontrado ##</v>
      </c>
      <c r="G15" s="22" t="str">
        <f t="shared" si="0"/>
        <v>## No encontrado ##_16_## No encontrado ##c10</v>
      </c>
      <c r="H15" s="26">
        <f>Hoja3!C15</f>
        <v>16</v>
      </c>
      <c r="I15" s="22" t="str">
        <f>IFERROR(
    INDEX(Hoja3!D:D, MATCH(A15, Hoja3!E:E, 0)),
    IFERROR(
        INDEX(Hoja3!D:D, MATCH(A15, Hoja3!A:A, 0)),
        "## No encontrado ##"
    )
)</f>
        <v>## No encontrado ##</v>
      </c>
      <c r="J15" s="22" t="str">
        <f>IF(COUNTIF($F$2:F15,F15)=1, "",
  IF(COUNTIF($F$2:F15,F15)=2, "c",
    "c" &amp; (COUNTIF($F$2:F15,F15)-2)))</f>
        <v>c10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</row>
    <row r="16" spans="1:26" s="14" customFormat="1" x14ac:dyDescent="0.25">
      <c r="A16" s="22" t="str">
        <f>IF(Hoja2!A16="","",Hoja2!A16)</f>
        <v/>
      </c>
      <c r="B16" s="22" t="str">
        <f>IF(Hoja2!B16="","",Hoja2!B16)</f>
        <v/>
      </c>
      <c r="C16" s="23" t="str">
        <f>IF(Hoja2!C16="","",Hoja2!C16)</f>
        <v/>
      </c>
      <c r="D16" s="24" t="str">
        <f>IF(Hoja2!D16="","",Hoja2!D16)</f>
        <v/>
      </c>
      <c r="E16" s="25">
        <v>46020</v>
      </c>
      <c r="F16" s="22" t="str">
        <f>IFERROR(
    INDEX(Hoja3!B:B, MATCH(A16, Hoja3!E:E, 0)),
    IFERROR(
        INDEX(Hoja3!B:B, MATCH(A16, Hoja3!A:A, 0)),
        "## No encontrado ##"
    )
)</f>
        <v>## No encontrado ##</v>
      </c>
      <c r="G16" s="22" t="str">
        <f t="shared" si="0"/>
        <v>## No encontrado ##_16_## No encontrado ##c11</v>
      </c>
      <c r="H16" s="26">
        <f>Hoja3!C16</f>
        <v>16</v>
      </c>
      <c r="I16" s="22" t="str">
        <f>IFERROR(
    INDEX(Hoja3!D:D, MATCH(A16, Hoja3!E:E, 0)),
    IFERROR(
        INDEX(Hoja3!D:D, MATCH(A16, Hoja3!A:A, 0)),
        "## No encontrado ##"
    )
)</f>
        <v>## No encontrado ##</v>
      </c>
      <c r="J16" s="22" t="str">
        <f>IF(COUNTIF($F$2:F16,F16)=1, "",
  IF(COUNTIF($F$2:F16,F16)=2, "c",
    "c" &amp; (COUNTIF($F$2:F16,F16)-2)))</f>
        <v>c11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</row>
    <row r="17" spans="1:26" s="14" customFormat="1" x14ac:dyDescent="0.25">
      <c r="A17" s="22" t="str">
        <f>IF(Hoja2!A17="","",Hoja2!A17)</f>
        <v/>
      </c>
      <c r="B17" s="22" t="str">
        <f>IF(Hoja2!B17="","",Hoja2!B17)</f>
        <v/>
      </c>
      <c r="C17" s="23" t="str">
        <f>IF(Hoja2!C17="","",Hoja2!C17)</f>
        <v/>
      </c>
      <c r="D17" s="24" t="str">
        <f>IF(Hoja2!D17="","",Hoja2!D17)</f>
        <v/>
      </c>
      <c r="E17" s="25">
        <v>46020</v>
      </c>
      <c r="F17" s="22" t="str">
        <f>IFERROR(
    INDEX(Hoja3!B:B, MATCH(A17, Hoja3!E:E, 0)),
    IFERROR(
        INDEX(Hoja3!B:B, MATCH(A17, Hoja3!A:A, 0)),
        "## No encontrado ##"
    )
)</f>
        <v>## No encontrado ##</v>
      </c>
      <c r="G17" s="22" t="str">
        <f t="shared" si="0"/>
        <v>## No encontrado ##_16_## No encontrado ##c12</v>
      </c>
      <c r="H17" s="26">
        <f>Hoja3!C17</f>
        <v>16</v>
      </c>
      <c r="I17" s="22" t="str">
        <f>IFERROR(
    INDEX(Hoja3!D:D, MATCH(A17, Hoja3!E:E, 0)),
    IFERROR(
        INDEX(Hoja3!D:D, MATCH(A17, Hoja3!A:A, 0)),
        "## No encontrado ##"
    )
)</f>
        <v>## No encontrado ##</v>
      </c>
      <c r="J17" s="22" t="str">
        <f>IF(COUNTIF($F$2:F17,F17)=1, "",
  IF(COUNTIF($F$2:F17,F17)=2, "c",
    "c" &amp; (COUNTIF($F$2:F17,F17)-2)))</f>
        <v>c12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1:26" s="14" customFormat="1" x14ac:dyDescent="0.25">
      <c r="A18" s="22" t="str">
        <f>IF(Hoja2!A18="","",Hoja2!A18)</f>
        <v/>
      </c>
      <c r="B18" s="22" t="str">
        <f>IF(Hoja2!B18="","",Hoja2!B18)</f>
        <v/>
      </c>
      <c r="C18" s="23" t="str">
        <f>IF(Hoja2!C18="","",Hoja2!C18)</f>
        <v/>
      </c>
      <c r="D18" s="24" t="str">
        <f>IF(Hoja2!D18="","",Hoja2!D18)</f>
        <v/>
      </c>
      <c r="E18" s="25">
        <v>46020</v>
      </c>
      <c r="F18" s="22" t="str">
        <f>IFERROR(
    INDEX(Hoja3!B:B, MATCH(A18, Hoja3!E:E, 0)),
    IFERROR(
        INDEX(Hoja3!B:B, MATCH(A18, Hoja3!A:A, 0)),
        "## No encontrado ##"
    )
)</f>
        <v>## No encontrado ##</v>
      </c>
      <c r="G18" s="22" t="str">
        <f t="shared" si="0"/>
        <v>## No encontrado ##_16_## No encontrado ##c13</v>
      </c>
      <c r="H18" s="26">
        <f>Hoja3!C18</f>
        <v>16</v>
      </c>
      <c r="I18" s="22" t="str">
        <f>IFERROR(
    INDEX(Hoja3!D:D, MATCH(A18, Hoja3!E:E, 0)),
    IFERROR(
        INDEX(Hoja3!D:D, MATCH(A18, Hoja3!A:A, 0)),
        "## No encontrado ##"
    )
)</f>
        <v>## No encontrado ##</v>
      </c>
      <c r="J18" s="22" t="str">
        <f>IF(COUNTIF($F$2:F18,F18)=1, "",
  IF(COUNTIF($F$2:F18,F18)=2, "c",
    "c" &amp; (COUNTIF($F$2:F18,F18)-2)))</f>
        <v>c13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</row>
    <row r="19" spans="1:26" s="14" customFormat="1" x14ac:dyDescent="0.25">
      <c r="A19" s="22" t="str">
        <f>IF(Hoja2!A19="","",Hoja2!A19)</f>
        <v/>
      </c>
      <c r="B19" s="22" t="str">
        <f>IF(Hoja2!B19="","",Hoja2!B19)</f>
        <v/>
      </c>
      <c r="C19" s="23" t="str">
        <f>IF(Hoja2!C19="","",Hoja2!C19)</f>
        <v/>
      </c>
      <c r="D19" s="24" t="str">
        <f>IF(Hoja2!D19="","",Hoja2!D19)</f>
        <v/>
      </c>
      <c r="E19" s="25">
        <v>46020</v>
      </c>
      <c r="F19" s="22" t="str">
        <f>IFERROR(
    INDEX(Hoja3!B:B, MATCH(A19, Hoja3!E:E, 0)),
    IFERROR(
        INDEX(Hoja3!B:B, MATCH(A19, Hoja3!A:A, 0)),
        "## No encontrado ##"
    )
)</f>
        <v>## No encontrado ##</v>
      </c>
      <c r="G19" s="22" t="str">
        <f t="shared" si="0"/>
        <v>## No encontrado ##_16_## No encontrado ##c14</v>
      </c>
      <c r="H19" s="26">
        <f>Hoja3!C19</f>
        <v>16</v>
      </c>
      <c r="I19" s="22" t="str">
        <f>IFERROR(
    INDEX(Hoja3!D:D, MATCH(A19, Hoja3!E:E, 0)),
    IFERROR(
        INDEX(Hoja3!D:D, MATCH(A19, Hoja3!A:A, 0)),
        "## No encontrado ##"
    )
)</f>
        <v>## No encontrado ##</v>
      </c>
      <c r="J19" s="22" t="str">
        <f>IF(COUNTIF($F$2:F19,F19)=1, "",
  IF(COUNTIF($F$2:F19,F19)=2, "c",
    "c" &amp; (COUNTIF($F$2:F19,F19)-2)))</f>
        <v>c14</v>
      </c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</row>
    <row r="20" spans="1:26" s="14" customFormat="1" x14ac:dyDescent="0.25">
      <c r="A20" s="22" t="str">
        <f>IF(Hoja2!A20="","",Hoja2!A20)</f>
        <v/>
      </c>
      <c r="B20" s="22" t="str">
        <f>IF(Hoja2!B20="","",Hoja2!B20)</f>
        <v/>
      </c>
      <c r="C20" s="23" t="str">
        <f>IF(Hoja2!C20="","",Hoja2!C20)</f>
        <v/>
      </c>
      <c r="D20" s="24" t="str">
        <f>IF(Hoja2!D20="","",Hoja2!D20)</f>
        <v/>
      </c>
      <c r="E20" s="25">
        <v>46020</v>
      </c>
      <c r="F20" s="22" t="str">
        <f>IFERROR(
    INDEX(Hoja3!B:B, MATCH(A20, Hoja3!E:E, 0)),
    IFERROR(
        INDEX(Hoja3!B:B, MATCH(A20, Hoja3!A:A, 0)),
        "## No encontrado ##"
    )
)</f>
        <v>## No encontrado ##</v>
      </c>
      <c r="G20" s="22" t="str">
        <f t="shared" si="0"/>
        <v>## No encontrado ##_16_## No encontrado ##c15</v>
      </c>
      <c r="H20" s="26">
        <f>Hoja3!C20</f>
        <v>16</v>
      </c>
      <c r="I20" s="22" t="str">
        <f>IFERROR(
    INDEX(Hoja3!D:D, MATCH(A20, Hoja3!E:E, 0)),
    IFERROR(
        INDEX(Hoja3!D:D, MATCH(A20, Hoja3!A:A, 0)),
        "## No encontrado ##"
    )
)</f>
        <v>## No encontrado ##</v>
      </c>
      <c r="J20" s="22" t="str">
        <f>IF(COUNTIF($F$2:F20,F20)=1, "",
  IF(COUNTIF($F$2:F20,F20)=2, "c",
    "c" &amp; (COUNTIF($F$2:F20,F20)-2)))</f>
        <v>c15</v>
      </c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1:26" s="14" customFormat="1" x14ac:dyDescent="0.25">
      <c r="A21" s="22" t="str">
        <f>IF(Hoja2!A21="","",Hoja2!A21)</f>
        <v/>
      </c>
      <c r="B21" s="22" t="str">
        <f>IF(Hoja2!B21="","",Hoja2!B21)</f>
        <v/>
      </c>
      <c r="C21" s="23" t="str">
        <f>IF(Hoja2!C21="","",Hoja2!C21)</f>
        <v/>
      </c>
      <c r="D21" s="24" t="str">
        <f>IF(Hoja2!D21="","",Hoja2!D21)</f>
        <v/>
      </c>
      <c r="E21" s="25">
        <v>46020</v>
      </c>
      <c r="F21" s="22" t="str">
        <f>IFERROR(
    INDEX(Hoja3!B:B, MATCH(A21, Hoja3!E:E, 0)),
    IFERROR(
        INDEX(Hoja3!B:B, MATCH(A21, Hoja3!A:A, 0)),
        "## No encontrado ##"
    )
)</f>
        <v>## No encontrado ##</v>
      </c>
      <c r="G21" s="22" t="str">
        <f t="shared" si="0"/>
        <v>## No encontrado ##_16_## No encontrado ##c16</v>
      </c>
      <c r="H21" s="26">
        <f>Hoja3!C21</f>
        <v>16</v>
      </c>
      <c r="I21" s="22" t="str">
        <f>IFERROR(
    INDEX(Hoja3!D:D, MATCH(A21, Hoja3!E:E, 0)),
    IFERROR(
        INDEX(Hoja3!D:D, MATCH(A21, Hoja3!A:A, 0)),
        "## No encontrado ##"
    )
)</f>
        <v>## No encontrado ##</v>
      </c>
      <c r="J21" s="22" t="str">
        <f>IF(COUNTIF($F$2:F21,F21)=1, "",
  IF(COUNTIF($F$2:F21,F21)=2, "c",
    "c" &amp; (COUNTIF($F$2:F21,F21)-2)))</f>
        <v>c16</v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1:26" s="14" customFormat="1" x14ac:dyDescent="0.25">
      <c r="A22" s="22" t="str">
        <f>IF(Hoja2!A22="","",Hoja2!A22)</f>
        <v/>
      </c>
      <c r="B22" s="22" t="str">
        <f>IF(Hoja2!B22="","",Hoja2!B22)</f>
        <v/>
      </c>
      <c r="C22" s="23" t="str">
        <f>IF(Hoja2!C22="","",Hoja2!C22)</f>
        <v/>
      </c>
      <c r="D22" s="24" t="str">
        <f>IF(Hoja2!D22="","",Hoja2!D22)</f>
        <v/>
      </c>
      <c r="E22" s="25">
        <v>46020</v>
      </c>
      <c r="F22" s="22" t="str">
        <f>IFERROR(
    INDEX(Hoja3!B:B, MATCH(A22, Hoja3!E:E, 0)),
    IFERROR(
        INDEX(Hoja3!B:B, MATCH(A22, Hoja3!A:A, 0)),
        "## No encontrado ##"
    )
)</f>
        <v>## No encontrado ##</v>
      </c>
      <c r="G22" s="22" t="str">
        <f t="shared" si="0"/>
        <v>## No encontrado ##_16_## No encontrado ##c17</v>
      </c>
      <c r="H22" s="26">
        <f>Hoja3!C22</f>
        <v>16</v>
      </c>
      <c r="I22" s="22" t="str">
        <f>IFERROR(
    INDEX(Hoja3!D:D, MATCH(A22, Hoja3!E:E, 0)),
    IFERROR(
        INDEX(Hoja3!D:D, MATCH(A22, Hoja3!A:A, 0)),
        "## No encontrado ##"
    )
)</f>
        <v>## No encontrado ##</v>
      </c>
      <c r="J22" s="22" t="str">
        <f>IF(COUNTIF($F$2:F22,F22)=1, "",
  IF(COUNTIF($F$2:F22,F22)=2, "c",
    "c" &amp; (COUNTIF($F$2:F22,F22)-2)))</f>
        <v>c17</v>
      </c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1:26" s="14" customFormat="1" x14ac:dyDescent="0.25">
      <c r="A23" s="22" t="str">
        <f>IF(Hoja2!A23="","",Hoja2!A23)</f>
        <v/>
      </c>
      <c r="B23" s="22" t="str">
        <f>IF(Hoja2!B23="","",Hoja2!B23)</f>
        <v/>
      </c>
      <c r="C23" s="23" t="str">
        <f>IF(Hoja2!C23="","",Hoja2!C23)</f>
        <v/>
      </c>
      <c r="D23" s="24" t="str">
        <f>IF(Hoja2!D23="","",Hoja2!D23)</f>
        <v/>
      </c>
      <c r="E23" s="25">
        <v>46020</v>
      </c>
      <c r="F23" s="22" t="str">
        <f>IFERROR(
    INDEX(Hoja3!B:B, MATCH(A23, Hoja3!E:E, 0)),
    IFERROR(
        INDEX(Hoja3!B:B, MATCH(A23, Hoja3!A:A, 0)),
        "## No encontrado ##"
    )
)</f>
        <v>## No encontrado ##</v>
      </c>
      <c r="G23" s="22" t="str">
        <f t="shared" si="0"/>
        <v>## No encontrado ##_16_## No encontrado ##c18</v>
      </c>
      <c r="H23" s="26">
        <f>Hoja3!C23</f>
        <v>16</v>
      </c>
      <c r="I23" s="22" t="str">
        <f>IFERROR(
    INDEX(Hoja3!D:D, MATCH(A23, Hoja3!E:E, 0)),
    IFERROR(
        INDEX(Hoja3!D:D, MATCH(A23, Hoja3!A:A, 0)),
        "## No encontrado ##"
    )
)</f>
        <v>## No encontrado ##</v>
      </c>
      <c r="J23" s="22" t="str">
        <f>IF(COUNTIF($F$2:F23,F23)=1, "",
  IF(COUNTIF($F$2:F23,F23)=2, "c",
    "c" &amp; (COUNTIF($F$2:F23,F23)-2)))</f>
        <v>c18</v>
      </c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1:26" s="14" customFormat="1" x14ac:dyDescent="0.25">
      <c r="A24" s="22" t="str">
        <f>IF(Hoja2!A24="","",Hoja2!A24)</f>
        <v/>
      </c>
      <c r="B24" s="22" t="str">
        <f>IF(Hoja2!B24="","",Hoja2!B24)</f>
        <v/>
      </c>
      <c r="C24" s="23" t="str">
        <f>IF(Hoja2!C24="","",Hoja2!C24)</f>
        <v/>
      </c>
      <c r="D24" s="24" t="str">
        <f>IF(Hoja2!D24="","",Hoja2!D24)</f>
        <v/>
      </c>
      <c r="E24" s="25">
        <v>46020</v>
      </c>
      <c r="F24" s="22" t="str">
        <f>IFERROR(
    INDEX(Hoja3!B:B, MATCH(A24, Hoja3!E:E, 0)),
    IFERROR(
        INDEX(Hoja3!B:B, MATCH(A24, Hoja3!A:A, 0)),
        "## No encontrado ##"
    )
)</f>
        <v>## No encontrado ##</v>
      </c>
      <c r="G24" s="22" t="str">
        <f t="shared" si="0"/>
        <v>## No encontrado ##_16_## No encontrado ##c19</v>
      </c>
      <c r="H24" s="26">
        <f>Hoja3!C24</f>
        <v>16</v>
      </c>
      <c r="I24" s="22" t="str">
        <f>IFERROR(
    INDEX(Hoja3!D:D, MATCH(A24, Hoja3!E:E, 0)),
    IFERROR(
        INDEX(Hoja3!D:D, MATCH(A24, Hoja3!A:A, 0)),
        "## No encontrado ##"
    )
)</f>
        <v>## No encontrado ##</v>
      </c>
      <c r="J24" s="22" t="str">
        <f>IF(COUNTIF($F$2:F24,F24)=1, "",
  IF(COUNTIF($F$2:F24,F24)=2, "c",
    "c" &amp; (COUNTIF($F$2:F24,F24)-2)))</f>
        <v>c19</v>
      </c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spans="1:26" s="14" customFormat="1" x14ac:dyDescent="0.25">
      <c r="A25" s="22" t="str">
        <f>IF(Hoja2!A25="","",Hoja2!A25)</f>
        <v/>
      </c>
      <c r="B25" s="22" t="str">
        <f>IF(Hoja2!B25="","",Hoja2!B25)</f>
        <v/>
      </c>
      <c r="C25" s="23" t="str">
        <f>IF(Hoja2!C25="","",Hoja2!C25)</f>
        <v/>
      </c>
      <c r="D25" s="24" t="str">
        <f>IF(Hoja2!D25="","",Hoja2!D25)</f>
        <v/>
      </c>
      <c r="E25" s="25">
        <v>46020</v>
      </c>
      <c r="F25" s="22" t="str">
        <f>IFERROR(
    INDEX(Hoja3!B:B, MATCH(A25, Hoja3!E:E, 0)),
    IFERROR(
        INDEX(Hoja3!B:B, MATCH(A25, Hoja3!A:A, 0)),
        "## No encontrado ##"
    )
)</f>
        <v>## No encontrado ##</v>
      </c>
      <c r="G25" s="22" t="str">
        <f t="shared" si="0"/>
        <v>## No encontrado ##_16_## No encontrado ##c20</v>
      </c>
      <c r="H25" s="26">
        <f>Hoja3!C25</f>
        <v>16</v>
      </c>
      <c r="I25" s="22" t="str">
        <f>IFERROR(
    INDEX(Hoja3!D:D, MATCH(A25, Hoja3!E:E, 0)),
    IFERROR(
        INDEX(Hoja3!D:D, MATCH(A25, Hoja3!A:A, 0)),
        "## No encontrado ##"
    )
)</f>
        <v>## No encontrado ##</v>
      </c>
      <c r="J25" s="22" t="str">
        <f>IF(COUNTIF($F$2:F25,F25)=1, "",
  IF(COUNTIF($F$2:F25,F25)=2, "c",
    "c" &amp; (COUNTIF($F$2:F25,F25)-2)))</f>
        <v>c20</v>
      </c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spans="1:26" s="14" customFormat="1" x14ac:dyDescent="0.25">
      <c r="A26" s="22" t="str">
        <f>IF(Hoja2!A26="","",Hoja2!A26)</f>
        <v/>
      </c>
      <c r="B26" s="22" t="str">
        <f>IF(Hoja2!B26="","",Hoja2!B26)</f>
        <v/>
      </c>
      <c r="C26" s="23" t="str">
        <f>IF(Hoja2!C26="","",Hoja2!C26)</f>
        <v/>
      </c>
      <c r="D26" s="24" t="str">
        <f>IF(Hoja2!D26="","",Hoja2!D26)</f>
        <v/>
      </c>
      <c r="E26" s="25">
        <v>46020</v>
      </c>
      <c r="F26" s="22" t="str">
        <f>IFERROR(
    INDEX(Hoja3!B:B, MATCH(A26, Hoja3!E:E, 0)),
    IFERROR(
        INDEX(Hoja3!B:B, MATCH(A26, Hoja3!A:A, 0)),
        "## No encontrado ##"
    )
)</f>
        <v>## No encontrado ##</v>
      </c>
      <c r="G26" s="22" t="str">
        <f t="shared" si="0"/>
        <v>## No encontrado ##_16_## No encontrado ##c21</v>
      </c>
      <c r="H26" s="26">
        <f>Hoja3!C26</f>
        <v>16</v>
      </c>
      <c r="I26" s="22" t="str">
        <f>IFERROR(
    INDEX(Hoja3!D:D, MATCH(A26, Hoja3!E:E, 0)),
    IFERROR(
        INDEX(Hoja3!D:D, MATCH(A26, Hoja3!A:A, 0)),
        "## No encontrado ##"
    )
)</f>
        <v>## No encontrado ##</v>
      </c>
      <c r="J26" s="22" t="str">
        <f>IF(COUNTIF($F$2:F26,F26)=1, "",
  IF(COUNTIF($F$2:F26,F26)=2, "c",
    "c" &amp; (COUNTIF($F$2:F26,F26)-2)))</f>
        <v>c21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1:26" s="14" customFormat="1" x14ac:dyDescent="0.25">
      <c r="A27" s="22" t="str">
        <f>IF(Hoja2!A27="","",Hoja2!A27)</f>
        <v/>
      </c>
      <c r="B27" s="22" t="str">
        <f>IF(Hoja2!B27="","",Hoja2!B27)</f>
        <v/>
      </c>
      <c r="C27" s="23" t="str">
        <f>IF(Hoja2!C27="","",Hoja2!C27)</f>
        <v/>
      </c>
      <c r="D27" s="24" t="str">
        <f>IF(Hoja2!D27="","",Hoja2!D27)</f>
        <v/>
      </c>
      <c r="E27" s="25">
        <v>46020</v>
      </c>
      <c r="F27" s="22" t="str">
        <f>IFERROR(
    INDEX(Hoja3!B:B, MATCH(A27, Hoja3!E:E, 0)),
    IFERROR(
        INDEX(Hoja3!B:B, MATCH(A27, Hoja3!A:A, 0)),
        "## No encontrado ##"
    )
)</f>
        <v>## No encontrado ##</v>
      </c>
      <c r="G27" s="22" t="str">
        <f t="shared" si="0"/>
        <v>## No encontrado ##_16_## No encontrado ##c22</v>
      </c>
      <c r="H27" s="26">
        <f>Hoja3!C27</f>
        <v>16</v>
      </c>
      <c r="I27" s="22" t="str">
        <f>IFERROR(
    INDEX(Hoja3!D:D, MATCH(A27, Hoja3!E:E, 0)),
    IFERROR(
        INDEX(Hoja3!D:D, MATCH(A27, Hoja3!A:A, 0)),
        "## No encontrado ##"
    )
)</f>
        <v>## No encontrado ##</v>
      </c>
      <c r="J27" s="22" t="str">
        <f>IF(COUNTIF($F$2:F27,F27)=1, "",
  IF(COUNTIF($F$2:F27,F27)=2, "c",
    "c" &amp; (COUNTIF($F$2:F27,F27)-2)))</f>
        <v>c22</v>
      </c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1:26" s="14" customFormat="1" x14ac:dyDescent="0.25">
      <c r="A28" s="22" t="str">
        <f>IF(Hoja2!A28="","",Hoja2!A28)</f>
        <v/>
      </c>
      <c r="B28" s="22" t="str">
        <f>IF(Hoja2!B28="","",Hoja2!B28)</f>
        <v/>
      </c>
      <c r="C28" s="23" t="str">
        <f>IF(Hoja2!C28="","",Hoja2!C28)</f>
        <v/>
      </c>
      <c r="D28" s="24" t="str">
        <f>IF(Hoja2!D28="","",Hoja2!D28)</f>
        <v/>
      </c>
      <c r="E28" s="25">
        <v>46020</v>
      </c>
      <c r="F28" s="22" t="str">
        <f>IFERROR(
    INDEX(Hoja3!B:B, MATCH(A28, Hoja3!E:E, 0)),
    IFERROR(
        INDEX(Hoja3!B:B, MATCH(A28, Hoja3!A:A, 0)),
        "## No encontrado ##"
    )
)</f>
        <v>## No encontrado ##</v>
      </c>
      <c r="G28" s="22" t="str">
        <f t="shared" si="0"/>
        <v>## No encontrado ##_16_## No encontrado ##c23</v>
      </c>
      <c r="H28" s="26">
        <f>Hoja3!C28</f>
        <v>16</v>
      </c>
      <c r="I28" s="22" t="str">
        <f>IFERROR(
    INDEX(Hoja3!D:D, MATCH(A28, Hoja3!E:E, 0)),
    IFERROR(
        INDEX(Hoja3!D:D, MATCH(A28, Hoja3!A:A, 0)),
        "## No encontrado ##"
    )
)</f>
        <v>## No encontrado ##</v>
      </c>
      <c r="J28" s="22" t="str">
        <f>IF(COUNTIF($F$2:F28,F28)=1, "",
  IF(COUNTIF($F$2:F28,F28)=2, "c",
    "c" &amp; (COUNTIF($F$2:F28,F28)-2)))</f>
        <v>c23</v>
      </c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spans="1:26" s="14" customFormat="1" x14ac:dyDescent="0.25">
      <c r="A29" s="22" t="str">
        <f>IF(Hoja2!A29="","",Hoja2!A29)</f>
        <v/>
      </c>
      <c r="B29" s="22" t="str">
        <f>IF(Hoja2!B29="","",Hoja2!B29)</f>
        <v/>
      </c>
      <c r="C29" s="23" t="str">
        <f>IF(Hoja2!C29="","",Hoja2!C29)</f>
        <v/>
      </c>
      <c r="D29" s="24" t="str">
        <f>IF(Hoja2!D29="","",Hoja2!D29)</f>
        <v/>
      </c>
      <c r="E29" s="25">
        <v>46020</v>
      </c>
      <c r="F29" s="22" t="str">
        <f>IFERROR(
    INDEX(Hoja3!B:B, MATCH(A29, Hoja3!E:E, 0)),
    IFERROR(
        INDEX(Hoja3!B:B, MATCH(A29, Hoja3!A:A, 0)),
        "## No encontrado ##"
    )
)</f>
        <v>## No encontrado ##</v>
      </c>
      <c r="G29" s="22" t="str">
        <f t="shared" si="0"/>
        <v>## No encontrado ##_16_## No encontrado ##c24</v>
      </c>
      <c r="H29" s="26">
        <f>Hoja3!C29</f>
        <v>16</v>
      </c>
      <c r="I29" s="22" t="str">
        <f>IFERROR(
    INDEX(Hoja3!D:D, MATCH(A29, Hoja3!E:E, 0)),
    IFERROR(
        INDEX(Hoja3!D:D, MATCH(A29, Hoja3!A:A, 0)),
        "## No encontrado ##"
    )
)</f>
        <v>## No encontrado ##</v>
      </c>
      <c r="J29" s="22" t="str">
        <f>IF(COUNTIF($F$2:F29,F29)=1, "",
  IF(COUNTIF($F$2:F29,F29)=2, "c",
    "c" &amp; (COUNTIF($F$2:F29,F29)-2)))</f>
        <v>c24</v>
      </c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1:26" s="14" customFormat="1" x14ac:dyDescent="0.25">
      <c r="A30" s="22" t="str">
        <f>IF(Hoja2!A30="","",Hoja2!A30)</f>
        <v/>
      </c>
      <c r="B30" s="22" t="str">
        <f>IF(Hoja2!B30="","",Hoja2!B30)</f>
        <v/>
      </c>
      <c r="C30" s="23" t="str">
        <f>IF(Hoja2!C30="","",Hoja2!C30)</f>
        <v/>
      </c>
      <c r="D30" s="24" t="str">
        <f>IF(Hoja2!D30="","",Hoja2!D30)</f>
        <v/>
      </c>
      <c r="E30" s="25">
        <v>46020</v>
      </c>
      <c r="F30" s="22" t="str">
        <f>IFERROR(
    INDEX(Hoja3!B:B, MATCH(A30, Hoja3!E:E, 0)),
    IFERROR(
        INDEX(Hoja3!B:B, MATCH(A30, Hoja3!A:A, 0)),
        "## No encontrado ##"
    )
)</f>
        <v>## No encontrado ##</v>
      </c>
      <c r="G30" s="22" t="str">
        <f t="shared" si="0"/>
        <v>## No encontrado ##_16_## No encontrado ##c25</v>
      </c>
      <c r="H30" s="26">
        <f>Hoja3!C30</f>
        <v>16</v>
      </c>
      <c r="I30" s="22" t="str">
        <f>IFERROR(
    INDEX(Hoja3!D:D, MATCH(A30, Hoja3!E:E, 0)),
    IFERROR(
        INDEX(Hoja3!D:D, MATCH(A30, Hoja3!A:A, 0)),
        "## No encontrado ##"
    )
)</f>
        <v>## No encontrado ##</v>
      </c>
      <c r="J30" s="22" t="str">
        <f>IF(COUNTIF($F$2:F30,F30)=1, "",
  IF(COUNTIF($F$2:F30,F30)=2, "c",
    "c" &amp; (COUNTIF($F$2:F30,F30)-2)))</f>
        <v>c25</v>
      </c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spans="1:26" s="14" customFormat="1" x14ac:dyDescent="0.25">
      <c r="A31" s="22" t="str">
        <f>IF(Hoja2!A31="","",Hoja2!A31)</f>
        <v/>
      </c>
      <c r="B31" s="22" t="str">
        <f>IF(Hoja2!B31="","",Hoja2!B31)</f>
        <v/>
      </c>
      <c r="C31" s="23" t="str">
        <f>IF(Hoja2!C31="","",Hoja2!C31)</f>
        <v/>
      </c>
      <c r="D31" s="24" t="str">
        <f>IF(Hoja2!D31="","",Hoja2!D31)</f>
        <v/>
      </c>
      <c r="E31" s="25">
        <v>46020</v>
      </c>
      <c r="F31" s="22" t="str">
        <f>IFERROR(
    INDEX(Hoja3!B:B, MATCH(A31, Hoja3!E:E, 0)),
    IFERROR(
        INDEX(Hoja3!B:B, MATCH(A31, Hoja3!A:A, 0)),
        "## No encontrado ##"
    )
)</f>
        <v>## No encontrado ##</v>
      </c>
      <c r="G31" s="22" t="str">
        <f t="shared" si="0"/>
        <v>## No encontrado ##_16_## No encontrado ##c26</v>
      </c>
      <c r="H31" s="26">
        <f>Hoja3!C31</f>
        <v>16</v>
      </c>
      <c r="I31" s="22" t="str">
        <f>IFERROR(
    INDEX(Hoja3!D:D, MATCH(A31, Hoja3!E:E, 0)),
    IFERROR(
        INDEX(Hoja3!D:D, MATCH(A31, Hoja3!A:A, 0)),
        "## No encontrado ##"
    )
)</f>
        <v>## No encontrado ##</v>
      </c>
      <c r="J31" s="22" t="str">
        <f>IF(COUNTIF($F$2:F31,F31)=1, "",
  IF(COUNTIF($F$2:F31,F31)=2, "c",
    "c" &amp; (COUNTIF($F$2:F31,F31)-2)))</f>
        <v>c26</v>
      </c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1:26" s="14" customFormat="1" x14ac:dyDescent="0.25">
      <c r="A32" s="22" t="str">
        <f>IF(Hoja2!A32="","",Hoja2!A32)</f>
        <v/>
      </c>
      <c r="B32" s="22" t="str">
        <f>IF(Hoja2!B32="","",Hoja2!B32)</f>
        <v/>
      </c>
      <c r="C32" s="23" t="str">
        <f>IF(Hoja2!C32="","",Hoja2!C32)</f>
        <v/>
      </c>
      <c r="D32" s="24" t="str">
        <f>IF(Hoja2!D32="","",Hoja2!D32)</f>
        <v/>
      </c>
      <c r="E32" s="25">
        <v>46020</v>
      </c>
      <c r="F32" s="22" t="str">
        <f>IFERROR(
    INDEX(Hoja3!B:B, MATCH(A32, Hoja3!E:E, 0)),
    IFERROR(
        INDEX(Hoja3!B:B, MATCH(A32, Hoja3!A:A, 0)),
        "## No encontrado ##"
    )
)</f>
        <v>## No encontrado ##</v>
      </c>
      <c r="G32" s="22" t="str">
        <f t="shared" si="0"/>
        <v>## No encontrado ##_16_## No encontrado ##c27</v>
      </c>
      <c r="H32" s="26">
        <f>Hoja3!C32</f>
        <v>16</v>
      </c>
      <c r="I32" s="22" t="str">
        <f>IFERROR(
    INDEX(Hoja3!D:D, MATCH(A32, Hoja3!E:E, 0)),
    IFERROR(
        INDEX(Hoja3!D:D, MATCH(A32, Hoja3!A:A, 0)),
        "## No encontrado ##"
    )
)</f>
        <v>## No encontrado ##</v>
      </c>
      <c r="J32" s="22" t="str">
        <f>IF(COUNTIF($F$2:F32,F32)=1, "",
  IF(COUNTIF($F$2:F32,F32)=2, "c",
    "c" &amp; (COUNTIF($F$2:F32,F32)-2)))</f>
        <v>c27</v>
      </c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spans="1:26" s="14" customFormat="1" x14ac:dyDescent="0.25">
      <c r="A33" s="22" t="str">
        <f>IF(Hoja2!A33="","",Hoja2!A33)</f>
        <v/>
      </c>
      <c r="B33" s="22" t="str">
        <f>IF(Hoja2!B33="","",Hoja2!B33)</f>
        <v/>
      </c>
      <c r="C33" s="23" t="str">
        <f>IF(Hoja2!C33="","",Hoja2!C33)</f>
        <v/>
      </c>
      <c r="D33" s="24" t="str">
        <f>IF(Hoja2!D33="","",Hoja2!D33)</f>
        <v/>
      </c>
      <c r="E33" s="25">
        <v>46020</v>
      </c>
      <c r="F33" s="22" t="str">
        <f>IFERROR(
    INDEX(Hoja3!B:B, MATCH(A33, Hoja3!E:E, 0)),
    IFERROR(
        INDEX(Hoja3!B:B, MATCH(A33, Hoja3!A:A, 0)),
        "## No encontrado ##"
    )
)</f>
        <v>## No encontrado ##</v>
      </c>
      <c r="G33" s="22" t="str">
        <f t="shared" si="0"/>
        <v>## No encontrado ##_16_## No encontrado ##c28</v>
      </c>
      <c r="H33" s="26">
        <f>Hoja3!C33</f>
        <v>16</v>
      </c>
      <c r="I33" s="22" t="str">
        <f>IFERROR(
    INDEX(Hoja3!D:D, MATCH(A33, Hoja3!E:E, 0)),
    IFERROR(
        INDEX(Hoja3!D:D, MATCH(A33, Hoja3!A:A, 0)),
        "## No encontrado ##"
    )
)</f>
        <v>## No encontrado ##</v>
      </c>
      <c r="J33" s="22" t="str">
        <f>IF(COUNTIF($F$2:F33,F33)=1, "",
  IF(COUNTIF($F$2:F33,F33)=2, "c",
    "c" &amp; (COUNTIF($F$2:F33,F33)-2)))</f>
        <v>c28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spans="1:26" s="14" customFormat="1" x14ac:dyDescent="0.25">
      <c r="A34" s="22" t="str">
        <f>IF(Hoja2!A34="","",Hoja2!A34)</f>
        <v/>
      </c>
      <c r="B34" s="22" t="str">
        <f>IF(Hoja2!B34="","",Hoja2!B34)</f>
        <v/>
      </c>
      <c r="C34" s="23" t="str">
        <f>IF(Hoja2!C34="","",Hoja2!C34)</f>
        <v/>
      </c>
      <c r="D34" s="24" t="str">
        <f>IF(Hoja2!D34="","",Hoja2!D34)</f>
        <v/>
      </c>
      <c r="E34" s="25">
        <v>46020</v>
      </c>
      <c r="F34" s="22" t="str">
        <f>IFERROR(
    INDEX(Hoja3!B:B, MATCH(A34, Hoja3!E:E, 0)),
    IFERROR(
        INDEX(Hoja3!B:B, MATCH(A34, Hoja3!A:A, 0)),
        "## No encontrado ##"
    )
)</f>
        <v>## No encontrado ##</v>
      </c>
      <c r="G34" s="22" t="str">
        <f t="shared" si="0"/>
        <v>## No encontrado ##_16_## No encontrado ##c29</v>
      </c>
      <c r="H34" s="26">
        <f>Hoja3!C34</f>
        <v>16</v>
      </c>
      <c r="I34" s="22" t="str">
        <f>IFERROR(
    INDEX(Hoja3!D:D, MATCH(A34, Hoja3!E:E, 0)),
    IFERROR(
        INDEX(Hoja3!D:D, MATCH(A34, Hoja3!A:A, 0)),
        "## No encontrado ##"
    )
)</f>
        <v>## No encontrado ##</v>
      </c>
      <c r="J34" s="22" t="str">
        <f>IF(COUNTIF($F$2:F34,F34)=1, "",
  IF(COUNTIF($F$2:F34,F34)=2, "c",
    "c" &amp; (COUNTIF($F$2:F34,F34)-2)))</f>
        <v>c29</v>
      </c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spans="1:26" s="14" customFormat="1" x14ac:dyDescent="0.25">
      <c r="A35" s="22" t="str">
        <f>IF(Hoja2!A35="","",Hoja2!A35)</f>
        <v/>
      </c>
      <c r="B35" s="22" t="str">
        <f>IF(Hoja2!B35="","",Hoja2!B35)</f>
        <v/>
      </c>
      <c r="C35" s="23" t="str">
        <f>IF(Hoja2!C35="","",Hoja2!C35)</f>
        <v/>
      </c>
      <c r="D35" s="24" t="str">
        <f>IF(Hoja2!D35="","",Hoja2!D35)</f>
        <v/>
      </c>
      <c r="E35" s="25">
        <v>46020</v>
      </c>
      <c r="F35" s="22" t="str">
        <f>IFERROR(
    INDEX(Hoja3!B:B, MATCH(A35, Hoja3!E:E, 0)),
    IFERROR(
        INDEX(Hoja3!B:B, MATCH(A35, Hoja3!A:A, 0)),
        "## No encontrado ##"
    )
)</f>
        <v>## No encontrado ##</v>
      </c>
      <c r="G35" s="22" t="str">
        <f t="shared" si="0"/>
        <v>## No encontrado ##_16_## No encontrado ##c30</v>
      </c>
      <c r="H35" s="26">
        <f>Hoja3!C35</f>
        <v>16</v>
      </c>
      <c r="I35" s="22" t="str">
        <f>IFERROR(
    INDEX(Hoja3!D:D, MATCH(A35, Hoja3!E:E, 0)),
    IFERROR(
        INDEX(Hoja3!D:D, MATCH(A35, Hoja3!A:A, 0)),
        "## No encontrado ##"
    )
)</f>
        <v>## No encontrado ##</v>
      </c>
      <c r="J35" s="22" t="str">
        <f>IF(COUNTIF($F$2:F35,F35)=1, "",
  IF(COUNTIF($F$2:F35,F35)=2, "c",
    "c" &amp; (COUNTIF($F$2:F35,F35)-2)))</f>
        <v>c30</v>
      </c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spans="1:26" s="14" customFormat="1" x14ac:dyDescent="0.25">
      <c r="A36" s="22" t="str">
        <f>IF(Hoja2!A36="","",Hoja2!A36)</f>
        <v/>
      </c>
      <c r="B36" s="22" t="str">
        <f>IF(Hoja2!B36="","",Hoja2!B36)</f>
        <v/>
      </c>
      <c r="C36" s="23" t="str">
        <f>IF(Hoja2!C36="","",Hoja2!C36)</f>
        <v/>
      </c>
      <c r="D36" s="24" t="str">
        <f>IF(Hoja2!D36="","",Hoja2!D36)</f>
        <v/>
      </c>
      <c r="E36" s="25">
        <v>46020</v>
      </c>
      <c r="F36" s="22" t="str">
        <f>IFERROR(
    INDEX(Hoja3!B:B, MATCH(A36, Hoja3!E:E, 0)),
    IFERROR(
        INDEX(Hoja3!B:B, MATCH(A36, Hoja3!A:A, 0)),
        "## No encontrado ##"
    )
)</f>
        <v>## No encontrado ##</v>
      </c>
      <c r="G36" s="22" t="str">
        <f t="shared" si="0"/>
        <v>## No encontrado ##_16_## No encontrado ##c31</v>
      </c>
      <c r="H36" s="26">
        <f>Hoja3!C36</f>
        <v>16</v>
      </c>
      <c r="I36" s="22" t="str">
        <f>IFERROR(
    INDEX(Hoja3!D:D, MATCH(A36, Hoja3!E:E, 0)),
    IFERROR(
        INDEX(Hoja3!D:D, MATCH(A36, Hoja3!A:A, 0)),
        "## No encontrado ##"
    )
)</f>
        <v>## No encontrado ##</v>
      </c>
      <c r="J36" s="22" t="str">
        <f>IF(COUNTIF($F$2:F36,F36)=1, "",
  IF(COUNTIF($F$2:F36,F36)=2, "c",
    "c" &amp; (COUNTIF($F$2:F36,F36)-2)))</f>
        <v>c31</v>
      </c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spans="1:26" s="14" customFormat="1" x14ac:dyDescent="0.25">
      <c r="A37" s="22" t="str">
        <f>IF(Hoja2!A37="","",Hoja2!A37)</f>
        <v/>
      </c>
      <c r="B37" s="22" t="str">
        <f>IF(Hoja2!B37="","",Hoja2!B37)</f>
        <v/>
      </c>
      <c r="C37" s="23" t="str">
        <f>IF(Hoja2!C37="","",Hoja2!C37)</f>
        <v/>
      </c>
      <c r="D37" s="24" t="str">
        <f>IF(Hoja2!D37="","",Hoja2!D37)</f>
        <v/>
      </c>
      <c r="E37" s="25">
        <v>46020</v>
      </c>
      <c r="F37" s="22" t="str">
        <f>IFERROR(
    INDEX(Hoja3!B:B, MATCH(A37, Hoja3!E:E, 0)),
    IFERROR(
        INDEX(Hoja3!B:B, MATCH(A37, Hoja3!A:A, 0)),
        "## No encontrado ##"
    )
)</f>
        <v>## No encontrado ##</v>
      </c>
      <c r="G37" s="22" t="str">
        <f t="shared" si="0"/>
        <v>## No encontrado ##_16_## No encontrado ##c32</v>
      </c>
      <c r="H37" s="26">
        <f>Hoja3!C37</f>
        <v>16</v>
      </c>
      <c r="I37" s="22" t="str">
        <f>IFERROR(
    INDEX(Hoja3!D:D, MATCH(A37, Hoja3!E:E, 0)),
    IFERROR(
        INDEX(Hoja3!D:D, MATCH(A37, Hoja3!A:A, 0)),
        "## No encontrado ##"
    )
)</f>
        <v>## No encontrado ##</v>
      </c>
      <c r="J37" s="22" t="str">
        <f>IF(COUNTIF($F$2:F37,F37)=1, "",
  IF(COUNTIF($F$2:F37,F37)=2, "c",
    "c" &amp; (COUNTIF($F$2:F37,F37)-2)))</f>
        <v>c32</v>
      </c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spans="1:26" s="14" customFormat="1" x14ac:dyDescent="0.25">
      <c r="A38" s="22" t="str">
        <f>IF(Hoja2!A38="","",Hoja2!A38)</f>
        <v/>
      </c>
      <c r="B38" s="22" t="str">
        <f>IF(Hoja2!B38="","",Hoja2!B38)</f>
        <v/>
      </c>
      <c r="C38" s="23" t="str">
        <f>IF(Hoja2!C38="","",Hoja2!C38)</f>
        <v/>
      </c>
      <c r="D38" s="24" t="str">
        <f>IF(Hoja2!D38="","",Hoja2!D38)</f>
        <v/>
      </c>
      <c r="E38" s="25">
        <v>46020</v>
      </c>
      <c r="F38" s="22" t="str">
        <f>IFERROR(
    INDEX(Hoja3!B:B, MATCH(A38, Hoja3!E:E, 0)),
    IFERROR(
        INDEX(Hoja3!B:B, MATCH(A38, Hoja3!A:A, 0)),
        "## No encontrado ##"
    )
)</f>
        <v>## No encontrado ##</v>
      </c>
      <c r="G38" s="22" t="str">
        <f t="shared" si="0"/>
        <v>## No encontrado ##_16_## No encontrado ##c33</v>
      </c>
      <c r="H38" s="26">
        <f>Hoja3!C38</f>
        <v>16</v>
      </c>
      <c r="I38" s="22" t="str">
        <f>IFERROR(
    INDEX(Hoja3!D:D, MATCH(A38, Hoja3!E:E, 0)),
    IFERROR(
        INDEX(Hoja3!D:D, MATCH(A38, Hoja3!A:A, 0)),
        "## No encontrado ##"
    )
)</f>
        <v>## No encontrado ##</v>
      </c>
      <c r="J38" s="22" t="str">
        <f>IF(COUNTIF($F$2:F38,F38)=1, "",
  IF(COUNTIF($F$2:F38,F38)=2, "c",
    "c" &amp; (COUNTIF($F$2:F38,F38)-2)))</f>
        <v>c33</v>
      </c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spans="1:26" s="14" customFormat="1" x14ac:dyDescent="0.25">
      <c r="A39" s="22" t="str">
        <f>IF(Hoja2!A39="","",Hoja2!A39)</f>
        <v/>
      </c>
      <c r="B39" s="22" t="str">
        <f>IF(Hoja2!B39="","",Hoja2!B39)</f>
        <v/>
      </c>
      <c r="C39" s="23" t="str">
        <f>IF(Hoja2!C39="","",Hoja2!C39)</f>
        <v/>
      </c>
      <c r="D39" s="24" t="str">
        <f>IF(Hoja2!D39="","",Hoja2!D39)</f>
        <v/>
      </c>
      <c r="E39" s="25">
        <v>46020</v>
      </c>
      <c r="F39" s="22" t="str">
        <f>IFERROR(
    INDEX(Hoja3!B:B, MATCH(A39, Hoja3!E:E, 0)),
    IFERROR(
        INDEX(Hoja3!B:B, MATCH(A39, Hoja3!A:A, 0)),
        "## No encontrado ##"
    )
)</f>
        <v>## No encontrado ##</v>
      </c>
      <c r="G39" s="22" t="str">
        <f t="shared" si="0"/>
        <v>## No encontrado ##_16_## No encontrado ##c34</v>
      </c>
      <c r="H39" s="26">
        <f>Hoja3!C39</f>
        <v>16</v>
      </c>
      <c r="I39" s="22" t="str">
        <f>IFERROR(
    INDEX(Hoja3!D:D, MATCH(A39, Hoja3!E:E, 0)),
    IFERROR(
        INDEX(Hoja3!D:D, MATCH(A39, Hoja3!A:A, 0)),
        "## No encontrado ##"
    )
)</f>
        <v>## No encontrado ##</v>
      </c>
      <c r="J39" s="22" t="str">
        <f>IF(COUNTIF($F$2:F39,F39)=1, "",
  IF(COUNTIF($F$2:F39,F39)=2, "c",
    "c" &amp; (COUNTIF($F$2:F39,F39)-2)))</f>
        <v>c34</v>
      </c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spans="1:26" s="14" customFormat="1" x14ac:dyDescent="0.25">
      <c r="A40" s="22" t="str">
        <f>IF(Hoja2!A40="","",Hoja2!A40)</f>
        <v/>
      </c>
      <c r="B40" s="22" t="str">
        <f>IF(Hoja2!B40="","",Hoja2!B40)</f>
        <v/>
      </c>
      <c r="C40" s="23" t="str">
        <f>IF(Hoja2!C40="","",Hoja2!C40)</f>
        <v/>
      </c>
      <c r="D40" s="24" t="str">
        <f>IF(Hoja2!D40="","",Hoja2!D40)</f>
        <v/>
      </c>
      <c r="E40" s="25">
        <v>46020</v>
      </c>
      <c r="F40" s="22" t="str">
        <f>IFERROR(
    INDEX(Hoja3!B:B, MATCH(A40, Hoja3!E:E, 0)),
    IFERROR(
        INDEX(Hoja3!B:B, MATCH(A40, Hoja3!A:A, 0)),
        "## No encontrado ##"
    )
)</f>
        <v>## No encontrado ##</v>
      </c>
      <c r="G40" s="22" t="str">
        <f t="shared" si="0"/>
        <v>## No encontrado ##_16_## No encontrado ##c35</v>
      </c>
      <c r="H40" s="26">
        <f>Hoja3!C40</f>
        <v>16</v>
      </c>
      <c r="I40" s="22" t="str">
        <f>IFERROR(
    INDEX(Hoja3!D:D, MATCH(A40, Hoja3!E:E, 0)),
    IFERROR(
        INDEX(Hoja3!D:D, MATCH(A40, Hoja3!A:A, 0)),
        "## No encontrado ##"
    )
)</f>
        <v>## No encontrado ##</v>
      </c>
      <c r="J40" s="22" t="str">
        <f>IF(COUNTIF($F$2:F40,F40)=1, "",
  IF(COUNTIF($F$2:F40,F40)=2, "c",
    "c" &amp; (COUNTIF($F$2:F40,F40)-2)))</f>
        <v>c35</v>
      </c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spans="1:26" s="14" customFormat="1" x14ac:dyDescent="0.25">
      <c r="A41" s="22" t="str">
        <f>IF(Hoja2!A41="","",Hoja2!A41)</f>
        <v/>
      </c>
      <c r="B41" s="22" t="str">
        <f>IF(Hoja2!B41="","",Hoja2!B41)</f>
        <v/>
      </c>
      <c r="C41" s="23" t="str">
        <f>IF(Hoja2!C41="","",Hoja2!C41)</f>
        <v/>
      </c>
      <c r="D41" s="24" t="str">
        <f>IF(Hoja2!D41="","",Hoja2!D41)</f>
        <v/>
      </c>
      <c r="E41" s="25">
        <v>46020</v>
      </c>
      <c r="F41" s="22" t="str">
        <f>IFERROR(
    INDEX(Hoja3!B:B, MATCH(A41, Hoja3!E:E, 0)),
    IFERROR(
        INDEX(Hoja3!B:B, MATCH(A41, Hoja3!A:A, 0)),
        "## No encontrado ##"
    )
)</f>
        <v>## No encontrado ##</v>
      </c>
      <c r="G41" s="22" t="str">
        <f t="shared" si="0"/>
        <v>## No encontrado ##_16_## No encontrado ##c36</v>
      </c>
      <c r="H41" s="26">
        <f>Hoja3!C41</f>
        <v>16</v>
      </c>
      <c r="I41" s="22" t="str">
        <f>IFERROR(
    INDEX(Hoja3!D:D, MATCH(A41, Hoja3!E:E, 0)),
    IFERROR(
        INDEX(Hoja3!D:D, MATCH(A41, Hoja3!A:A, 0)),
        "## No encontrado ##"
    )
)</f>
        <v>## No encontrado ##</v>
      </c>
      <c r="J41" s="22" t="str">
        <f>IF(COUNTIF($F$2:F41,F41)=1, "",
  IF(COUNTIF($F$2:F41,F41)=2, "c",
    "c" &amp; (COUNTIF($F$2:F41,F41)-2)))</f>
        <v>c36</v>
      </c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spans="1:26" s="14" customFormat="1" x14ac:dyDescent="0.25">
      <c r="A42" s="22" t="str">
        <f>IF(Hoja2!A42="","",Hoja2!A42)</f>
        <v/>
      </c>
      <c r="B42" s="22" t="str">
        <f>IF(Hoja2!B42="","",Hoja2!B42)</f>
        <v/>
      </c>
      <c r="C42" s="23" t="str">
        <f>IF(Hoja2!C42="","",Hoja2!C42)</f>
        <v/>
      </c>
      <c r="D42" s="24" t="str">
        <f>IF(Hoja2!D42="","",Hoja2!D42)</f>
        <v/>
      </c>
      <c r="E42" s="25">
        <v>46020</v>
      </c>
      <c r="F42" s="22" t="str">
        <f>IFERROR(
    INDEX(Hoja3!B:B, MATCH(A42, Hoja3!E:E, 0)),
    IFERROR(
        INDEX(Hoja3!B:B, MATCH(A42, Hoja3!A:A, 0)),
        "## No encontrado ##"
    )
)</f>
        <v>## No encontrado ##</v>
      </c>
      <c r="G42" s="22" t="str">
        <f t="shared" si="0"/>
        <v>## No encontrado ##_16_## No encontrado ##c37</v>
      </c>
      <c r="H42" s="26">
        <f>Hoja3!C42</f>
        <v>16</v>
      </c>
      <c r="I42" s="22" t="str">
        <f>IFERROR(
    INDEX(Hoja3!D:D, MATCH(A42, Hoja3!E:E, 0)),
    IFERROR(
        INDEX(Hoja3!D:D, MATCH(A42, Hoja3!A:A, 0)),
        "## No encontrado ##"
    )
)</f>
        <v>## No encontrado ##</v>
      </c>
      <c r="J42" s="22" t="str">
        <f>IF(COUNTIF($F$2:F42,F42)=1, "",
  IF(COUNTIF($F$2:F42,F42)=2, "c",
    "c" &amp; (COUNTIF($F$2:F42,F42)-2)))</f>
        <v>c37</v>
      </c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spans="1:26" s="14" customFormat="1" x14ac:dyDescent="0.25">
      <c r="A43" s="22" t="str">
        <f>IF(Hoja2!A43="","",Hoja2!A43)</f>
        <v/>
      </c>
      <c r="B43" s="22" t="str">
        <f>IF(Hoja2!B43="","",Hoja2!B43)</f>
        <v/>
      </c>
      <c r="C43" s="23" t="str">
        <f>IF(Hoja2!C43="","",Hoja2!C43)</f>
        <v/>
      </c>
      <c r="D43" s="24" t="str">
        <f>IF(Hoja2!D43="","",Hoja2!D43)</f>
        <v/>
      </c>
      <c r="E43" s="25">
        <v>46020</v>
      </c>
      <c r="F43" s="22" t="str">
        <f>IFERROR(
    INDEX(Hoja3!B:B, MATCH(A43, Hoja3!E:E, 0)),
    IFERROR(
        INDEX(Hoja3!B:B, MATCH(A43, Hoja3!A:A, 0)),
        "## No encontrado ##"
    )
)</f>
        <v>## No encontrado ##</v>
      </c>
      <c r="G43" s="22" t="str">
        <f t="shared" si="0"/>
        <v>## No encontrado ##_16_## No encontrado ##c38</v>
      </c>
      <c r="H43" s="26">
        <f>Hoja3!C43</f>
        <v>16</v>
      </c>
      <c r="I43" s="22" t="str">
        <f>IFERROR(
    INDEX(Hoja3!D:D, MATCH(A43, Hoja3!E:E, 0)),
    IFERROR(
        INDEX(Hoja3!D:D, MATCH(A43, Hoja3!A:A, 0)),
        "## No encontrado ##"
    )
)</f>
        <v>## No encontrado ##</v>
      </c>
      <c r="J43" s="22" t="str">
        <f>IF(COUNTIF($F$2:F43,F43)=1, "",
  IF(COUNTIF($F$2:F43,F43)=2, "c",
    "c" &amp; (COUNTIF($F$2:F43,F43)-2)))</f>
        <v>c38</v>
      </c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spans="1:26" s="14" customFormat="1" x14ac:dyDescent="0.25">
      <c r="A44" s="22" t="str">
        <f>IF(Hoja2!A44="","",Hoja2!A44)</f>
        <v/>
      </c>
      <c r="B44" s="22" t="str">
        <f>IF(Hoja2!B44="","",Hoja2!B44)</f>
        <v/>
      </c>
      <c r="C44" s="23" t="str">
        <f>IF(Hoja2!C44="","",Hoja2!C44)</f>
        <v/>
      </c>
      <c r="D44" s="24" t="str">
        <f>IF(Hoja2!D44="","",Hoja2!D44)</f>
        <v/>
      </c>
      <c r="E44" s="25">
        <v>46020</v>
      </c>
      <c r="F44" s="22" t="str">
        <f>IFERROR(
    INDEX(Hoja3!B:B, MATCH(A44, Hoja3!E:E, 0)),
    IFERROR(
        INDEX(Hoja3!B:B, MATCH(A44, Hoja3!A:A, 0)),
        "## No encontrado ##"
    )
)</f>
        <v>## No encontrado ##</v>
      </c>
      <c r="G44" s="22" t="str">
        <f t="shared" si="0"/>
        <v>## No encontrado ##_16_## No encontrado ##c39</v>
      </c>
      <c r="H44" s="26">
        <f>Hoja3!C44</f>
        <v>16</v>
      </c>
      <c r="I44" s="22" t="str">
        <f>IFERROR(
    INDEX(Hoja3!D:D, MATCH(A44, Hoja3!E:E, 0)),
    IFERROR(
        INDEX(Hoja3!D:D, MATCH(A44, Hoja3!A:A, 0)),
        "## No encontrado ##"
    )
)</f>
        <v>## No encontrado ##</v>
      </c>
      <c r="J44" s="22" t="str">
        <f>IF(COUNTIF($F$2:F44,F44)=1, "",
  IF(COUNTIF($F$2:F44,F44)=2, "c",
    "c" &amp; (COUNTIF($F$2:F44,F44)-2)))</f>
        <v>c39</v>
      </c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spans="1:26" s="14" customFormat="1" x14ac:dyDescent="0.25">
      <c r="A45" s="22" t="str">
        <f>IF(Hoja2!A45="","",Hoja2!A45)</f>
        <v/>
      </c>
      <c r="B45" s="22" t="str">
        <f>IF(Hoja2!B45="","",Hoja2!B45)</f>
        <v/>
      </c>
      <c r="C45" s="23" t="str">
        <f>IF(Hoja2!C45="","",Hoja2!C45)</f>
        <v/>
      </c>
      <c r="D45" s="24" t="str">
        <f>IF(Hoja2!D45="","",Hoja2!D45)</f>
        <v/>
      </c>
      <c r="E45" s="25">
        <v>46020</v>
      </c>
      <c r="F45" s="22" t="str">
        <f>IFERROR(
    INDEX(Hoja3!B:B, MATCH(A45, Hoja3!E:E, 0)),
    IFERROR(
        INDEX(Hoja3!B:B, MATCH(A45, Hoja3!A:A, 0)),
        "## No encontrado ##"
    )
)</f>
        <v>## No encontrado ##</v>
      </c>
      <c r="G45" s="22" t="str">
        <f t="shared" si="0"/>
        <v>## No encontrado ##_16_## No encontrado ##c40</v>
      </c>
      <c r="H45" s="26">
        <f>Hoja3!C45</f>
        <v>16</v>
      </c>
      <c r="I45" s="22" t="str">
        <f>IFERROR(
    INDEX(Hoja3!D:D, MATCH(A45, Hoja3!E:E, 0)),
    IFERROR(
        INDEX(Hoja3!D:D, MATCH(A45, Hoja3!A:A, 0)),
        "## No encontrado ##"
    )
)</f>
        <v>## No encontrado ##</v>
      </c>
      <c r="J45" s="22" t="str">
        <f>IF(COUNTIF($F$2:F45,F45)=1, "",
  IF(COUNTIF($F$2:F45,F45)=2, "c",
    "c" &amp; (COUNTIF($F$2:F45,F45)-2)))</f>
        <v>c40</v>
      </c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spans="1:26" s="14" customFormat="1" x14ac:dyDescent="0.25">
      <c r="A46" s="22" t="str">
        <f>IF(Hoja2!A46="","",Hoja2!A46)</f>
        <v/>
      </c>
      <c r="B46" s="22" t="str">
        <f>IF(Hoja2!B46="","",Hoja2!B46)</f>
        <v/>
      </c>
      <c r="C46" s="23" t="str">
        <f>IF(Hoja2!C46="","",Hoja2!C46)</f>
        <v/>
      </c>
      <c r="D46" s="24" t="str">
        <f>IF(Hoja2!D46="","",Hoja2!D46)</f>
        <v/>
      </c>
      <c r="E46" s="25">
        <v>46020</v>
      </c>
      <c r="F46" s="22" t="str">
        <f>IFERROR(
    INDEX(Hoja3!B:B, MATCH(A46, Hoja3!E:E, 0)),
    IFERROR(
        INDEX(Hoja3!B:B, MATCH(A46, Hoja3!A:A, 0)),
        "## No encontrado ##"
    )
)</f>
        <v>## No encontrado ##</v>
      </c>
      <c r="G46" s="22" t="str">
        <f t="shared" si="0"/>
        <v>## No encontrado ##_16_## No encontrado ##c41</v>
      </c>
      <c r="H46" s="26">
        <f>Hoja3!C46</f>
        <v>16</v>
      </c>
      <c r="I46" s="22" t="str">
        <f>IFERROR(
    INDEX(Hoja3!D:D, MATCH(A46, Hoja3!E:E, 0)),
    IFERROR(
        INDEX(Hoja3!D:D, MATCH(A46, Hoja3!A:A, 0)),
        "## No encontrado ##"
    )
)</f>
        <v>## No encontrado ##</v>
      </c>
      <c r="J46" s="22" t="str">
        <f>IF(COUNTIF($F$2:F46,F46)=1, "",
  IF(COUNTIF($F$2:F46,F46)=2, "c",
    "c" &amp; (COUNTIF($F$2:F46,F46)-2)))</f>
        <v>c41</v>
      </c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spans="1:26" s="14" customFormat="1" x14ac:dyDescent="0.25">
      <c r="A47" s="22" t="str">
        <f>IF(Hoja2!A47="","",Hoja2!A47)</f>
        <v/>
      </c>
      <c r="B47" s="22" t="str">
        <f>IF(Hoja2!B47="","",Hoja2!B47)</f>
        <v/>
      </c>
      <c r="C47" s="23" t="str">
        <f>IF(Hoja2!C47="","",Hoja2!C47)</f>
        <v/>
      </c>
      <c r="D47" s="24" t="str">
        <f>IF(Hoja2!D47="","",Hoja2!D47)</f>
        <v/>
      </c>
      <c r="E47" s="25">
        <v>46020</v>
      </c>
      <c r="F47" s="22" t="str">
        <f>IFERROR(
    INDEX(Hoja3!B:B, MATCH(A47, Hoja3!E:E, 0)),
    IFERROR(
        INDEX(Hoja3!B:B, MATCH(A47, Hoja3!A:A, 0)),
        "## No encontrado ##"
    )
)</f>
        <v>## No encontrado ##</v>
      </c>
      <c r="G47" s="22" t="str">
        <f t="shared" si="0"/>
        <v>## No encontrado ##_16_## No encontrado ##c42</v>
      </c>
      <c r="H47" s="26">
        <f>Hoja3!C47</f>
        <v>16</v>
      </c>
      <c r="I47" s="22" t="str">
        <f>IFERROR(
    INDEX(Hoja3!D:D, MATCH(A47, Hoja3!E:E, 0)),
    IFERROR(
        INDEX(Hoja3!D:D, MATCH(A47, Hoja3!A:A, 0)),
        "## No encontrado ##"
    )
)</f>
        <v>## No encontrado ##</v>
      </c>
      <c r="J47" s="22" t="str">
        <f>IF(COUNTIF($F$2:F47,F47)=1, "",
  IF(COUNTIF($F$2:F47,F47)=2, "c",
    "c" &amp; (COUNTIF($F$2:F47,F47)-2)))</f>
        <v>c42</v>
      </c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spans="1:26" s="14" customFormat="1" x14ac:dyDescent="0.25">
      <c r="A48" s="22" t="str">
        <f>IF(Hoja2!A48="","",Hoja2!A48)</f>
        <v/>
      </c>
      <c r="B48" s="22" t="str">
        <f>IF(Hoja2!B48="","",Hoja2!B48)</f>
        <v/>
      </c>
      <c r="C48" s="23" t="str">
        <f>IF(Hoja2!C48="","",Hoja2!C48)</f>
        <v/>
      </c>
      <c r="D48" s="24" t="str">
        <f>IF(Hoja2!D48="","",Hoja2!D48)</f>
        <v/>
      </c>
      <c r="E48" s="25">
        <v>46020</v>
      </c>
      <c r="F48" s="22" t="str">
        <f>IFERROR(
    INDEX(Hoja3!B:B, MATCH(A48, Hoja3!E:E, 0)),
    IFERROR(
        INDEX(Hoja3!B:B, MATCH(A48, Hoja3!A:A, 0)),
        "## No encontrado ##"
    )
)</f>
        <v>## No encontrado ##</v>
      </c>
      <c r="G48" s="22" t="str">
        <f t="shared" si="0"/>
        <v>## No encontrado ##_16_## No encontrado ##c43</v>
      </c>
      <c r="H48" s="26">
        <f>Hoja3!C48</f>
        <v>16</v>
      </c>
      <c r="I48" s="22" t="str">
        <f>IFERROR(
    INDEX(Hoja3!D:D, MATCH(A48, Hoja3!E:E, 0)),
    IFERROR(
        INDEX(Hoja3!D:D, MATCH(A48, Hoja3!A:A, 0)),
        "## No encontrado ##"
    )
)</f>
        <v>## No encontrado ##</v>
      </c>
      <c r="J48" s="22" t="str">
        <f>IF(COUNTIF($F$2:F48,F48)=1, "",
  IF(COUNTIF($F$2:F48,F48)=2, "c",
    "c" &amp; (COUNTIF($F$2:F48,F48)-2)))</f>
        <v>c43</v>
      </c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spans="1:26" s="14" customFormat="1" x14ac:dyDescent="0.25">
      <c r="A49" s="22" t="str">
        <f>IF(Hoja2!A49="","",Hoja2!A49)</f>
        <v/>
      </c>
      <c r="B49" s="22" t="str">
        <f>IF(Hoja2!B49="","",Hoja2!B49)</f>
        <v/>
      </c>
      <c r="C49" s="23" t="str">
        <f>IF(Hoja2!C49="","",Hoja2!C49)</f>
        <v/>
      </c>
      <c r="D49" s="24" t="str">
        <f>IF(Hoja2!D49="","",Hoja2!D49)</f>
        <v/>
      </c>
      <c r="E49" s="25">
        <v>46020</v>
      </c>
      <c r="F49" s="22" t="str">
        <f>IFERROR(
    INDEX(Hoja3!B:B, MATCH(A49, Hoja3!E:E, 0)),
    IFERROR(
        INDEX(Hoja3!B:B, MATCH(A49, Hoja3!A:A, 0)),
        "## No encontrado ##"
    )
)</f>
        <v>## No encontrado ##</v>
      </c>
      <c r="G49" s="22" t="str">
        <f t="shared" si="0"/>
        <v>## No encontrado ##_16_## No encontrado ##c44</v>
      </c>
      <c r="H49" s="26">
        <f>Hoja3!C49</f>
        <v>16</v>
      </c>
      <c r="I49" s="22" t="str">
        <f>IFERROR(
    INDEX(Hoja3!D:D, MATCH(A49, Hoja3!E:E, 0)),
    IFERROR(
        INDEX(Hoja3!D:D, MATCH(A49, Hoja3!A:A, 0)),
        "## No encontrado ##"
    )
)</f>
        <v>## No encontrado ##</v>
      </c>
      <c r="J49" s="22" t="str">
        <f>IF(COUNTIF($F$2:F49,F49)=1, "",
  IF(COUNTIF($F$2:F49,F49)=2, "c",
    "c" &amp; (COUNTIF($F$2:F49,F49)-2)))</f>
        <v>c44</v>
      </c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spans="1:26" s="14" customFormat="1" x14ac:dyDescent="0.25">
      <c r="A50" s="22" t="str">
        <f>IF(Hoja2!A50="","",Hoja2!A50)</f>
        <v/>
      </c>
      <c r="B50" s="22" t="str">
        <f>IF(Hoja2!B50="","",Hoja2!B50)</f>
        <v/>
      </c>
      <c r="C50" s="23" t="str">
        <f>IF(Hoja2!C50="","",Hoja2!C50)</f>
        <v/>
      </c>
      <c r="D50" s="24" t="str">
        <f>IF(Hoja2!D50="","",Hoja2!D50)</f>
        <v/>
      </c>
      <c r="E50" s="25">
        <v>46020</v>
      </c>
      <c r="F50" s="22" t="str">
        <f>IFERROR(
    INDEX(Hoja3!B:B, MATCH(A50, Hoja3!E:E, 0)),
    IFERROR(
        INDEX(Hoja3!B:B, MATCH(A50, Hoja3!A:A, 0)),
        "## No encontrado ##"
    )
)</f>
        <v>## No encontrado ##</v>
      </c>
      <c r="G50" s="22" t="str">
        <f t="shared" si="0"/>
        <v>## No encontrado ##_16_## No encontrado ##c45</v>
      </c>
      <c r="H50" s="26">
        <f>Hoja3!C50</f>
        <v>16</v>
      </c>
      <c r="I50" s="22" t="str">
        <f>IFERROR(
    INDEX(Hoja3!D:D, MATCH(A50, Hoja3!E:E, 0)),
    IFERROR(
        INDEX(Hoja3!D:D, MATCH(A50, Hoja3!A:A, 0)),
        "## No encontrado ##"
    )
)</f>
        <v>## No encontrado ##</v>
      </c>
      <c r="J50" s="22" t="str">
        <f>IF(COUNTIF($F$2:F50,F50)=1, "",
  IF(COUNTIF($F$2:F50,F50)=2, "c",
    "c" &amp; (COUNTIF($F$2:F50,F50)-2)))</f>
        <v>c45</v>
      </c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spans="1:26" s="14" customFormat="1" x14ac:dyDescent="0.25">
      <c r="A51" s="22" t="str">
        <f>IF(Hoja2!A51="","",Hoja2!A51)</f>
        <v/>
      </c>
      <c r="B51" s="22" t="str">
        <f>IF(Hoja2!B51="","",Hoja2!B51)</f>
        <v/>
      </c>
      <c r="C51" s="23" t="str">
        <f>IF(Hoja2!C51="","",Hoja2!C51)</f>
        <v/>
      </c>
      <c r="D51" s="24" t="str">
        <f>IF(Hoja2!D51="","",Hoja2!D51)</f>
        <v/>
      </c>
      <c r="E51" s="25">
        <v>46020</v>
      </c>
      <c r="F51" s="22" t="str">
        <f>IFERROR(
    INDEX(Hoja3!B:B, MATCH(A51, Hoja3!E:E, 0)),
    IFERROR(
        INDEX(Hoja3!B:B, MATCH(A51, Hoja3!A:A, 0)),
        "## No encontrado ##"
    )
)</f>
        <v>## No encontrado ##</v>
      </c>
      <c r="G51" s="22" t="str">
        <f t="shared" si="0"/>
        <v>## No encontrado ##_16_## No encontrado ##c46</v>
      </c>
      <c r="H51" s="26">
        <f>Hoja3!C51</f>
        <v>16</v>
      </c>
      <c r="I51" s="22" t="str">
        <f>IFERROR(
    INDEX(Hoja3!D:D, MATCH(A51, Hoja3!E:E, 0)),
    IFERROR(
        INDEX(Hoja3!D:D, MATCH(A51, Hoja3!A:A, 0)),
        "## No encontrado ##"
    )
)</f>
        <v>## No encontrado ##</v>
      </c>
      <c r="J51" s="22" t="str">
        <f>IF(COUNTIF($F$2:F51,F51)=1, "",
  IF(COUNTIF($F$2:F51,F51)=2, "c",
    "c" &amp; (COUNTIF($F$2:F51,F51)-2)))</f>
        <v>c46</v>
      </c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spans="1:26" s="14" customFormat="1" x14ac:dyDescent="0.25">
      <c r="A52" s="22" t="str">
        <f>IF(Hoja2!A52="","",Hoja2!A52)</f>
        <v/>
      </c>
      <c r="B52" s="22" t="str">
        <f>IF(Hoja2!B52="","",Hoja2!B52)</f>
        <v/>
      </c>
      <c r="C52" s="23" t="str">
        <f>IF(Hoja2!C52="","",Hoja2!C52)</f>
        <v/>
      </c>
      <c r="D52" s="24" t="str">
        <f>IF(Hoja2!D52="","",Hoja2!D52)</f>
        <v/>
      </c>
      <c r="E52" s="25">
        <v>46020</v>
      </c>
      <c r="F52" s="22" t="str">
        <f>IFERROR(
    INDEX(Hoja3!B:B, MATCH(A52, Hoja3!E:E, 0)),
    IFERROR(
        INDEX(Hoja3!B:B, MATCH(A52, Hoja3!A:A, 0)),
        "## No encontrado ##"
    )
)</f>
        <v>## No encontrado ##</v>
      </c>
      <c r="G52" s="22" t="str">
        <f t="shared" si="0"/>
        <v>## No encontrado ##_16_## No encontrado ##c47</v>
      </c>
      <c r="H52" s="26">
        <f>Hoja3!C52</f>
        <v>16</v>
      </c>
      <c r="I52" s="22" t="str">
        <f>IFERROR(
    INDEX(Hoja3!D:D, MATCH(A52, Hoja3!E:E, 0)),
    IFERROR(
        INDEX(Hoja3!D:D, MATCH(A52, Hoja3!A:A, 0)),
        "## No encontrado ##"
    )
)</f>
        <v>## No encontrado ##</v>
      </c>
      <c r="J52" s="22" t="str">
        <f>IF(COUNTIF($F$2:F52,F52)=1, "",
  IF(COUNTIF($F$2:F52,F52)=2, "c",
    "c" &amp; (COUNTIF($F$2:F52,F52)-2)))</f>
        <v>c47</v>
      </c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spans="1:26" s="14" customFormat="1" x14ac:dyDescent="0.25">
      <c r="A53" s="22" t="str">
        <f>IF(Hoja2!A53="","",Hoja2!A53)</f>
        <v/>
      </c>
      <c r="B53" s="22" t="str">
        <f>IF(Hoja2!B53="","",Hoja2!B53)</f>
        <v/>
      </c>
      <c r="C53" s="23" t="str">
        <f>IF(Hoja2!C53="","",Hoja2!C53)</f>
        <v/>
      </c>
      <c r="D53" s="24" t="str">
        <f>IF(Hoja2!D53="","",Hoja2!D53)</f>
        <v/>
      </c>
      <c r="E53" s="25">
        <v>46020</v>
      </c>
      <c r="F53" s="22" t="str">
        <f>IFERROR(
    INDEX(Hoja3!B:B, MATCH(A53, Hoja3!E:E, 0)),
    IFERROR(
        INDEX(Hoja3!B:B, MATCH(A53, Hoja3!A:A, 0)),
        "## No encontrado ##"
    )
)</f>
        <v>## No encontrado ##</v>
      </c>
      <c r="G53" s="22" t="str">
        <f t="shared" si="0"/>
        <v>## No encontrado ##_16_## No encontrado ##c48</v>
      </c>
      <c r="H53" s="26">
        <f>Hoja3!C53</f>
        <v>16</v>
      </c>
      <c r="I53" s="22" t="str">
        <f>IFERROR(
    INDEX(Hoja3!D:D, MATCH(A53, Hoja3!E:E, 0)),
    IFERROR(
        INDEX(Hoja3!D:D, MATCH(A53, Hoja3!A:A, 0)),
        "## No encontrado ##"
    )
)</f>
        <v>## No encontrado ##</v>
      </c>
      <c r="J53" s="22" t="str">
        <f>IF(COUNTIF($F$2:F53,F53)=1, "",
  IF(COUNTIF($F$2:F53,F53)=2, "c",
    "c" &amp; (COUNTIF($F$2:F53,F53)-2)))</f>
        <v>c48</v>
      </c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spans="1:26" s="14" customFormat="1" x14ac:dyDescent="0.25">
      <c r="A54" s="22" t="str">
        <f>IF(Hoja2!A54="","",Hoja2!A54)</f>
        <v/>
      </c>
      <c r="B54" s="22" t="str">
        <f>IF(Hoja2!B54="","",Hoja2!B54)</f>
        <v/>
      </c>
      <c r="C54" s="23" t="str">
        <f>IF(Hoja2!C54="","",Hoja2!C54)</f>
        <v/>
      </c>
      <c r="D54" s="24" t="str">
        <f>IF(Hoja2!D54="","",Hoja2!D54)</f>
        <v/>
      </c>
      <c r="E54" s="25">
        <v>46020</v>
      </c>
      <c r="F54" s="22" t="str">
        <f>IFERROR(
    INDEX(Hoja3!B:B, MATCH(A54, Hoja3!E:E, 0)),
    IFERROR(
        INDEX(Hoja3!B:B, MATCH(A54, Hoja3!A:A, 0)),
        "## No encontrado ##"
    )
)</f>
        <v>## No encontrado ##</v>
      </c>
      <c r="G54" s="22" t="str">
        <f t="shared" si="0"/>
        <v>## No encontrado ##_16_## No encontrado ##c49</v>
      </c>
      <c r="H54" s="26">
        <f>Hoja3!C54</f>
        <v>16</v>
      </c>
      <c r="I54" s="22" t="str">
        <f>IFERROR(
    INDEX(Hoja3!D:D, MATCH(A54, Hoja3!E:E, 0)),
    IFERROR(
        INDEX(Hoja3!D:D, MATCH(A54, Hoja3!A:A, 0)),
        "## No encontrado ##"
    )
)</f>
        <v>## No encontrado ##</v>
      </c>
      <c r="J54" s="22" t="str">
        <f>IF(COUNTIF($F$2:F54,F54)=1, "",
  IF(COUNTIF($F$2:F54,F54)=2, "c",
    "c" &amp; (COUNTIF($F$2:F54,F54)-2)))</f>
        <v>c49</v>
      </c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spans="1:26" s="14" customFormat="1" x14ac:dyDescent="0.25">
      <c r="A55" s="22" t="str">
        <f>IF(Hoja2!A55="","",Hoja2!A55)</f>
        <v/>
      </c>
      <c r="B55" s="22" t="str">
        <f>IF(Hoja2!B55="","",Hoja2!B55)</f>
        <v/>
      </c>
      <c r="C55" s="23" t="str">
        <f>IF(Hoja2!C55="","",Hoja2!C55)</f>
        <v/>
      </c>
      <c r="D55" s="24" t="str">
        <f>IF(Hoja2!D55="","",Hoja2!D55)</f>
        <v/>
      </c>
      <c r="E55" s="25">
        <v>46020</v>
      </c>
      <c r="F55" s="22" t="str">
        <f>IFERROR(
    INDEX(Hoja3!B:B, MATCH(A55, Hoja3!E:E, 0)),
    IFERROR(
        INDEX(Hoja3!B:B, MATCH(A55, Hoja3!A:A, 0)),
        "## No encontrado ##"
    )
)</f>
        <v>## No encontrado ##</v>
      </c>
      <c r="G55" s="22" t="str">
        <f t="shared" si="0"/>
        <v>## No encontrado ##_16_## No encontrado ##c50</v>
      </c>
      <c r="H55" s="26">
        <f>Hoja3!C55</f>
        <v>16</v>
      </c>
      <c r="I55" s="22" t="str">
        <f>IFERROR(
    INDEX(Hoja3!D:D, MATCH(A55, Hoja3!E:E, 0)),
    IFERROR(
        INDEX(Hoja3!D:D, MATCH(A55, Hoja3!A:A, 0)),
        "## No encontrado ##"
    )
)</f>
        <v>## No encontrado ##</v>
      </c>
      <c r="J55" s="22" t="str">
        <f>IF(COUNTIF($F$2:F55,F55)=1, "",
  IF(COUNTIF($F$2:F55,F55)=2, "c",
    "c" &amp; (COUNTIF($F$2:F55,F55)-2)))</f>
        <v>c50</v>
      </c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spans="1:26" s="14" customFormat="1" x14ac:dyDescent="0.25">
      <c r="A56" s="22" t="str">
        <f>IF(Hoja2!A56="","",Hoja2!A56)</f>
        <v/>
      </c>
      <c r="B56" s="22" t="str">
        <f>IF(Hoja2!B56="","",Hoja2!B56)</f>
        <v/>
      </c>
      <c r="C56" s="23" t="str">
        <f>IF(Hoja2!C56="","",Hoja2!C56)</f>
        <v/>
      </c>
      <c r="D56" s="24" t="str">
        <f>IF(Hoja2!D56="","",Hoja2!D56)</f>
        <v/>
      </c>
      <c r="E56" s="25">
        <v>46020</v>
      </c>
      <c r="F56" s="22" t="str">
        <f>IFERROR(
    INDEX(Hoja3!B:B, MATCH(A56, Hoja3!E:E, 0)),
    IFERROR(
        INDEX(Hoja3!B:B, MATCH(A56, Hoja3!A:A, 0)),
        "## No encontrado ##"
    )
)</f>
        <v>## No encontrado ##</v>
      </c>
      <c r="G56" s="22" t="str">
        <f t="shared" si="0"/>
        <v>## No encontrado ##_16_## No encontrado ##c51</v>
      </c>
      <c r="H56" s="26">
        <f>Hoja3!C56</f>
        <v>16</v>
      </c>
      <c r="I56" s="22" t="str">
        <f>IFERROR(
    INDEX(Hoja3!D:D, MATCH(A56, Hoja3!E:E, 0)),
    IFERROR(
        INDEX(Hoja3!D:D, MATCH(A56, Hoja3!A:A, 0)),
        "## No encontrado ##"
    )
)</f>
        <v>## No encontrado ##</v>
      </c>
      <c r="J56" s="22" t="str">
        <f>IF(COUNTIF($F$2:F56,F56)=1, "",
  IF(COUNTIF($F$2:F56,F56)=2, "c",
    "c" &amp; (COUNTIF($F$2:F56,F56)-2)))</f>
        <v>c51</v>
      </c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spans="1:26" s="14" customFormat="1" x14ac:dyDescent="0.25">
      <c r="A57" s="22" t="str">
        <f>IF(Hoja2!A57="","",Hoja2!A57)</f>
        <v/>
      </c>
      <c r="B57" s="22" t="str">
        <f>IF(Hoja2!B57="","",Hoja2!B57)</f>
        <v/>
      </c>
      <c r="C57" s="23" t="str">
        <f>IF(Hoja2!C57="","",Hoja2!C57)</f>
        <v/>
      </c>
      <c r="D57" s="24" t="str">
        <f>IF(Hoja2!D57="","",Hoja2!D57)</f>
        <v/>
      </c>
      <c r="E57" s="25">
        <v>46020</v>
      </c>
      <c r="F57" s="22" t="str">
        <f>IFERROR(
    INDEX(Hoja3!B:B, MATCH(A57, Hoja3!E:E, 0)),
    IFERROR(
        INDEX(Hoja3!B:B, MATCH(A57, Hoja3!A:A, 0)),
        "## No encontrado ##"
    )
)</f>
        <v>## No encontrado ##</v>
      </c>
      <c r="G57" s="22" t="str">
        <f t="shared" si="0"/>
        <v>## No encontrado ##_16_## No encontrado ##c52</v>
      </c>
      <c r="H57" s="26">
        <f>Hoja3!C57</f>
        <v>16</v>
      </c>
      <c r="I57" s="22" t="str">
        <f>IFERROR(
    INDEX(Hoja3!D:D, MATCH(A57, Hoja3!E:E, 0)),
    IFERROR(
        INDEX(Hoja3!D:D, MATCH(A57, Hoja3!A:A, 0)),
        "## No encontrado ##"
    )
)</f>
        <v>## No encontrado ##</v>
      </c>
      <c r="J57" s="22" t="str">
        <f>IF(COUNTIF($F$2:F57,F57)=1, "",
  IF(COUNTIF($F$2:F57,F57)=2, "c",
    "c" &amp; (COUNTIF($F$2:F57,F57)-2)))</f>
        <v>c52</v>
      </c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spans="1:26" s="14" customFormat="1" x14ac:dyDescent="0.25">
      <c r="A58" s="22" t="str">
        <f>IF(Hoja2!A58="","",Hoja2!A58)</f>
        <v/>
      </c>
      <c r="B58" s="22" t="str">
        <f>IF(Hoja2!B58="","",Hoja2!B58)</f>
        <v/>
      </c>
      <c r="C58" s="23" t="str">
        <f>IF(Hoja2!C58="","",Hoja2!C58)</f>
        <v/>
      </c>
      <c r="D58" s="24" t="str">
        <f>IF(Hoja2!D58="","",Hoja2!D58)</f>
        <v/>
      </c>
      <c r="E58" s="25">
        <v>46020</v>
      </c>
      <c r="F58" s="22" t="str">
        <f>IFERROR(
    INDEX(Hoja3!B:B, MATCH(A58, Hoja3!E:E, 0)),
    IFERROR(
        INDEX(Hoja3!B:B, MATCH(A58, Hoja3!A:A, 0)),
        "## No encontrado ##"
    )
)</f>
        <v>## No encontrado ##</v>
      </c>
      <c r="G58" s="22" t="str">
        <f t="shared" si="0"/>
        <v>## No encontrado ##_16_## No encontrado ##c53</v>
      </c>
      <c r="H58" s="26">
        <f>Hoja3!C58</f>
        <v>16</v>
      </c>
      <c r="I58" s="22" t="str">
        <f>IFERROR(
    INDEX(Hoja3!D:D, MATCH(A58, Hoja3!E:E, 0)),
    IFERROR(
        INDEX(Hoja3!D:D, MATCH(A58, Hoja3!A:A, 0)),
        "## No encontrado ##"
    )
)</f>
        <v>## No encontrado ##</v>
      </c>
      <c r="J58" s="22" t="str">
        <f>IF(COUNTIF($F$2:F58,F58)=1, "",
  IF(COUNTIF($F$2:F58,F58)=2, "c",
    "c" &amp; (COUNTIF($F$2:F58,F58)-2)))</f>
        <v>c53</v>
      </c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spans="1:26" s="14" customFormat="1" x14ac:dyDescent="0.25">
      <c r="A59" s="22" t="str">
        <f>IF(Hoja2!A59="","",Hoja2!A59)</f>
        <v/>
      </c>
      <c r="B59" s="22" t="str">
        <f>IF(Hoja2!B59="","",Hoja2!B59)</f>
        <v/>
      </c>
      <c r="C59" s="23" t="str">
        <f>IF(Hoja2!C59="","",Hoja2!C59)</f>
        <v/>
      </c>
      <c r="D59" s="24" t="str">
        <f>IF(Hoja2!D59="","",Hoja2!D59)</f>
        <v/>
      </c>
      <c r="E59" s="25">
        <v>46020</v>
      </c>
      <c r="F59" s="22" t="str">
        <f>IFERROR(
    INDEX(Hoja3!B:B, MATCH(A59, Hoja3!E:E, 0)),
    IFERROR(
        INDEX(Hoja3!B:B, MATCH(A59, Hoja3!A:A, 0)),
        "## No encontrado ##"
    )
)</f>
        <v>## No encontrado ##</v>
      </c>
      <c r="G59" s="22" t="str">
        <f t="shared" si="0"/>
        <v>## No encontrado ##_16_## No encontrado ##c54</v>
      </c>
      <c r="H59" s="26">
        <f>Hoja3!C59</f>
        <v>16</v>
      </c>
      <c r="I59" s="22" t="str">
        <f>IFERROR(
    INDEX(Hoja3!D:D, MATCH(A59, Hoja3!E:E, 0)),
    IFERROR(
        INDEX(Hoja3!D:D, MATCH(A59, Hoja3!A:A, 0)),
        "## No encontrado ##"
    )
)</f>
        <v>## No encontrado ##</v>
      </c>
      <c r="J59" s="22" t="str">
        <f>IF(COUNTIF($F$2:F59,F59)=1, "",
  IF(COUNTIF($F$2:F59,F59)=2, "c",
    "c" &amp; (COUNTIF($F$2:F59,F59)-2)))</f>
        <v>c54</v>
      </c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spans="1:26" s="14" customFormat="1" x14ac:dyDescent="0.25">
      <c r="A60" s="22" t="str">
        <f>IF(Hoja2!A60="","",Hoja2!A60)</f>
        <v/>
      </c>
      <c r="B60" s="22" t="str">
        <f>IF(Hoja2!B60="","",Hoja2!B60)</f>
        <v/>
      </c>
      <c r="C60" s="23" t="str">
        <f>IF(Hoja2!C60="","",Hoja2!C60)</f>
        <v/>
      </c>
      <c r="D60" s="24" t="str">
        <f>IF(Hoja2!D60="","",Hoja2!D60)</f>
        <v/>
      </c>
      <c r="E60" s="25">
        <v>46020</v>
      </c>
      <c r="F60" s="22" t="str">
        <f>IFERROR(
    INDEX(Hoja3!B:B, MATCH(A60, Hoja3!E:E, 0)),
    IFERROR(
        INDEX(Hoja3!B:B, MATCH(A60, Hoja3!A:A, 0)),
        "## No encontrado ##"
    )
)</f>
        <v>## No encontrado ##</v>
      </c>
      <c r="G60" s="22" t="str">
        <f t="shared" si="0"/>
        <v>## No encontrado ##_16_## No encontrado ##c55</v>
      </c>
      <c r="H60" s="26">
        <f>Hoja3!C60</f>
        <v>16</v>
      </c>
      <c r="I60" s="22" t="str">
        <f>IFERROR(
    INDEX(Hoja3!D:D, MATCH(A60, Hoja3!E:E, 0)),
    IFERROR(
        INDEX(Hoja3!D:D, MATCH(A60, Hoja3!A:A, 0)),
        "## No encontrado ##"
    )
)</f>
        <v>## No encontrado ##</v>
      </c>
      <c r="J60" s="22" t="str">
        <f>IF(COUNTIF($F$2:F60,F60)=1, "",
  IF(COUNTIF($F$2:F60,F60)=2, "c",
    "c" &amp; (COUNTIF($F$2:F60,F60)-2)))</f>
        <v>c55</v>
      </c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26" s="14" customFormat="1" x14ac:dyDescent="0.25">
      <c r="A61" s="22" t="str">
        <f>IF(Hoja2!A61="","",Hoja2!A61)</f>
        <v/>
      </c>
      <c r="B61" s="22" t="str">
        <f>IF(Hoja2!B61="","",Hoja2!B61)</f>
        <v/>
      </c>
      <c r="C61" s="23" t="str">
        <f>IF(Hoja2!C61="","",Hoja2!C61)</f>
        <v/>
      </c>
      <c r="D61" s="24" t="str">
        <f>IF(Hoja2!D61="","",Hoja2!D61)</f>
        <v/>
      </c>
      <c r="E61" s="25">
        <v>46020</v>
      </c>
      <c r="F61" s="22" t="str">
        <f>IFERROR(
    INDEX(Hoja3!B:B, MATCH(A61, Hoja3!E:E, 0)),
    IFERROR(
        INDEX(Hoja3!B:B, MATCH(A61, Hoja3!A:A, 0)),
        "## No encontrado ##"
    )
)</f>
        <v>## No encontrado ##</v>
      </c>
      <c r="G61" s="22" t="str">
        <f t="shared" si="0"/>
        <v>## No encontrado ##_16_## No encontrado ##c56</v>
      </c>
      <c r="H61" s="26">
        <f>Hoja3!C61</f>
        <v>16</v>
      </c>
      <c r="I61" s="22" t="str">
        <f>IFERROR(
    INDEX(Hoja3!D:D, MATCH(A61, Hoja3!E:E, 0)),
    IFERROR(
        INDEX(Hoja3!D:D, MATCH(A61, Hoja3!A:A, 0)),
        "## No encontrado ##"
    )
)</f>
        <v>## No encontrado ##</v>
      </c>
      <c r="J61" s="22" t="str">
        <f>IF(COUNTIF($F$2:F61,F61)=1, "",
  IF(COUNTIF($F$2:F61,F61)=2, "c",
    "c" &amp; (COUNTIF($F$2:F61,F61)-2)))</f>
        <v>c56</v>
      </c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spans="1:26" s="14" customFormat="1" x14ac:dyDescent="0.25">
      <c r="A62" s="22" t="str">
        <f>IF(Hoja2!A62="","",Hoja2!A62)</f>
        <v/>
      </c>
      <c r="B62" s="22" t="str">
        <f>IF(Hoja2!B62="","",Hoja2!B62)</f>
        <v/>
      </c>
      <c r="C62" s="23" t="str">
        <f>IF(Hoja2!C62="","",Hoja2!C62)</f>
        <v/>
      </c>
      <c r="D62" s="24" t="str">
        <f>IF(Hoja2!D62="","",Hoja2!D62)</f>
        <v/>
      </c>
      <c r="E62" s="25">
        <v>46020</v>
      </c>
      <c r="F62" s="22" t="str">
        <f>IFERROR(
    INDEX(Hoja3!B:B, MATCH(A62, Hoja3!E:E, 0)),
    IFERROR(
        INDEX(Hoja3!B:B, MATCH(A62, Hoja3!A:A, 0)),
        "## No encontrado ##"
    )
)</f>
        <v>## No encontrado ##</v>
      </c>
      <c r="G62" s="22" t="str">
        <f t="shared" si="0"/>
        <v>## No encontrado ##_16_## No encontrado ##c57</v>
      </c>
      <c r="H62" s="26">
        <f>Hoja3!C62</f>
        <v>16</v>
      </c>
      <c r="I62" s="22" t="str">
        <f>IFERROR(
    INDEX(Hoja3!D:D, MATCH(A62, Hoja3!E:E, 0)),
    IFERROR(
        INDEX(Hoja3!D:D, MATCH(A62, Hoja3!A:A, 0)),
        "## No encontrado ##"
    )
)</f>
        <v>## No encontrado ##</v>
      </c>
      <c r="J62" s="22" t="str">
        <f>IF(COUNTIF($F$2:F62,F62)=1, "",
  IF(COUNTIF($F$2:F62,F62)=2, "c",
    "c" &amp; (COUNTIF($F$2:F62,F62)-2)))</f>
        <v>c57</v>
      </c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spans="1:26" s="14" customFormat="1" x14ac:dyDescent="0.25">
      <c r="A63" s="22" t="str">
        <f>IF(Hoja2!A63="","",Hoja2!A63)</f>
        <v/>
      </c>
      <c r="B63" s="22" t="str">
        <f>IF(Hoja2!B63="","",Hoja2!B63)</f>
        <v/>
      </c>
      <c r="C63" s="23" t="str">
        <f>IF(Hoja2!C63="","",Hoja2!C63)</f>
        <v/>
      </c>
      <c r="D63" s="24" t="str">
        <f>IF(Hoja2!D63="","",Hoja2!D63)</f>
        <v/>
      </c>
      <c r="E63" s="25">
        <v>46020</v>
      </c>
      <c r="F63" s="22" t="str">
        <f>IFERROR(
    INDEX(Hoja3!B:B, MATCH(A63, Hoja3!E:E, 0)),
    IFERROR(
        INDEX(Hoja3!B:B, MATCH(A63, Hoja3!A:A, 0)),
        "## No encontrado ##"
    )
)</f>
        <v>## No encontrado ##</v>
      </c>
      <c r="G63" s="22" t="str">
        <f t="shared" si="0"/>
        <v>## No encontrado ##_16_## No encontrado ##c58</v>
      </c>
      <c r="H63" s="26">
        <f>Hoja3!C63</f>
        <v>16</v>
      </c>
      <c r="I63" s="22" t="str">
        <f>IFERROR(
    INDEX(Hoja3!D:D, MATCH(A63, Hoja3!E:E, 0)),
    IFERROR(
        INDEX(Hoja3!D:D, MATCH(A63, Hoja3!A:A, 0)),
        "## No encontrado ##"
    )
)</f>
        <v>## No encontrado ##</v>
      </c>
      <c r="J63" s="22" t="str">
        <f>IF(COUNTIF($F$2:F63,F63)=1, "",
  IF(COUNTIF($F$2:F63,F63)=2, "c",
    "c" &amp; (COUNTIF($F$2:F63,F63)-2)))</f>
        <v>c58</v>
      </c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spans="1:26" s="14" customFormat="1" x14ac:dyDescent="0.25">
      <c r="A64" s="22" t="str">
        <f>IF(Hoja2!A64="","",Hoja2!A64)</f>
        <v/>
      </c>
      <c r="B64" s="22" t="str">
        <f>IF(Hoja2!B64="","",Hoja2!B64)</f>
        <v/>
      </c>
      <c r="C64" s="23" t="str">
        <f>IF(Hoja2!C64="","",Hoja2!C64)</f>
        <v/>
      </c>
      <c r="D64" s="24" t="str">
        <f>IF(Hoja2!D64="","",Hoja2!D64)</f>
        <v/>
      </c>
      <c r="E64" s="25">
        <v>46020</v>
      </c>
      <c r="F64" s="22" t="str">
        <f>IFERROR(
    INDEX(Hoja3!B:B, MATCH(A64, Hoja3!E:E, 0)),
    IFERROR(
        INDEX(Hoja3!B:B, MATCH(A64, Hoja3!A:A, 0)),
        "## No encontrado ##"
    )
)</f>
        <v>## No encontrado ##</v>
      </c>
      <c r="G64" s="22" t="str">
        <f t="shared" si="0"/>
        <v>## No encontrado ##_16_## No encontrado ##c59</v>
      </c>
      <c r="H64" s="26">
        <f>Hoja3!C64</f>
        <v>16</v>
      </c>
      <c r="I64" s="22" t="str">
        <f>IFERROR(
    INDEX(Hoja3!D:D, MATCH(A64, Hoja3!E:E, 0)),
    IFERROR(
        INDEX(Hoja3!D:D, MATCH(A64, Hoja3!A:A, 0)),
        "## No encontrado ##"
    )
)</f>
        <v>## No encontrado ##</v>
      </c>
      <c r="J64" s="22" t="str">
        <f>IF(COUNTIF($F$2:F64,F64)=1, "",
  IF(COUNTIF($F$2:F64,F64)=2, "c",
    "c" &amp; (COUNTIF($F$2:F64,F64)-2)))</f>
        <v>c59</v>
      </c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spans="1:26" s="14" customFormat="1" x14ac:dyDescent="0.25">
      <c r="A65" s="22" t="str">
        <f>IF(Hoja2!A65="","",Hoja2!A65)</f>
        <v/>
      </c>
      <c r="B65" s="22" t="str">
        <f>IF(Hoja2!B65="","",Hoja2!B65)</f>
        <v/>
      </c>
      <c r="C65" s="23" t="str">
        <f>IF(Hoja2!C65="","",Hoja2!C65)</f>
        <v/>
      </c>
      <c r="D65" s="24" t="str">
        <f>IF(Hoja2!D65="","",Hoja2!D65)</f>
        <v/>
      </c>
      <c r="E65" s="25">
        <v>46020</v>
      </c>
      <c r="F65" s="22" t="str">
        <f>IFERROR(
    INDEX(Hoja3!B:B, MATCH(A65, Hoja3!E:E, 0)),
    IFERROR(
        INDEX(Hoja3!B:B, MATCH(A65, Hoja3!A:A, 0)),
        "## No encontrado ##"
    )
)</f>
        <v>## No encontrado ##</v>
      </c>
      <c r="G65" s="22" t="str">
        <f t="shared" si="0"/>
        <v>## No encontrado ##_16_## No encontrado ##c60</v>
      </c>
      <c r="H65" s="26">
        <f>Hoja3!C65</f>
        <v>16</v>
      </c>
      <c r="I65" s="22" t="str">
        <f>IFERROR(
    INDEX(Hoja3!D:D, MATCH(A65, Hoja3!E:E, 0)),
    IFERROR(
        INDEX(Hoja3!D:D, MATCH(A65, Hoja3!A:A, 0)),
        "## No encontrado ##"
    )
)</f>
        <v>## No encontrado ##</v>
      </c>
      <c r="J65" s="22" t="str">
        <f>IF(COUNTIF($F$2:F65,F65)=1, "",
  IF(COUNTIF($F$2:F65,F65)=2, "c",
    "c" &amp; (COUNTIF($F$2:F65,F65)-2)))</f>
        <v>c60</v>
      </c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spans="1:26" s="14" customFormat="1" x14ac:dyDescent="0.25">
      <c r="A66" s="22" t="str">
        <f>IF(Hoja2!A66="","",Hoja2!A66)</f>
        <v/>
      </c>
      <c r="B66" s="22" t="str">
        <f>IF(Hoja2!B66="","",Hoja2!B66)</f>
        <v/>
      </c>
      <c r="C66" s="23" t="str">
        <f>IF(Hoja2!C66="","",Hoja2!C66)</f>
        <v/>
      </c>
      <c r="D66" s="24" t="str">
        <f>IF(Hoja2!D66="","",Hoja2!D66)</f>
        <v/>
      </c>
      <c r="E66" s="25">
        <v>46020</v>
      </c>
      <c r="F66" s="22" t="str">
        <f>IFERROR(
    INDEX(Hoja3!B:B, MATCH(A66, Hoja3!E:E, 0)),
    IFERROR(
        INDEX(Hoja3!B:B, MATCH(A66, Hoja3!A:A, 0)),
        "## No encontrado ##"
    )
)</f>
        <v>## No encontrado ##</v>
      </c>
      <c r="G66" s="22" t="str">
        <f t="shared" si="0"/>
        <v>## No encontrado ##_16_## No encontrado ##c61</v>
      </c>
      <c r="H66" s="26">
        <f>Hoja3!C66</f>
        <v>16</v>
      </c>
      <c r="I66" s="22" t="str">
        <f>IFERROR(
    INDEX(Hoja3!D:D, MATCH(A66, Hoja3!E:E, 0)),
    IFERROR(
        INDEX(Hoja3!D:D, MATCH(A66, Hoja3!A:A, 0)),
        "## No encontrado ##"
    )
)</f>
        <v>## No encontrado ##</v>
      </c>
      <c r="J66" s="22" t="str">
        <f>IF(COUNTIF($F$2:F66,F66)=1, "",
  IF(COUNTIF($F$2:F66,F66)=2, "c",
    "c" &amp; (COUNTIF($F$2:F66,F66)-2)))</f>
        <v>c61</v>
      </c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spans="1:26" s="14" customFormat="1" x14ac:dyDescent="0.25">
      <c r="A67" s="22" t="str">
        <f>IF(Hoja2!A67="","",Hoja2!A67)</f>
        <v/>
      </c>
      <c r="B67" s="22" t="str">
        <f>IF(Hoja2!B67="","",Hoja2!B67)</f>
        <v/>
      </c>
      <c r="C67" s="23" t="str">
        <f>IF(Hoja2!C67="","",Hoja2!C67)</f>
        <v/>
      </c>
      <c r="D67" s="24" t="str">
        <f>IF(Hoja2!D67="","",Hoja2!D67)</f>
        <v/>
      </c>
      <c r="E67" s="25">
        <v>46020</v>
      </c>
      <c r="F67" s="22" t="str">
        <f>IFERROR(
    INDEX(Hoja3!B:B, MATCH(A67, Hoja3!E:E, 0)),
    IFERROR(
        INDEX(Hoja3!B:B, MATCH(A67, Hoja3!A:A, 0)),
        "## No encontrado ##"
    )
)</f>
        <v>## No encontrado ##</v>
      </c>
      <c r="G67" s="22" t="str">
        <f t="shared" ref="G67:G77" si="1">F67&amp;"_"&amp;H67&amp;"_"&amp;I67&amp;J67</f>
        <v>## No encontrado ##_16_## No encontrado ##c62</v>
      </c>
      <c r="H67" s="26">
        <f>Hoja3!C67</f>
        <v>16</v>
      </c>
      <c r="I67" s="22" t="str">
        <f>IFERROR(
    INDEX(Hoja3!D:D, MATCH(A67, Hoja3!E:E, 0)),
    IFERROR(
        INDEX(Hoja3!D:D, MATCH(A67, Hoja3!A:A, 0)),
        "## No encontrado ##"
    )
)</f>
        <v>## No encontrado ##</v>
      </c>
      <c r="J67" s="22" t="str">
        <f>IF(COUNTIF($F$2:F67,F67)=1, "",
  IF(COUNTIF($F$2:F67,F67)=2, "c",
    "c" &amp; (COUNTIF($F$2:F67,F67)-2)))</f>
        <v>c62</v>
      </c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spans="1:26" s="14" customFormat="1" x14ac:dyDescent="0.25">
      <c r="A68" s="22" t="str">
        <f>IF(Hoja2!A68="","",Hoja2!A68)</f>
        <v/>
      </c>
      <c r="B68" s="22" t="str">
        <f>IF(Hoja2!B68="","",Hoja2!B68)</f>
        <v/>
      </c>
      <c r="C68" s="23" t="str">
        <f>IF(Hoja2!C68="","",Hoja2!C68)</f>
        <v/>
      </c>
      <c r="D68" s="24" t="str">
        <f>IF(Hoja2!D68="","",Hoja2!D68)</f>
        <v/>
      </c>
      <c r="E68" s="25">
        <v>46020</v>
      </c>
      <c r="F68" s="22" t="str">
        <f>IFERROR(
    INDEX(Hoja3!B:B, MATCH(A68, Hoja3!E:E, 0)),
    IFERROR(
        INDEX(Hoja3!B:B, MATCH(A68, Hoja3!A:A, 0)),
        "## No encontrado ##"
    )
)</f>
        <v>## No encontrado ##</v>
      </c>
      <c r="G68" s="22" t="str">
        <f t="shared" si="1"/>
        <v>## No encontrado ##_16_## No encontrado ##c63</v>
      </c>
      <c r="H68" s="26">
        <f>Hoja3!C68</f>
        <v>16</v>
      </c>
      <c r="I68" s="22" t="str">
        <f>IFERROR(
    INDEX(Hoja3!D:D, MATCH(A68, Hoja3!E:E, 0)),
    IFERROR(
        INDEX(Hoja3!D:D, MATCH(A68, Hoja3!A:A, 0)),
        "## No encontrado ##"
    )
)</f>
        <v>## No encontrado ##</v>
      </c>
      <c r="J68" s="22" t="str">
        <f>IF(COUNTIF($F$2:F68,F68)=1, "",
  IF(COUNTIF($F$2:F68,F68)=2, "c",
    "c" &amp; (COUNTIF($F$2:F68,F68)-2)))</f>
        <v>c63</v>
      </c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spans="1:26" s="14" customFormat="1" x14ac:dyDescent="0.25">
      <c r="A69" s="22" t="str">
        <f>IF(Hoja2!A69="","",Hoja2!A69)</f>
        <v/>
      </c>
      <c r="B69" s="22" t="str">
        <f>IF(Hoja2!B69="","",Hoja2!B69)</f>
        <v/>
      </c>
      <c r="C69" s="23" t="str">
        <f>IF(Hoja2!C69="","",Hoja2!C69)</f>
        <v/>
      </c>
      <c r="D69" s="24" t="str">
        <f>IF(Hoja2!D69="","",Hoja2!D69)</f>
        <v/>
      </c>
      <c r="E69" s="25">
        <v>46020</v>
      </c>
      <c r="F69" s="22" t="str">
        <f>IFERROR(
    INDEX(Hoja3!B:B, MATCH(A69, Hoja3!E:E, 0)),
    IFERROR(
        INDEX(Hoja3!B:B, MATCH(A69, Hoja3!A:A, 0)),
        "## No encontrado ##"
    )
)</f>
        <v>## No encontrado ##</v>
      </c>
      <c r="G69" s="22" t="str">
        <f t="shared" si="1"/>
        <v>## No encontrado ##_16_## No encontrado ##c64</v>
      </c>
      <c r="H69" s="26">
        <f>Hoja3!C69</f>
        <v>16</v>
      </c>
      <c r="I69" s="22" t="str">
        <f>IFERROR(
    INDEX(Hoja3!D:D, MATCH(A69, Hoja3!E:E, 0)),
    IFERROR(
        INDEX(Hoja3!D:D, MATCH(A69, Hoja3!A:A, 0)),
        "## No encontrado ##"
    )
)</f>
        <v>## No encontrado ##</v>
      </c>
      <c r="J69" s="22" t="str">
        <f>IF(COUNTIF($F$2:F69,F69)=1, "",
  IF(COUNTIF($F$2:F69,F69)=2, "c",
    "c" &amp; (COUNTIF($F$2:F69,F69)-2)))</f>
        <v>c64</v>
      </c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spans="1:26" s="14" customFormat="1" x14ac:dyDescent="0.25">
      <c r="A70" s="22" t="str">
        <f>IF(Hoja2!A70="","",Hoja2!A70)</f>
        <v/>
      </c>
      <c r="B70" s="22" t="str">
        <f>IF(Hoja2!B70="","",Hoja2!B70)</f>
        <v/>
      </c>
      <c r="C70" s="23" t="str">
        <f>IF(Hoja2!C70="","",Hoja2!C70)</f>
        <v/>
      </c>
      <c r="D70" s="24" t="str">
        <f>IF(Hoja2!D70="","",Hoja2!D70)</f>
        <v/>
      </c>
      <c r="E70" s="25">
        <v>46020</v>
      </c>
      <c r="F70" s="22" t="str">
        <f>IFERROR(
    INDEX(Hoja3!B:B, MATCH(A70, Hoja3!E:E, 0)),
    IFERROR(
        INDEX(Hoja3!B:B, MATCH(A70, Hoja3!A:A, 0)),
        "## No encontrado ##"
    )
)</f>
        <v>## No encontrado ##</v>
      </c>
      <c r="G70" s="22" t="str">
        <f t="shared" si="1"/>
        <v>## No encontrado ##_16_## No encontrado ##c65</v>
      </c>
      <c r="H70" s="26">
        <f>Hoja3!C70</f>
        <v>16</v>
      </c>
      <c r="I70" s="22" t="str">
        <f>IFERROR(
    INDEX(Hoja3!D:D, MATCH(A70, Hoja3!E:E, 0)),
    IFERROR(
        INDEX(Hoja3!D:D, MATCH(A70, Hoja3!A:A, 0)),
        "## No encontrado ##"
    )
)</f>
        <v>## No encontrado ##</v>
      </c>
      <c r="J70" s="22" t="str">
        <f>IF(COUNTIF($F$2:F70,F70)=1, "",
  IF(COUNTIF($F$2:F70,F70)=2, "c",
    "c" &amp; (COUNTIF($F$2:F70,F70)-2)))</f>
        <v>c65</v>
      </c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spans="1:26" s="14" customFormat="1" x14ac:dyDescent="0.25">
      <c r="A71" s="22" t="str">
        <f>IF(Hoja2!A71="","",Hoja2!A71)</f>
        <v/>
      </c>
      <c r="B71" s="22" t="str">
        <f>IF(Hoja2!B71="","",Hoja2!B71)</f>
        <v/>
      </c>
      <c r="C71" s="23" t="str">
        <f>IF(Hoja2!C71="","",Hoja2!C71)</f>
        <v/>
      </c>
      <c r="D71" s="24" t="str">
        <f>IF(Hoja2!D71="","",Hoja2!D71)</f>
        <v/>
      </c>
      <c r="E71" s="25">
        <v>46020</v>
      </c>
      <c r="F71" s="22" t="str">
        <f>IFERROR(
    INDEX(Hoja3!B:B, MATCH(A71, Hoja3!E:E, 0)),
    IFERROR(
        INDEX(Hoja3!B:B, MATCH(A71, Hoja3!A:A, 0)),
        "## No encontrado ##"
    )
)</f>
        <v>## No encontrado ##</v>
      </c>
      <c r="G71" s="22" t="str">
        <f t="shared" si="1"/>
        <v>## No encontrado ##_16_## No encontrado ##c66</v>
      </c>
      <c r="H71" s="26">
        <f>Hoja3!C71</f>
        <v>16</v>
      </c>
      <c r="I71" s="22" t="str">
        <f>IFERROR(
    INDEX(Hoja3!D:D, MATCH(A71, Hoja3!E:E, 0)),
    IFERROR(
        INDEX(Hoja3!D:D, MATCH(A71, Hoja3!A:A, 0)),
        "## No encontrado ##"
    )
)</f>
        <v>## No encontrado ##</v>
      </c>
      <c r="J71" s="22" t="str">
        <f>IF(COUNTIF($F$2:F71,F71)=1, "",
  IF(COUNTIF($F$2:F71,F71)=2, "c",
    "c" &amp; (COUNTIF($F$2:F71,F71)-2)))</f>
        <v>c66</v>
      </c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spans="1:26" s="14" customFormat="1" x14ac:dyDescent="0.25">
      <c r="A72" s="22" t="str">
        <f>IF(Hoja2!A72="","",Hoja2!A72)</f>
        <v/>
      </c>
      <c r="B72" s="22" t="str">
        <f>IF(Hoja2!B72="","",Hoja2!B72)</f>
        <v/>
      </c>
      <c r="C72" s="23" t="str">
        <f>IF(Hoja2!C72="","",Hoja2!C72)</f>
        <v/>
      </c>
      <c r="D72" s="24" t="str">
        <f>IF(Hoja2!D72="","",Hoja2!D72)</f>
        <v/>
      </c>
      <c r="E72" s="25">
        <v>46020</v>
      </c>
      <c r="F72" s="22" t="str">
        <f>IFERROR(
    INDEX(Hoja3!B:B, MATCH(A72, Hoja3!E:E, 0)),
    IFERROR(
        INDEX(Hoja3!B:B, MATCH(A72, Hoja3!A:A, 0)),
        "## No encontrado ##"
    )
)</f>
        <v>## No encontrado ##</v>
      </c>
      <c r="G72" s="22" t="str">
        <f t="shared" si="1"/>
        <v>## No encontrado ##_16_## No encontrado ##c67</v>
      </c>
      <c r="H72" s="26">
        <f>Hoja3!C72</f>
        <v>16</v>
      </c>
      <c r="I72" s="22" t="str">
        <f>IFERROR(
    INDEX(Hoja3!D:D, MATCH(A72, Hoja3!E:E, 0)),
    IFERROR(
        INDEX(Hoja3!D:D, MATCH(A72, Hoja3!A:A, 0)),
        "## No encontrado ##"
    )
)</f>
        <v>## No encontrado ##</v>
      </c>
      <c r="J72" s="22" t="str">
        <f>IF(COUNTIF($F$2:F72,F72)=1, "",
  IF(COUNTIF($F$2:F72,F72)=2, "c",
    "c" &amp; (COUNTIF($F$2:F72,F72)-2)))</f>
        <v>c67</v>
      </c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spans="1:26" s="14" customFormat="1" x14ac:dyDescent="0.25">
      <c r="A73" s="22" t="str">
        <f>IF(Hoja2!A73="","",Hoja2!A73)</f>
        <v/>
      </c>
      <c r="B73" s="22" t="str">
        <f>IF(Hoja2!B73="","",Hoja2!B73)</f>
        <v/>
      </c>
      <c r="C73" s="23" t="str">
        <f>IF(Hoja2!C73="","",Hoja2!C73)</f>
        <v/>
      </c>
      <c r="D73" s="24" t="str">
        <f>IF(Hoja2!D73="","",Hoja2!D73)</f>
        <v/>
      </c>
      <c r="E73" s="25">
        <v>46020</v>
      </c>
      <c r="F73" s="22" t="str">
        <f>IFERROR(
    INDEX(Hoja3!B:B, MATCH(A73, Hoja3!E:E, 0)),
    IFERROR(
        INDEX(Hoja3!B:B, MATCH(A73, Hoja3!A:A, 0)),
        "## No encontrado ##"
    )
)</f>
        <v>## No encontrado ##</v>
      </c>
      <c r="G73" s="22" t="str">
        <f t="shared" si="1"/>
        <v>## No encontrado ##_16_## No encontrado ##c68</v>
      </c>
      <c r="H73" s="26">
        <f>Hoja3!C73</f>
        <v>16</v>
      </c>
      <c r="I73" s="22" t="str">
        <f>IFERROR(
    INDEX(Hoja3!D:D, MATCH(A73, Hoja3!E:E, 0)),
    IFERROR(
        INDEX(Hoja3!D:D, MATCH(A73, Hoja3!A:A, 0)),
        "## No encontrado ##"
    )
)</f>
        <v>## No encontrado ##</v>
      </c>
      <c r="J73" s="22" t="str">
        <f>IF(COUNTIF($F$2:F73,F73)=1, "",
  IF(COUNTIF($F$2:F73,F73)=2, "c",
    "c" &amp; (COUNTIF($F$2:F73,F73)-2)))</f>
        <v>c68</v>
      </c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spans="1:26" s="14" customFormat="1" x14ac:dyDescent="0.25">
      <c r="A74" s="22" t="str">
        <f>IF(Hoja2!A74="","",Hoja2!A74)</f>
        <v/>
      </c>
      <c r="B74" s="22" t="str">
        <f>IF(Hoja2!B74="","",Hoja2!B74)</f>
        <v/>
      </c>
      <c r="C74" s="23" t="str">
        <f>IF(Hoja2!C74="","",Hoja2!C74)</f>
        <v/>
      </c>
      <c r="D74" s="24" t="str">
        <f>IF(Hoja2!D74="","",Hoja2!D74)</f>
        <v/>
      </c>
      <c r="E74" s="25">
        <v>46020</v>
      </c>
      <c r="F74" s="22" t="str">
        <f>IFERROR(
    INDEX(Hoja3!B:B, MATCH(A74, Hoja3!E:E, 0)),
    IFERROR(
        INDEX(Hoja3!B:B, MATCH(A74, Hoja3!A:A, 0)),
        "## No encontrado ##"
    )
)</f>
        <v>## No encontrado ##</v>
      </c>
      <c r="G74" s="22" t="str">
        <f t="shared" si="1"/>
        <v>## No encontrado ##_16_## No encontrado ##c69</v>
      </c>
      <c r="H74" s="26">
        <f>Hoja3!C74</f>
        <v>16</v>
      </c>
      <c r="I74" s="22" t="str">
        <f>IFERROR(
    INDEX(Hoja3!D:D, MATCH(A74, Hoja3!E:E, 0)),
    IFERROR(
        INDEX(Hoja3!D:D, MATCH(A74, Hoja3!A:A, 0)),
        "## No encontrado ##"
    )
)</f>
        <v>## No encontrado ##</v>
      </c>
      <c r="J74" s="22" t="str">
        <f>IF(COUNTIF($F$2:F74,F74)=1, "",
  IF(COUNTIF($F$2:F74,F74)=2, "c",
    "c" &amp; (COUNTIF($F$2:F74,F74)-2)))</f>
        <v>c69</v>
      </c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spans="1:26" s="14" customFormat="1" x14ac:dyDescent="0.25">
      <c r="A75" s="22" t="str">
        <f>IF(Hoja2!A75="","",Hoja2!A75)</f>
        <v/>
      </c>
      <c r="B75" s="22" t="str">
        <f>IF(Hoja2!B75="","",Hoja2!B75)</f>
        <v/>
      </c>
      <c r="C75" s="23" t="str">
        <f>IF(Hoja2!C75="","",Hoja2!C75)</f>
        <v/>
      </c>
      <c r="D75" s="24" t="str">
        <f>IF(Hoja2!D75="","",Hoja2!D75)</f>
        <v/>
      </c>
      <c r="E75" s="25">
        <v>46020</v>
      </c>
      <c r="F75" s="22" t="str">
        <f>IFERROR(
    INDEX(Hoja3!B:B, MATCH(A75, Hoja3!E:E, 0)),
    IFERROR(
        INDEX(Hoja3!B:B, MATCH(A75, Hoja3!A:A, 0)),
        "## No encontrado ##"
    )
)</f>
        <v>## No encontrado ##</v>
      </c>
      <c r="G75" s="22" t="str">
        <f t="shared" si="1"/>
        <v>## No encontrado ##_16_## No encontrado ##c70</v>
      </c>
      <c r="H75" s="26">
        <f>Hoja3!C75</f>
        <v>16</v>
      </c>
      <c r="I75" s="22" t="str">
        <f>IFERROR(
    INDEX(Hoja3!D:D, MATCH(A75, Hoja3!E:E, 0)),
    IFERROR(
        INDEX(Hoja3!D:D, MATCH(A75, Hoja3!A:A, 0)),
        "## No encontrado ##"
    )
)</f>
        <v>## No encontrado ##</v>
      </c>
      <c r="J75" s="22" t="str">
        <f>IF(COUNTIF($F$2:F75,F75)=1, "",
  IF(COUNTIF($F$2:F75,F75)=2, "c",
    "c" &amp; (COUNTIF($F$2:F75,F75)-2)))</f>
        <v>c70</v>
      </c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spans="1:26" s="14" customFormat="1" x14ac:dyDescent="0.25">
      <c r="A76" s="22" t="str">
        <f>IF(Hoja2!A76="","",Hoja2!A76)</f>
        <v/>
      </c>
      <c r="B76" s="22" t="str">
        <f>IF(Hoja2!B76="","",Hoja2!B76)</f>
        <v/>
      </c>
      <c r="C76" s="23" t="str">
        <f>IF(Hoja2!C76="","",Hoja2!C76)</f>
        <v/>
      </c>
      <c r="D76" s="24" t="str">
        <f>IF(Hoja2!D76="","",Hoja2!D76)</f>
        <v/>
      </c>
      <c r="E76" s="25">
        <v>46020</v>
      </c>
      <c r="F76" s="22" t="str">
        <f>IFERROR(
    INDEX(Hoja3!B:B, MATCH(A76, Hoja3!E:E, 0)),
    IFERROR(
        INDEX(Hoja3!B:B, MATCH(A76, Hoja3!A:A, 0)),
        "## No encontrado ##"
    )
)</f>
        <v>## No encontrado ##</v>
      </c>
      <c r="G76" s="22" t="str">
        <f t="shared" si="1"/>
        <v>## No encontrado ##_16_## No encontrado ##c71</v>
      </c>
      <c r="H76" s="26">
        <f>Hoja3!C76</f>
        <v>16</v>
      </c>
      <c r="I76" s="22" t="str">
        <f>IFERROR(
    INDEX(Hoja3!D:D, MATCH(A76, Hoja3!E:E, 0)),
    IFERROR(
        INDEX(Hoja3!D:D, MATCH(A76, Hoja3!A:A, 0)),
        "## No encontrado ##"
    )
)</f>
        <v>## No encontrado ##</v>
      </c>
      <c r="J76" s="22" t="str">
        <f>IF(COUNTIF($F$2:F76,F76)=1, "",
  IF(COUNTIF($F$2:F76,F76)=2, "c",
    "c" &amp; (COUNTIF($F$2:F76,F76)-2)))</f>
        <v>c71</v>
      </c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spans="1:26" s="14" customFormat="1" x14ac:dyDescent="0.25">
      <c r="A77" s="22" t="str">
        <f>IF(Hoja2!A77="","",Hoja2!A77)</f>
        <v/>
      </c>
      <c r="B77" s="22" t="str">
        <f>IF(Hoja2!B77="","",Hoja2!B77)</f>
        <v/>
      </c>
      <c r="C77" s="23" t="str">
        <f>IF(Hoja2!C77="","",Hoja2!C77)</f>
        <v/>
      </c>
      <c r="D77" s="24" t="str">
        <f>IF(Hoja2!D77="","",Hoja2!D77)</f>
        <v/>
      </c>
      <c r="E77" s="25">
        <v>46020</v>
      </c>
      <c r="F77" s="22" t="str">
        <f>IFERROR(
    INDEX(Hoja3!B:B, MATCH(A77, Hoja3!E:E, 0)),
    IFERROR(
        INDEX(Hoja3!B:B, MATCH(A77, Hoja3!A:A, 0)),
        "## No encontrado ##"
    )
)</f>
        <v>## No encontrado ##</v>
      </c>
      <c r="G77" s="22" t="str">
        <f t="shared" si="1"/>
        <v>## No encontrado ##_16_## No encontrado ##c72</v>
      </c>
      <c r="H77" s="26">
        <f>Hoja3!C77</f>
        <v>16</v>
      </c>
      <c r="I77" s="22" t="str">
        <f>IFERROR(
    INDEX(Hoja3!D:D, MATCH(A77, Hoja3!E:E, 0)),
    IFERROR(
        INDEX(Hoja3!D:D, MATCH(A77, Hoja3!A:A, 0)),
        "## No encontrado ##"
    )
)</f>
        <v>## No encontrado ##</v>
      </c>
      <c r="J77" s="22" t="str">
        <f>IF(COUNTIF($F$2:F77,F77)=1, "",
  IF(COUNTIF($F$2:F77,F77)=2, "c",
    "c" &amp; (COUNTIF($F$2:F77,F77)-2)))</f>
        <v>c72</v>
      </c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spans="1:26" s="21" customFormat="1" x14ac:dyDescent="0.25">
      <c r="A78" s="22" t="str">
        <f>IF(Hoja2!A78="","",Hoja2!A78)</f>
        <v/>
      </c>
      <c r="B78" s="22"/>
      <c r="C78" s="27"/>
      <c r="D78" s="22"/>
      <c r="E78" s="22"/>
      <c r="F78" s="22"/>
      <c r="G78" s="22"/>
      <c r="H78" s="26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</sheetData>
  <conditionalFormatting sqref="F1:G1048576">
    <cfRule type="duplicateValues" dxfId="6" priority="6"/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CF11-7AB9-489B-9F54-262310FBA595}">
  <sheetPr codeName="Hoja2"/>
  <dimension ref="A1:J47"/>
  <sheetViews>
    <sheetView workbookViewId="0"/>
  </sheetViews>
  <sheetFormatPr baseColWidth="10" defaultColWidth="11.42578125" defaultRowHeight="15" x14ac:dyDescent="0.25"/>
  <cols>
    <col min="1" max="1" width="70.42578125" bestFit="1" customWidth="1"/>
    <col min="2" max="2" width="58.42578125" customWidth="1"/>
    <col min="8" max="8" width="62.5703125" bestFit="1" customWidth="1"/>
  </cols>
  <sheetData>
    <row r="1" spans="1:5" x14ac:dyDescent="0.25">
      <c r="A1" t="s">
        <v>0</v>
      </c>
      <c r="B1" t="s">
        <v>1</v>
      </c>
      <c r="C1" t="s">
        <v>10</v>
      </c>
      <c r="D1" t="s">
        <v>3</v>
      </c>
      <c r="E1" t="s">
        <v>11</v>
      </c>
    </row>
    <row r="2" spans="1:5" x14ac:dyDescent="0.25">
      <c r="A2" t="s">
        <v>17</v>
      </c>
      <c r="B2" t="s">
        <v>18</v>
      </c>
      <c r="C2" s="5">
        <v>0.49722222222222223</v>
      </c>
      <c r="D2" t="s">
        <v>22</v>
      </c>
    </row>
    <row r="3" spans="1:5" x14ac:dyDescent="0.25">
      <c r="A3" t="s">
        <v>19</v>
      </c>
      <c r="B3" t="s">
        <v>18</v>
      </c>
      <c r="C3" s="5">
        <v>0.49722222222222223</v>
      </c>
      <c r="D3" t="s">
        <v>22</v>
      </c>
    </row>
    <row r="4" spans="1:5" x14ac:dyDescent="0.25">
      <c r="C4" s="5"/>
    </row>
    <row r="5" spans="1:5" x14ac:dyDescent="0.25">
      <c r="C5" s="5"/>
    </row>
    <row r="6" spans="1:5" x14ac:dyDescent="0.25">
      <c r="C6" s="5"/>
    </row>
    <row r="7" spans="1:5" x14ac:dyDescent="0.25">
      <c r="C7" s="5"/>
    </row>
    <row r="8" spans="1:5" x14ac:dyDescent="0.25">
      <c r="C8" s="5"/>
    </row>
    <row r="9" spans="1:5" x14ac:dyDescent="0.25">
      <c r="C9" s="5"/>
    </row>
    <row r="10" spans="1:5" x14ac:dyDescent="0.25">
      <c r="C10" s="5"/>
    </row>
    <row r="11" spans="1:5" x14ac:dyDescent="0.25">
      <c r="C11" s="5"/>
    </row>
    <row r="12" spans="1:5" x14ac:dyDescent="0.25">
      <c r="C12" s="5"/>
    </row>
    <row r="13" spans="1:5" x14ac:dyDescent="0.25">
      <c r="C13" s="5"/>
    </row>
    <row r="14" spans="1:5" x14ac:dyDescent="0.25">
      <c r="C14" s="5"/>
    </row>
    <row r="15" spans="1:5" x14ac:dyDescent="0.25">
      <c r="C15" s="5"/>
    </row>
    <row r="16" spans="1:5" x14ac:dyDescent="0.25">
      <c r="C16" s="5"/>
    </row>
    <row r="17" spans="3:10" x14ac:dyDescent="0.25">
      <c r="C17" s="5"/>
      <c r="J17" s="5"/>
    </row>
    <row r="18" spans="3:10" x14ac:dyDescent="0.25">
      <c r="C18" s="5"/>
    </row>
    <row r="19" spans="3:10" x14ac:dyDescent="0.25">
      <c r="C19" s="5"/>
    </row>
    <row r="20" spans="3:10" x14ac:dyDescent="0.25">
      <c r="C20" s="5"/>
    </row>
    <row r="21" spans="3:10" x14ac:dyDescent="0.25">
      <c r="C21" s="5"/>
    </row>
    <row r="22" spans="3:10" x14ac:dyDescent="0.25">
      <c r="C22" s="5"/>
    </row>
    <row r="23" spans="3:10" x14ac:dyDescent="0.25">
      <c r="C23" s="5"/>
    </row>
    <row r="24" spans="3:10" x14ac:dyDescent="0.25">
      <c r="C24" s="5"/>
    </row>
    <row r="25" spans="3:10" x14ac:dyDescent="0.25">
      <c r="C25" s="5"/>
    </row>
    <row r="26" spans="3:10" x14ac:dyDescent="0.25">
      <c r="C26" s="5"/>
    </row>
    <row r="27" spans="3:10" x14ac:dyDescent="0.25">
      <c r="C27" s="5"/>
    </row>
    <row r="28" spans="3:10" x14ac:dyDescent="0.25">
      <c r="C28" s="5"/>
    </row>
    <row r="29" spans="3:10" x14ac:dyDescent="0.25">
      <c r="C29" s="5"/>
    </row>
    <row r="30" spans="3:10" x14ac:dyDescent="0.25">
      <c r="C30" s="5"/>
    </row>
    <row r="31" spans="3:10" x14ac:dyDescent="0.25">
      <c r="C31" s="5"/>
    </row>
    <row r="32" spans="3:10" x14ac:dyDescent="0.25">
      <c r="C32" s="5"/>
    </row>
    <row r="33" spans="3:3" x14ac:dyDescent="0.25">
      <c r="C33" s="5"/>
    </row>
    <row r="34" spans="3:3" x14ac:dyDescent="0.25">
      <c r="C34" s="5"/>
    </row>
    <row r="35" spans="3:3" x14ac:dyDescent="0.25">
      <c r="C35" s="5"/>
    </row>
    <row r="36" spans="3:3" x14ac:dyDescent="0.25">
      <c r="C36" s="5"/>
    </row>
    <row r="37" spans="3:3" x14ac:dyDescent="0.25">
      <c r="C37" s="5"/>
    </row>
    <row r="38" spans="3:3" x14ac:dyDescent="0.25">
      <c r="C38" s="5"/>
    </row>
    <row r="39" spans="3:3" x14ac:dyDescent="0.25">
      <c r="C39" s="5"/>
    </row>
    <row r="40" spans="3:3" x14ac:dyDescent="0.25">
      <c r="C40" s="5"/>
    </row>
    <row r="41" spans="3:3" x14ac:dyDescent="0.25">
      <c r="C41" s="5"/>
    </row>
    <row r="42" spans="3:3" x14ac:dyDescent="0.25">
      <c r="C42" s="5"/>
    </row>
    <row r="43" spans="3:3" x14ac:dyDescent="0.25">
      <c r="C43" s="5"/>
    </row>
    <row r="44" spans="3:3" x14ac:dyDescent="0.25">
      <c r="C44" s="5"/>
    </row>
    <row r="45" spans="3:3" x14ac:dyDescent="0.25">
      <c r="C45" s="5"/>
    </row>
    <row r="46" spans="3:3" x14ac:dyDescent="0.25">
      <c r="C46" s="5"/>
    </row>
    <row r="47" spans="3:3" x14ac:dyDescent="0.25">
      <c r="C4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66C63-88B5-4EEE-A0AE-0CD31DCC5852}">
  <sheetPr codeName="Hoja3"/>
  <dimension ref="A1:E100"/>
  <sheetViews>
    <sheetView workbookViewId="0">
      <pane ySplit="1" topLeftCell="A2" activePane="bottomLeft" state="frozen"/>
      <selection pane="bottomLeft" activeCell="A17" sqref="A17"/>
    </sheetView>
  </sheetViews>
  <sheetFormatPr baseColWidth="10" defaultColWidth="11.42578125" defaultRowHeight="15" x14ac:dyDescent="0.25"/>
  <cols>
    <col min="1" max="1" width="72.140625" bestFit="1" customWidth="1"/>
    <col min="2" max="2" width="35" bestFit="1" customWidth="1"/>
    <col min="3" max="3" width="16.7109375" style="17" bestFit="1" customWidth="1"/>
    <col min="4" max="4" width="15.42578125" bestFit="1" customWidth="1"/>
    <col min="5" max="5" width="35.140625" customWidth="1"/>
  </cols>
  <sheetData>
    <row r="1" spans="1:5" x14ac:dyDescent="0.25">
      <c r="A1" s="11" t="s">
        <v>12</v>
      </c>
      <c r="B1" s="12" t="s">
        <v>13</v>
      </c>
      <c r="C1" s="13" t="s">
        <v>14</v>
      </c>
      <c r="D1" s="12" t="s">
        <v>15</v>
      </c>
      <c r="E1" s="13" t="s">
        <v>16</v>
      </c>
    </row>
    <row r="2" spans="1:5" x14ac:dyDescent="0.25">
      <c r="A2" s="28" t="s">
        <v>21</v>
      </c>
      <c r="B2" s="15">
        <v>1026564480</v>
      </c>
      <c r="C2" s="17">
        <v>16</v>
      </c>
      <c r="D2">
        <v>7480</v>
      </c>
      <c r="E2" t="str" cm="1">
        <f t="array" ref="E2">IFERROR(INDEX(Hoja2!A:A,MATCH(SUBSTITUTE(A2,"'",""),SUBSTITUTE(Hoja2!A:A,"'",""),0)),"No encontrado")</f>
        <v>'alexisreyes.c81@gmail.com'</v>
      </c>
    </row>
    <row r="3" spans="1:5" x14ac:dyDescent="0.25">
      <c r="A3" s="7" t="s">
        <v>20</v>
      </c>
      <c r="B3" s="15">
        <v>5307571</v>
      </c>
      <c r="C3" s="17">
        <v>16</v>
      </c>
      <c r="D3">
        <v>7693</v>
      </c>
      <c r="E3" t="str" cm="1">
        <f t="array" ref="E3">IFERROR(INDEX(Hoja2!A:A,MATCH(SUBSTITUTE(A3,"'",""),SUBSTITUTE(Hoja2!A:A,"'",""),0)),"No encontrado")</f>
        <v>'alexisrock888@gmail.com'</v>
      </c>
    </row>
    <row r="4" spans="1:5" x14ac:dyDescent="0.25">
      <c r="A4" s="6"/>
      <c r="B4" s="15"/>
      <c r="C4" s="17">
        <v>16</v>
      </c>
      <c r="E4" cm="1">
        <f t="array" ref="E4">IFERROR(INDEX(Hoja2!A:A,MATCH(SUBSTITUTE(A4,"'",""),SUBSTITUTE(Hoja2!A:A,"'",""),0)),"No encontrado")</f>
        <v>0</v>
      </c>
    </row>
    <row r="5" spans="1:5" x14ac:dyDescent="0.25">
      <c r="A5" s="7"/>
      <c r="B5" s="15"/>
      <c r="C5" s="17">
        <v>16</v>
      </c>
      <c r="E5" cm="1">
        <f t="array" ref="E5">IFERROR(INDEX(Hoja2!A:A,MATCH(SUBSTITUTE(A5,"'",""),SUBSTITUTE(Hoja2!A:A,"'",""),0)),"No encontrado")</f>
        <v>0</v>
      </c>
    </row>
    <row r="6" spans="1:5" x14ac:dyDescent="0.25">
      <c r="A6" s="6"/>
      <c r="B6" s="15"/>
      <c r="C6" s="17">
        <v>16</v>
      </c>
      <c r="E6" cm="1">
        <f t="array" ref="E6">IFERROR(INDEX(Hoja2!A:A,MATCH(SUBSTITUTE(A6,"'",""),SUBSTITUTE(Hoja2!A:A,"'",""),0)),"No encontrado")</f>
        <v>0</v>
      </c>
    </row>
    <row r="7" spans="1:5" x14ac:dyDescent="0.25">
      <c r="A7" s="6"/>
      <c r="B7" s="15"/>
      <c r="C7" s="17">
        <v>16</v>
      </c>
      <c r="E7" cm="1">
        <f t="array" ref="E7">IFERROR(INDEX(Hoja2!A:A,MATCH(SUBSTITUTE(A7,"'",""),SUBSTITUTE(Hoja2!A:A,"'",""),0)),"No encontrado")</f>
        <v>0</v>
      </c>
    </row>
    <row r="8" spans="1:5" x14ac:dyDescent="0.25">
      <c r="A8" s="6"/>
      <c r="B8" s="15"/>
      <c r="C8" s="17">
        <v>16</v>
      </c>
      <c r="E8" cm="1">
        <f t="array" ref="E8">IFERROR(INDEX(Hoja2!A:A,MATCH(SUBSTITUTE(A8,"'",""),SUBSTITUTE(Hoja2!A:A,"'",""),0)),"No encontrado")</f>
        <v>0</v>
      </c>
    </row>
    <row r="9" spans="1:5" x14ac:dyDescent="0.25">
      <c r="A9" s="6"/>
      <c r="B9" s="15"/>
      <c r="C9" s="17">
        <v>16</v>
      </c>
      <c r="E9" cm="1">
        <f t="array" ref="E9">IFERROR(INDEX(Hoja2!A:A,MATCH(SUBSTITUTE(A9,"'",""),SUBSTITUTE(Hoja2!A:A,"'",""),0)),"No encontrado")</f>
        <v>0</v>
      </c>
    </row>
    <row r="10" spans="1:5" x14ac:dyDescent="0.25">
      <c r="A10" s="6"/>
      <c r="B10" s="15"/>
      <c r="C10" s="17">
        <v>16</v>
      </c>
      <c r="E10" cm="1">
        <f t="array" ref="E10">IFERROR(INDEX(Hoja2!A:A,MATCH(SUBSTITUTE(A10,"'",""),SUBSTITUTE(Hoja2!A:A,"'",""),0)),"No encontrado")</f>
        <v>0</v>
      </c>
    </row>
    <row r="11" spans="1:5" x14ac:dyDescent="0.25">
      <c r="A11" s="6"/>
      <c r="B11" s="15"/>
      <c r="C11" s="17">
        <v>16</v>
      </c>
      <c r="E11" cm="1">
        <f t="array" ref="E11">IFERROR(INDEX(Hoja2!A:A,MATCH(SUBSTITUTE(A11,"'",""),SUBSTITUTE(Hoja2!A:A,"'",""),0)),"No encontrado")</f>
        <v>0</v>
      </c>
    </row>
    <row r="12" spans="1:5" x14ac:dyDescent="0.25">
      <c r="A12" s="7"/>
      <c r="B12" s="15"/>
      <c r="C12" s="17">
        <v>16</v>
      </c>
      <c r="E12" cm="1">
        <f t="array" ref="E12">IFERROR(INDEX(Hoja2!A:A,MATCH(SUBSTITUTE(A12,"'",""),SUBSTITUTE(Hoja2!A:A,"'",""),0)),"No encontrado")</f>
        <v>0</v>
      </c>
    </row>
    <row r="13" spans="1:5" x14ac:dyDescent="0.25">
      <c r="A13" s="6"/>
      <c r="B13" s="15"/>
      <c r="C13" s="17">
        <v>16</v>
      </c>
      <c r="E13" cm="1">
        <f t="array" ref="E13">IFERROR(INDEX(Hoja2!A:A,MATCH(SUBSTITUTE(A13,"'",""),SUBSTITUTE(Hoja2!A:A,"'",""),0)),"No encontrado")</f>
        <v>0</v>
      </c>
    </row>
    <row r="14" spans="1:5" x14ac:dyDescent="0.25">
      <c r="A14" s="6"/>
      <c r="B14" s="15"/>
      <c r="C14" s="17">
        <v>16</v>
      </c>
      <c r="E14" cm="1">
        <f t="array" ref="E14">IFERROR(INDEX(Hoja2!A:A,MATCH(SUBSTITUTE(A14,"'",""),SUBSTITUTE(Hoja2!A:A,"'",""),0)),"No encontrado")</f>
        <v>0</v>
      </c>
    </row>
    <row r="15" spans="1:5" x14ac:dyDescent="0.25">
      <c r="A15" s="6"/>
      <c r="B15" s="15"/>
      <c r="C15" s="17">
        <v>16</v>
      </c>
      <c r="E15" cm="1">
        <f t="array" ref="E15">IFERROR(INDEX(Hoja2!A:A,MATCH(SUBSTITUTE(A15,"'",""),SUBSTITUTE(Hoja2!A:A,"'",""),0)),"No encontrado")</f>
        <v>0</v>
      </c>
    </row>
    <row r="16" spans="1:5" x14ac:dyDescent="0.25">
      <c r="A16" s="7"/>
      <c r="B16" s="15"/>
      <c r="C16" s="17">
        <v>16</v>
      </c>
      <c r="E16" cm="1">
        <f t="array" ref="E16">IFERROR(INDEX(Hoja2!A:A,MATCH(SUBSTITUTE(A16,"'",""),SUBSTITUTE(Hoja2!A:A,"'",""),0)),"No encontrado")</f>
        <v>0</v>
      </c>
    </row>
    <row r="17" spans="1:5" x14ac:dyDescent="0.25">
      <c r="A17" s="6"/>
      <c r="B17" s="15"/>
      <c r="C17" s="17">
        <v>16</v>
      </c>
      <c r="E17" cm="1">
        <f t="array" ref="E17">IFERROR(INDEX(Hoja2!A:A,MATCH(SUBSTITUTE(A17,"'",""),SUBSTITUTE(Hoja2!A:A,"'",""),0)),"No encontrado")</f>
        <v>0</v>
      </c>
    </row>
    <row r="18" spans="1:5" x14ac:dyDescent="0.25">
      <c r="A18" s="7"/>
      <c r="B18" s="15"/>
      <c r="C18" s="17">
        <v>16</v>
      </c>
      <c r="E18" cm="1">
        <f t="array" ref="E18">IFERROR(INDEX(Hoja2!A:A,MATCH(SUBSTITUTE(A18,"'",""),SUBSTITUTE(Hoja2!A:A,"'",""),0)),"No encontrado")</f>
        <v>0</v>
      </c>
    </row>
    <row r="19" spans="1:5" x14ac:dyDescent="0.25">
      <c r="A19" s="16"/>
      <c r="B19" s="15"/>
      <c r="C19" s="17">
        <v>16</v>
      </c>
      <c r="E19" cm="1">
        <f t="array" ref="E19">IFERROR(INDEX(Hoja2!A:A,MATCH(SUBSTITUTE(A19,"'",""),SUBSTITUTE(Hoja2!A:A,"'",""),0)),"No encontrado")</f>
        <v>0</v>
      </c>
    </row>
    <row r="20" spans="1:5" x14ac:dyDescent="0.25">
      <c r="A20" s="8"/>
      <c r="B20" s="15"/>
      <c r="C20" s="17">
        <v>16</v>
      </c>
      <c r="E20" cm="1">
        <f t="array" ref="E20">IFERROR(INDEX(Hoja2!A:A,MATCH(SUBSTITUTE(A20,"'",""),SUBSTITUTE(Hoja2!A:A,"'",""),0)),"No encontrado")</f>
        <v>0</v>
      </c>
    </row>
    <row r="21" spans="1:5" x14ac:dyDescent="0.25">
      <c r="A21" s="9"/>
      <c r="B21" s="15"/>
      <c r="C21" s="17">
        <v>16</v>
      </c>
      <c r="E21" cm="1">
        <f t="array" ref="E21">IFERROR(INDEX(Hoja2!A:A,MATCH(SUBSTITUTE(A21,"'",""),SUBSTITUTE(Hoja2!A:A,"'",""),0)),"No encontrado")</f>
        <v>0</v>
      </c>
    </row>
    <row r="22" spans="1:5" x14ac:dyDescent="0.25">
      <c r="A22" s="9"/>
      <c r="B22" s="15"/>
      <c r="C22" s="17">
        <v>16</v>
      </c>
      <c r="E22" cm="1">
        <f t="array" ref="E22">IFERROR(INDEX(Hoja2!A:A,MATCH(SUBSTITUTE(A22,"'",""),SUBSTITUTE(Hoja2!A:A,"'",""),0)),"No encontrado")</f>
        <v>0</v>
      </c>
    </row>
    <row r="23" spans="1:5" x14ac:dyDescent="0.25">
      <c r="A23" s="6"/>
      <c r="B23" s="15"/>
      <c r="C23" s="17">
        <v>16</v>
      </c>
      <c r="E23" cm="1">
        <f t="array" ref="E23">IFERROR(INDEX(Hoja2!A:A,MATCH(SUBSTITUTE(A23,"'",""),SUBSTITUTE(Hoja2!A:A,"'",""),0)),"No encontrado")</f>
        <v>0</v>
      </c>
    </row>
    <row r="24" spans="1:5" x14ac:dyDescent="0.25">
      <c r="A24" s="6"/>
      <c r="B24" s="15"/>
      <c r="C24" s="17">
        <v>16</v>
      </c>
      <c r="E24" cm="1">
        <f t="array" ref="E24">IFERROR(INDEX(Hoja2!A:A,MATCH(SUBSTITUTE(A24,"'",""),SUBSTITUTE(Hoja2!A:A,"'",""),0)),"No encontrado")</f>
        <v>0</v>
      </c>
    </row>
    <row r="25" spans="1:5" x14ac:dyDescent="0.25">
      <c r="A25" s="7"/>
      <c r="B25" s="15"/>
      <c r="C25" s="17">
        <v>16</v>
      </c>
      <c r="E25" cm="1">
        <f t="array" ref="E25">IFERROR(INDEX(Hoja2!A:A,MATCH(SUBSTITUTE(A25,"'",""),SUBSTITUTE(Hoja2!A:A,"'",""),0)),"No encontrado")</f>
        <v>0</v>
      </c>
    </row>
    <row r="26" spans="1:5" x14ac:dyDescent="0.25">
      <c r="A26" s="6"/>
      <c r="B26" s="15"/>
      <c r="C26" s="17">
        <v>16</v>
      </c>
      <c r="E26" cm="1">
        <f t="array" ref="E26">IFERROR(INDEX(Hoja2!A:A,MATCH(SUBSTITUTE(A26,"'",""),SUBSTITUTE(Hoja2!A:A,"'",""),0)),"No encontrado")</f>
        <v>0</v>
      </c>
    </row>
    <row r="27" spans="1:5" x14ac:dyDescent="0.25">
      <c r="A27" s="10"/>
      <c r="B27" s="15"/>
      <c r="C27" s="17">
        <v>16</v>
      </c>
      <c r="E27" cm="1">
        <f t="array" ref="E27">IFERROR(INDEX(Hoja2!A:A,MATCH(SUBSTITUTE(A27,"'",""),SUBSTITUTE(Hoja2!A:A,"'",""),0)),"No encontrado")</f>
        <v>0</v>
      </c>
    </row>
    <row r="28" spans="1:5" x14ac:dyDescent="0.25">
      <c r="A28" s="6"/>
      <c r="B28" s="15"/>
      <c r="C28" s="17">
        <v>16</v>
      </c>
      <c r="E28" cm="1">
        <f t="array" ref="E28">IFERROR(INDEX(Hoja2!A:A,MATCH(SUBSTITUTE(A28,"'",""),SUBSTITUTE(Hoja2!A:A,"'",""),0)),"No encontrado")</f>
        <v>0</v>
      </c>
    </row>
    <row r="29" spans="1:5" x14ac:dyDescent="0.25">
      <c r="A29" s="6"/>
      <c r="B29" s="15"/>
      <c r="C29" s="17">
        <v>16</v>
      </c>
      <c r="E29" cm="1">
        <f t="array" ref="E29">IFERROR(INDEX(Hoja2!A:A,MATCH(SUBSTITUTE(A29,"'",""),SUBSTITUTE(Hoja2!A:A,"'",""),0)),"No encontrado")</f>
        <v>0</v>
      </c>
    </row>
    <row r="30" spans="1:5" x14ac:dyDescent="0.25">
      <c r="B30" s="15"/>
      <c r="C30" s="17">
        <v>16</v>
      </c>
      <c r="E30" cm="1">
        <f t="array" ref="E30">IFERROR(INDEX(Hoja2!A:A,MATCH(SUBSTITUTE(A30,"'",""),SUBSTITUTE(Hoja2!A:A,"'",""),0)),"No encontrado")</f>
        <v>0</v>
      </c>
    </row>
    <row r="31" spans="1:5" x14ac:dyDescent="0.25">
      <c r="B31" s="15"/>
      <c r="C31" s="17">
        <v>16</v>
      </c>
      <c r="E31" cm="1">
        <f t="array" ref="E31">IFERROR(INDEX(Hoja2!A:A,MATCH(SUBSTITUTE(A31,"'",""),SUBSTITUTE(Hoja2!A:A,"'",""),0)),"No encontrado")</f>
        <v>0</v>
      </c>
    </row>
    <row r="32" spans="1:5" x14ac:dyDescent="0.25">
      <c r="B32" s="15"/>
      <c r="C32" s="17">
        <v>16</v>
      </c>
      <c r="E32" cm="1">
        <f t="array" ref="E32">IFERROR(INDEX(Hoja2!A:A,MATCH(SUBSTITUTE(A32,"'",""),SUBSTITUTE(Hoja2!A:A,"'",""),0)),"No encontrado")</f>
        <v>0</v>
      </c>
    </row>
    <row r="33" spans="1:5" x14ac:dyDescent="0.25">
      <c r="B33" s="15"/>
      <c r="C33" s="17">
        <v>16</v>
      </c>
      <c r="E33" cm="1">
        <f t="array" ref="E33">IFERROR(INDEX(Hoja2!A:A,MATCH(SUBSTITUTE(A33,"'",""),SUBSTITUTE(Hoja2!A:A,"'",""),0)),"No encontrado")</f>
        <v>0</v>
      </c>
    </row>
    <row r="34" spans="1:5" x14ac:dyDescent="0.25">
      <c r="B34" s="15"/>
      <c r="C34" s="17">
        <v>16</v>
      </c>
      <c r="E34" cm="1">
        <f t="array" ref="E34">IFERROR(INDEX(Hoja2!A:A,MATCH(SUBSTITUTE(A34,"'",""),SUBSTITUTE(Hoja2!A:A,"'",""),0)),"No encontrado")</f>
        <v>0</v>
      </c>
    </row>
    <row r="35" spans="1:5" x14ac:dyDescent="0.25">
      <c r="A35" s="20"/>
      <c r="B35" s="15"/>
      <c r="C35" s="17">
        <v>16</v>
      </c>
      <c r="E35" cm="1">
        <f t="array" ref="E35">IFERROR(INDEX(Hoja2!A:A,MATCH(SUBSTITUTE(A35,"'",""),SUBSTITUTE(Hoja2!A:A,"'",""),0)),"No encontrado")</f>
        <v>0</v>
      </c>
    </row>
    <row r="36" spans="1:5" x14ac:dyDescent="0.25">
      <c r="B36" s="15"/>
      <c r="C36" s="17">
        <v>16</v>
      </c>
      <c r="E36" cm="1">
        <f t="array" ref="E36">IFERROR(INDEX(Hoja2!A:A,MATCH(SUBSTITUTE(A36,"'",""),SUBSTITUTE(Hoja2!A:A,"'",""),0)),"No encontrado")</f>
        <v>0</v>
      </c>
    </row>
    <row r="37" spans="1:5" x14ac:dyDescent="0.25">
      <c r="B37" s="15"/>
      <c r="C37" s="17">
        <v>16</v>
      </c>
      <c r="E37" cm="1">
        <f t="array" ref="E37">IFERROR(INDEX(Hoja2!A:A,MATCH(SUBSTITUTE(A37,"'",""),SUBSTITUTE(Hoja2!A:A,"'",""),0)),"No encontrado")</f>
        <v>0</v>
      </c>
    </row>
    <row r="38" spans="1:5" x14ac:dyDescent="0.25">
      <c r="B38" s="15"/>
      <c r="C38" s="17">
        <v>16</v>
      </c>
      <c r="E38" cm="1">
        <f t="array" ref="E38">IFERROR(INDEX(Hoja2!A:A,MATCH(SUBSTITUTE(A38,"'",""),SUBSTITUTE(Hoja2!A:A,"'",""),0)),"No encontrado")</f>
        <v>0</v>
      </c>
    </row>
    <row r="39" spans="1:5" x14ac:dyDescent="0.25">
      <c r="B39" s="15"/>
      <c r="C39" s="17">
        <v>16</v>
      </c>
      <c r="E39" cm="1">
        <f t="array" ref="E39">IFERROR(INDEX(Hoja2!A:A,MATCH(SUBSTITUTE(A39,"'",""),SUBSTITUTE(Hoja2!A:A,"'",""),0)),"No encontrado")</f>
        <v>0</v>
      </c>
    </row>
    <row r="40" spans="1:5" x14ac:dyDescent="0.25">
      <c r="B40" s="15"/>
      <c r="C40" s="17">
        <v>16</v>
      </c>
      <c r="E40" cm="1">
        <f t="array" ref="E40">IFERROR(INDEX(Hoja2!A:A,MATCH(SUBSTITUTE(A40,"'",""),SUBSTITUTE(Hoja2!A:A,"'",""),0)),"No encontrado")</f>
        <v>0</v>
      </c>
    </row>
    <row r="41" spans="1:5" x14ac:dyDescent="0.25">
      <c r="B41" s="15"/>
      <c r="C41" s="17">
        <v>16</v>
      </c>
      <c r="E41" cm="1">
        <f t="array" ref="E41">IFERROR(INDEX(Hoja2!A:A,MATCH(SUBSTITUTE(A41,"'",""),SUBSTITUTE(Hoja2!A:A,"'",""),0)),"No encontrado")</f>
        <v>0</v>
      </c>
    </row>
    <row r="42" spans="1:5" x14ac:dyDescent="0.25">
      <c r="B42" s="15"/>
      <c r="C42" s="17">
        <v>16</v>
      </c>
      <c r="E42" cm="1">
        <f t="array" ref="E42">IFERROR(INDEX(Hoja2!A:A,MATCH(SUBSTITUTE(A42,"'",""),SUBSTITUTE(Hoja2!A:A,"'",""),0)),"No encontrado")</f>
        <v>0</v>
      </c>
    </row>
    <row r="43" spans="1:5" x14ac:dyDescent="0.25">
      <c r="B43" s="15"/>
      <c r="C43" s="17">
        <v>16</v>
      </c>
      <c r="E43" cm="1">
        <f t="array" ref="E43">IFERROR(INDEX(Hoja2!A:A,MATCH(SUBSTITUTE(A43,"'",""),SUBSTITUTE(Hoja2!A:A,"'",""),0)),"No encontrado")</f>
        <v>0</v>
      </c>
    </row>
    <row r="44" spans="1:5" x14ac:dyDescent="0.25">
      <c r="B44" s="15"/>
      <c r="C44" s="17">
        <v>16</v>
      </c>
      <c r="E44" cm="1">
        <f t="array" ref="E44">IFERROR(INDEX(Hoja2!A:A,MATCH(SUBSTITUTE(A44,"'",""),SUBSTITUTE(Hoja2!A:A,"'",""),0)),"No encontrado")</f>
        <v>0</v>
      </c>
    </row>
    <row r="45" spans="1:5" x14ac:dyDescent="0.25">
      <c r="B45" s="15"/>
      <c r="C45" s="17">
        <v>16</v>
      </c>
      <c r="E45" cm="1">
        <f t="array" ref="E45">IFERROR(INDEX(Hoja2!A:A,MATCH(SUBSTITUTE(A45,"'",""),SUBSTITUTE(Hoja2!A:A,"'",""),0)),"No encontrado")</f>
        <v>0</v>
      </c>
    </row>
    <row r="46" spans="1:5" x14ac:dyDescent="0.25">
      <c r="B46" s="15"/>
      <c r="C46" s="17">
        <v>16</v>
      </c>
      <c r="E46" cm="1">
        <f t="array" ref="E46">IFERROR(INDEX(Hoja2!A:A,MATCH(SUBSTITUTE(A46,"'",""),SUBSTITUTE(Hoja2!A:A,"'",""),0)),"No encontrado")</f>
        <v>0</v>
      </c>
    </row>
    <row r="47" spans="1:5" x14ac:dyDescent="0.25">
      <c r="B47" s="15"/>
      <c r="C47" s="17">
        <v>16</v>
      </c>
      <c r="E47" cm="1">
        <f t="array" ref="E47">IFERROR(INDEX(Hoja2!A:A,MATCH(SUBSTITUTE(A47,"'",""),SUBSTITUTE(Hoja2!A:A,"'",""),0)),"No encontrado")</f>
        <v>0</v>
      </c>
    </row>
    <row r="48" spans="1:5" x14ac:dyDescent="0.25">
      <c r="B48" s="15"/>
      <c r="C48" s="17">
        <v>16</v>
      </c>
      <c r="E48" cm="1">
        <f t="array" ref="E48">IFERROR(INDEX(Hoja2!A:A,MATCH(SUBSTITUTE(A48,"'",""),SUBSTITUTE(Hoja2!A:A,"'",""),0)),"No encontrado")</f>
        <v>0</v>
      </c>
    </row>
    <row r="49" spans="2:5" x14ac:dyDescent="0.25">
      <c r="B49" s="15"/>
      <c r="C49" s="17">
        <v>16</v>
      </c>
      <c r="E49" cm="1">
        <f t="array" ref="E49">IFERROR(INDEX(Hoja2!A:A,MATCH(SUBSTITUTE(A49,"'",""),SUBSTITUTE(Hoja2!A:A,"'",""),0)),"No encontrado")</f>
        <v>0</v>
      </c>
    </row>
    <row r="50" spans="2:5" x14ac:dyDescent="0.25">
      <c r="B50" s="15"/>
      <c r="C50" s="17">
        <v>16</v>
      </c>
      <c r="E50" cm="1">
        <f t="array" ref="E50">IFERROR(INDEX(Hoja2!A:A,MATCH(SUBSTITUTE(A50,"'",""),SUBSTITUTE(Hoja2!A:A,"'",""),0)),"No encontrado")</f>
        <v>0</v>
      </c>
    </row>
    <row r="51" spans="2:5" x14ac:dyDescent="0.25">
      <c r="B51" s="15"/>
      <c r="C51" s="17">
        <v>16</v>
      </c>
      <c r="E51" cm="1">
        <f t="array" ref="E51">IFERROR(INDEX(Hoja2!A:A,MATCH(SUBSTITUTE(A51,"'",""),SUBSTITUTE(Hoja2!A:A,"'",""),0)),"No encontrado")</f>
        <v>0</v>
      </c>
    </row>
    <row r="52" spans="2:5" x14ac:dyDescent="0.25">
      <c r="B52" s="15"/>
      <c r="C52" s="17">
        <v>16</v>
      </c>
      <c r="E52" cm="1">
        <f t="array" ref="E52">IFERROR(INDEX(Hoja2!A:A,MATCH(SUBSTITUTE(A52,"'",""),SUBSTITUTE(Hoja2!A:A,"'",""),0)),"No encontrado")</f>
        <v>0</v>
      </c>
    </row>
    <row r="53" spans="2:5" x14ac:dyDescent="0.25">
      <c r="B53" s="15"/>
      <c r="C53" s="17">
        <v>16</v>
      </c>
      <c r="E53" cm="1">
        <f t="array" ref="E53">IFERROR(INDEX(Hoja2!A:A,MATCH(SUBSTITUTE(A53,"'",""),SUBSTITUTE(Hoja2!A:A,"'",""),0)),"No encontrado")</f>
        <v>0</v>
      </c>
    </row>
    <row r="54" spans="2:5" x14ac:dyDescent="0.25">
      <c r="B54" s="15"/>
      <c r="C54" s="17">
        <v>16</v>
      </c>
      <c r="E54" cm="1">
        <f t="array" ref="E54">IFERROR(INDEX(Hoja2!A:A,MATCH(SUBSTITUTE(A54,"'",""),SUBSTITUTE(Hoja2!A:A,"'",""),0)),"No encontrado")</f>
        <v>0</v>
      </c>
    </row>
    <row r="55" spans="2:5" x14ac:dyDescent="0.25">
      <c r="B55" s="15"/>
      <c r="C55" s="17">
        <v>16</v>
      </c>
      <c r="E55" cm="1">
        <f t="array" ref="E55">IFERROR(INDEX(Hoja2!A:A,MATCH(SUBSTITUTE(A55,"'",""),SUBSTITUTE(Hoja2!A:A,"'",""),0)),"No encontrado")</f>
        <v>0</v>
      </c>
    </row>
    <row r="56" spans="2:5" x14ac:dyDescent="0.25">
      <c r="B56" s="15"/>
      <c r="C56" s="17">
        <v>16</v>
      </c>
      <c r="E56" cm="1">
        <f t="array" ref="E56">IFERROR(INDEX(Hoja2!A:A,MATCH(SUBSTITUTE(A56,"'",""),SUBSTITUTE(Hoja2!A:A,"'",""),0)),"No encontrado")</f>
        <v>0</v>
      </c>
    </row>
    <row r="57" spans="2:5" x14ac:dyDescent="0.25">
      <c r="B57" s="15"/>
      <c r="C57" s="17">
        <v>16</v>
      </c>
      <c r="E57" cm="1">
        <f t="array" ref="E57">IFERROR(INDEX(Hoja2!A:A,MATCH(SUBSTITUTE(A57,"'",""),SUBSTITUTE(Hoja2!A:A,"'",""),0)),"No encontrado")</f>
        <v>0</v>
      </c>
    </row>
    <row r="58" spans="2:5" x14ac:dyDescent="0.25">
      <c r="B58" s="15"/>
      <c r="C58" s="17">
        <v>16</v>
      </c>
      <c r="E58" cm="1">
        <f t="array" ref="E58">IFERROR(INDEX(Hoja2!A:A,MATCH(SUBSTITUTE(A58,"'",""),SUBSTITUTE(Hoja2!A:A,"'",""),0)),"No encontrado")</f>
        <v>0</v>
      </c>
    </row>
    <row r="59" spans="2:5" x14ac:dyDescent="0.25">
      <c r="B59" s="15"/>
      <c r="C59" s="17">
        <v>16</v>
      </c>
      <c r="E59" cm="1">
        <f t="array" ref="E59">IFERROR(INDEX(Hoja2!A:A,MATCH(SUBSTITUTE(A59,"'",""),SUBSTITUTE(Hoja2!A:A,"'",""),0)),"No encontrado")</f>
        <v>0</v>
      </c>
    </row>
    <row r="60" spans="2:5" x14ac:dyDescent="0.25">
      <c r="B60" s="15"/>
      <c r="C60" s="17">
        <v>16</v>
      </c>
      <c r="E60" cm="1">
        <f t="array" ref="E60">IFERROR(INDEX(Hoja2!A:A,MATCH(SUBSTITUTE(A60,"'",""),SUBSTITUTE(Hoja2!A:A,"'",""),0)),"No encontrado")</f>
        <v>0</v>
      </c>
    </row>
    <row r="61" spans="2:5" x14ac:dyDescent="0.25">
      <c r="B61" s="15"/>
      <c r="C61" s="17">
        <v>16</v>
      </c>
      <c r="E61" cm="1">
        <f t="array" ref="E61">IFERROR(INDEX(Hoja2!A:A,MATCH(SUBSTITUTE(A61,"'",""),SUBSTITUTE(Hoja2!A:A,"'",""),0)),"No encontrado")</f>
        <v>0</v>
      </c>
    </row>
    <row r="62" spans="2:5" x14ac:dyDescent="0.25">
      <c r="B62" s="15"/>
      <c r="C62" s="17">
        <v>16</v>
      </c>
      <c r="E62" cm="1">
        <f t="array" ref="E62">IFERROR(INDEX(Hoja2!A:A,MATCH(SUBSTITUTE(A62,"'",""),SUBSTITUTE(Hoja2!A:A,"'",""),0)),"No encontrado")</f>
        <v>0</v>
      </c>
    </row>
    <row r="63" spans="2:5" x14ac:dyDescent="0.25">
      <c r="B63" s="15"/>
      <c r="C63" s="17">
        <v>16</v>
      </c>
      <c r="E63" cm="1">
        <f t="array" ref="E63">IFERROR(INDEX(Hoja2!A:A,MATCH(SUBSTITUTE(A63,"'",""),SUBSTITUTE(Hoja2!A:A,"'",""),0)),"No encontrado")</f>
        <v>0</v>
      </c>
    </row>
    <row r="64" spans="2:5" x14ac:dyDescent="0.25">
      <c r="B64" s="15"/>
      <c r="C64" s="17">
        <v>16</v>
      </c>
      <c r="E64" cm="1">
        <f t="array" ref="E64">IFERROR(INDEX(Hoja2!A:A,MATCH(SUBSTITUTE(A64,"'",""),SUBSTITUTE(Hoja2!A:A,"'",""),0)),"No encontrado")</f>
        <v>0</v>
      </c>
    </row>
    <row r="65" spans="2:5" x14ac:dyDescent="0.25">
      <c r="B65" s="15"/>
      <c r="C65" s="17">
        <v>16</v>
      </c>
      <c r="E65" cm="1">
        <f t="array" ref="E65">IFERROR(INDEX(Hoja2!A:A,MATCH(SUBSTITUTE(A65,"'",""),SUBSTITUTE(Hoja2!A:A,"'",""),0)),"No encontrado")</f>
        <v>0</v>
      </c>
    </row>
    <row r="66" spans="2:5" x14ac:dyDescent="0.25">
      <c r="B66" s="15"/>
      <c r="C66" s="17">
        <v>16</v>
      </c>
      <c r="E66" cm="1">
        <f t="array" ref="E66">IFERROR(INDEX(Hoja2!A:A,MATCH(SUBSTITUTE(A66,"'",""),SUBSTITUTE(Hoja2!A:A,"'",""),0)),"No encontrado")</f>
        <v>0</v>
      </c>
    </row>
    <row r="67" spans="2:5" x14ac:dyDescent="0.25">
      <c r="B67" s="15"/>
      <c r="C67" s="17">
        <v>16</v>
      </c>
      <c r="E67" cm="1">
        <f t="array" ref="E67">IFERROR(INDEX(Hoja2!A:A,MATCH(SUBSTITUTE(A67,"'",""),SUBSTITUTE(Hoja2!A:A,"'",""),0)),"No encontrado")</f>
        <v>0</v>
      </c>
    </row>
    <row r="68" spans="2:5" x14ac:dyDescent="0.25">
      <c r="B68" s="15"/>
      <c r="C68" s="17">
        <v>16</v>
      </c>
      <c r="E68" cm="1">
        <f t="array" ref="E68">IFERROR(INDEX(Hoja2!A:A,MATCH(SUBSTITUTE(A68,"'",""),SUBSTITUTE(Hoja2!A:A,"'",""),0)),"No encontrado")</f>
        <v>0</v>
      </c>
    </row>
    <row r="69" spans="2:5" x14ac:dyDescent="0.25">
      <c r="B69" s="15"/>
      <c r="C69" s="17">
        <v>16</v>
      </c>
      <c r="E69" cm="1">
        <f t="array" ref="E69">IFERROR(INDEX(Hoja2!A:A,MATCH(SUBSTITUTE(A69,"'",""),SUBSTITUTE(Hoja2!A:A,"'",""),0)),"No encontrado")</f>
        <v>0</v>
      </c>
    </row>
    <row r="70" spans="2:5" x14ac:dyDescent="0.25">
      <c r="B70" s="15"/>
      <c r="C70" s="17">
        <v>16</v>
      </c>
      <c r="E70" cm="1">
        <f t="array" ref="E70">IFERROR(INDEX(Hoja2!A:A,MATCH(SUBSTITUTE(A70,"'",""),SUBSTITUTE(Hoja2!A:A,"'",""),0)),"No encontrado")</f>
        <v>0</v>
      </c>
    </row>
    <row r="71" spans="2:5" x14ac:dyDescent="0.25">
      <c r="B71" s="15"/>
      <c r="C71" s="17">
        <v>16</v>
      </c>
      <c r="E71" cm="1">
        <f t="array" ref="E71">IFERROR(INDEX(Hoja2!A:A,MATCH(SUBSTITUTE(A71,"'",""),SUBSTITUTE(Hoja2!A:A,"'",""),0)),"No encontrado")</f>
        <v>0</v>
      </c>
    </row>
    <row r="72" spans="2:5" x14ac:dyDescent="0.25">
      <c r="B72" s="15"/>
      <c r="C72" s="17">
        <v>16</v>
      </c>
      <c r="E72" cm="1">
        <f t="array" ref="E72">IFERROR(INDEX(Hoja2!A:A,MATCH(SUBSTITUTE(A72,"'",""),SUBSTITUTE(Hoja2!A:A,"'",""),0)),"No encontrado")</f>
        <v>0</v>
      </c>
    </row>
    <row r="73" spans="2:5" x14ac:dyDescent="0.25">
      <c r="B73" s="15"/>
      <c r="C73" s="17">
        <v>16</v>
      </c>
      <c r="E73" cm="1">
        <f t="array" ref="E73">IFERROR(INDEX(Hoja2!A:A,MATCH(SUBSTITUTE(A73,"'",""),SUBSTITUTE(Hoja2!A:A,"'",""),0)),"No encontrado")</f>
        <v>0</v>
      </c>
    </row>
    <row r="74" spans="2:5" x14ac:dyDescent="0.25">
      <c r="B74" s="15"/>
      <c r="C74" s="17">
        <v>16</v>
      </c>
      <c r="E74" cm="1">
        <f t="array" ref="E74">IFERROR(INDEX(Hoja2!A:A,MATCH(SUBSTITUTE(A74,"'",""),SUBSTITUTE(Hoja2!A:A,"'",""),0)),"No encontrado")</f>
        <v>0</v>
      </c>
    </row>
    <row r="75" spans="2:5" x14ac:dyDescent="0.25">
      <c r="B75" s="15"/>
      <c r="C75" s="17">
        <v>16</v>
      </c>
      <c r="E75" cm="1">
        <f t="array" ref="E75">IFERROR(INDEX(Hoja2!A:A,MATCH(SUBSTITUTE(A75,"'",""),SUBSTITUTE(Hoja2!A:A,"'",""),0)),"No encontrado")</f>
        <v>0</v>
      </c>
    </row>
    <row r="76" spans="2:5" x14ac:dyDescent="0.25">
      <c r="B76" s="15"/>
      <c r="C76" s="17">
        <v>16</v>
      </c>
      <c r="E76" cm="1">
        <f t="array" ref="E76">IFERROR(INDEX(Hoja2!A:A,MATCH(SUBSTITUTE(A76,"'",""),SUBSTITUTE(Hoja2!A:A,"'",""),0)),"No encontrado")</f>
        <v>0</v>
      </c>
    </row>
    <row r="77" spans="2:5" x14ac:dyDescent="0.25">
      <c r="B77" s="15"/>
      <c r="C77" s="17">
        <v>16</v>
      </c>
      <c r="E77" cm="1">
        <f t="array" ref="E77">IFERROR(INDEX(Hoja2!A:A,MATCH(SUBSTITUTE(A77,"'",""),SUBSTITUTE(Hoja2!A:A,"'",""),0)),"No encontrado")</f>
        <v>0</v>
      </c>
    </row>
    <row r="78" spans="2:5" x14ac:dyDescent="0.25">
      <c r="B78" s="15"/>
      <c r="C78" s="17">
        <v>16</v>
      </c>
      <c r="E78" cm="1">
        <f t="array" ref="E78">IFERROR(INDEX(Hoja2!A:A,MATCH(SUBSTITUTE(A78,"'",""),SUBSTITUTE(Hoja2!A:A,"'",""),0)),"No encontrado")</f>
        <v>0</v>
      </c>
    </row>
    <row r="79" spans="2:5" x14ac:dyDescent="0.25">
      <c r="B79" s="15"/>
      <c r="C79" s="17">
        <v>16</v>
      </c>
      <c r="E79" cm="1">
        <f t="array" ref="E79">IFERROR(INDEX(Hoja2!A:A,MATCH(SUBSTITUTE(A79,"'",""),SUBSTITUTE(Hoja2!A:A,"'",""),0)),"No encontrado")</f>
        <v>0</v>
      </c>
    </row>
    <row r="80" spans="2:5" x14ac:dyDescent="0.25">
      <c r="B80" s="15"/>
      <c r="C80" s="17">
        <v>16</v>
      </c>
      <c r="E80" cm="1">
        <f t="array" ref="E80">IFERROR(INDEX(Hoja2!A:A,MATCH(SUBSTITUTE(A80,"'",""),SUBSTITUTE(Hoja2!A:A,"'",""),0)),"No encontrado")</f>
        <v>0</v>
      </c>
    </row>
    <row r="81" spans="2:5" x14ac:dyDescent="0.25">
      <c r="B81" s="15"/>
      <c r="C81" s="17">
        <v>16</v>
      </c>
      <c r="E81" cm="1">
        <f t="array" ref="E81">IFERROR(INDEX(Hoja2!A:A,MATCH(SUBSTITUTE(A81,"'",""),SUBSTITUTE(Hoja2!A:A,"'",""),0)),"No encontrado")</f>
        <v>0</v>
      </c>
    </row>
    <row r="82" spans="2:5" x14ac:dyDescent="0.25">
      <c r="B82" s="15"/>
      <c r="C82" s="17">
        <v>16</v>
      </c>
      <c r="E82" cm="1">
        <f t="array" ref="E82">IFERROR(INDEX(Hoja2!A:A,MATCH(SUBSTITUTE(A82,"'",""),SUBSTITUTE(Hoja2!A:A,"'",""),0)),"No encontrado")</f>
        <v>0</v>
      </c>
    </row>
    <row r="83" spans="2:5" x14ac:dyDescent="0.25">
      <c r="B83" s="15"/>
      <c r="C83" s="17">
        <v>16</v>
      </c>
      <c r="E83" cm="1">
        <f t="array" ref="E83">IFERROR(INDEX(Hoja2!A:A,MATCH(SUBSTITUTE(A83,"'",""),SUBSTITUTE(Hoja2!A:A,"'",""),0)),"No encontrado")</f>
        <v>0</v>
      </c>
    </row>
    <row r="84" spans="2:5" x14ac:dyDescent="0.25">
      <c r="B84" s="15"/>
      <c r="C84" s="17">
        <v>16</v>
      </c>
      <c r="E84" cm="1">
        <f t="array" ref="E84">IFERROR(INDEX(Hoja2!A:A,MATCH(SUBSTITUTE(A84,"'",""),SUBSTITUTE(Hoja2!A:A,"'",""),0)),"No encontrado")</f>
        <v>0</v>
      </c>
    </row>
    <row r="85" spans="2:5" x14ac:dyDescent="0.25">
      <c r="B85" s="15"/>
      <c r="C85" s="17">
        <v>16</v>
      </c>
      <c r="E85" cm="1">
        <f t="array" ref="E85">IFERROR(INDEX(Hoja2!A:A,MATCH(SUBSTITUTE(A85,"'",""),SUBSTITUTE(Hoja2!A:A,"'",""),0)),"No encontrado")</f>
        <v>0</v>
      </c>
    </row>
    <row r="86" spans="2:5" x14ac:dyDescent="0.25">
      <c r="B86" s="15"/>
      <c r="C86" s="17">
        <v>16</v>
      </c>
      <c r="E86" cm="1">
        <f t="array" ref="E86">IFERROR(INDEX(Hoja2!A:A,MATCH(SUBSTITUTE(A86,"'",""),SUBSTITUTE(Hoja2!A:A,"'",""),0)),"No encontrado")</f>
        <v>0</v>
      </c>
    </row>
    <row r="87" spans="2:5" x14ac:dyDescent="0.25">
      <c r="B87" s="15"/>
      <c r="C87" s="17">
        <v>16</v>
      </c>
      <c r="E87" cm="1">
        <f t="array" ref="E87">IFERROR(INDEX(Hoja2!A:A,MATCH(SUBSTITUTE(A87,"'",""),SUBSTITUTE(Hoja2!A:A,"'",""),0)),"No encontrado")</f>
        <v>0</v>
      </c>
    </row>
    <row r="88" spans="2:5" x14ac:dyDescent="0.25">
      <c r="B88" s="15"/>
      <c r="C88" s="17">
        <v>16</v>
      </c>
      <c r="E88" cm="1">
        <f t="array" ref="E88">IFERROR(INDEX(Hoja2!A:A,MATCH(SUBSTITUTE(A88,"'",""),SUBSTITUTE(Hoja2!A:A,"'",""),0)),"No encontrado")</f>
        <v>0</v>
      </c>
    </row>
    <row r="89" spans="2:5" x14ac:dyDescent="0.25">
      <c r="B89" s="15"/>
      <c r="C89" s="17">
        <v>16</v>
      </c>
      <c r="E89" cm="1">
        <f t="array" ref="E89">IFERROR(INDEX(Hoja2!A:A,MATCH(SUBSTITUTE(A89,"'",""),SUBSTITUTE(Hoja2!A:A,"'",""),0)),"No encontrado")</f>
        <v>0</v>
      </c>
    </row>
    <row r="90" spans="2:5" x14ac:dyDescent="0.25">
      <c r="B90" s="15"/>
      <c r="C90" s="17">
        <v>16</v>
      </c>
      <c r="E90" cm="1">
        <f t="array" ref="E90">IFERROR(INDEX(Hoja2!A:A,MATCH(SUBSTITUTE(A90,"'",""),SUBSTITUTE(Hoja2!A:A,"'",""),0)),"No encontrado")</f>
        <v>0</v>
      </c>
    </row>
    <row r="91" spans="2:5" x14ac:dyDescent="0.25">
      <c r="B91" s="15"/>
      <c r="C91" s="17">
        <v>16</v>
      </c>
      <c r="E91" cm="1">
        <f t="array" ref="E91">IFERROR(INDEX(Hoja2!A:A,MATCH(SUBSTITUTE(A91,"'",""),SUBSTITUTE(Hoja2!A:A,"'",""),0)),"No encontrado")</f>
        <v>0</v>
      </c>
    </row>
    <row r="92" spans="2:5" x14ac:dyDescent="0.25">
      <c r="B92" s="15"/>
      <c r="C92" s="17">
        <v>16</v>
      </c>
      <c r="E92" cm="1">
        <f t="array" ref="E92">IFERROR(INDEX(Hoja2!A:A,MATCH(SUBSTITUTE(A92,"'",""),SUBSTITUTE(Hoja2!A:A,"'",""),0)),"No encontrado")</f>
        <v>0</v>
      </c>
    </row>
    <row r="93" spans="2:5" x14ac:dyDescent="0.25">
      <c r="B93" s="15"/>
      <c r="C93" s="17">
        <v>16</v>
      </c>
      <c r="E93" cm="1">
        <f t="array" ref="E93">IFERROR(INDEX(Hoja2!A:A,MATCH(SUBSTITUTE(A93,"'",""),SUBSTITUTE(Hoja2!A:A,"'",""),0)),"No encontrado")</f>
        <v>0</v>
      </c>
    </row>
    <row r="94" spans="2:5" x14ac:dyDescent="0.25">
      <c r="B94" s="15"/>
      <c r="C94" s="17">
        <v>16</v>
      </c>
      <c r="E94" cm="1">
        <f t="array" ref="E94">IFERROR(INDEX(Hoja2!A:A,MATCH(SUBSTITUTE(A94,"'",""),SUBSTITUTE(Hoja2!A:A,"'",""),0)),"No encontrado")</f>
        <v>0</v>
      </c>
    </row>
    <row r="95" spans="2:5" x14ac:dyDescent="0.25">
      <c r="B95" s="15"/>
      <c r="C95" s="17">
        <v>16</v>
      </c>
      <c r="E95" cm="1">
        <f t="array" ref="E95">IFERROR(INDEX(Hoja2!A:A,MATCH(SUBSTITUTE(A95,"'",""),SUBSTITUTE(Hoja2!A:A,"'",""),0)),"No encontrado")</f>
        <v>0</v>
      </c>
    </row>
    <row r="96" spans="2:5" x14ac:dyDescent="0.25">
      <c r="B96" s="15"/>
      <c r="C96" s="17">
        <v>16</v>
      </c>
      <c r="E96" cm="1">
        <f t="array" ref="E96">IFERROR(INDEX(Hoja2!A:A,MATCH(SUBSTITUTE(A96,"'",""),SUBSTITUTE(Hoja2!A:A,"'",""),0)),"No encontrado")</f>
        <v>0</v>
      </c>
    </row>
    <row r="97" spans="2:5" x14ac:dyDescent="0.25">
      <c r="B97" s="15"/>
      <c r="C97" s="17">
        <v>16</v>
      </c>
      <c r="E97" cm="1">
        <f t="array" ref="E97">IFERROR(INDEX(Hoja2!A:A,MATCH(SUBSTITUTE(A97,"'",""),SUBSTITUTE(Hoja2!A:A,"'",""),0)),"No encontrado")</f>
        <v>0</v>
      </c>
    </row>
    <row r="98" spans="2:5" x14ac:dyDescent="0.25">
      <c r="B98" s="15"/>
      <c r="C98" s="17">
        <v>16</v>
      </c>
      <c r="E98" cm="1">
        <f t="array" ref="E98">IFERROR(INDEX(Hoja2!A:A,MATCH(SUBSTITUTE(A98,"'",""),SUBSTITUTE(Hoja2!A:A,"'",""),0)),"No encontrado")</f>
        <v>0</v>
      </c>
    </row>
    <row r="99" spans="2:5" x14ac:dyDescent="0.25">
      <c r="B99" s="15"/>
      <c r="C99" s="17">
        <v>16</v>
      </c>
      <c r="E99" cm="1">
        <f t="array" ref="E99">IFERROR(INDEX(Hoja2!A:A,MATCH(SUBSTITUTE(A99,"'",""),SUBSTITUTE(Hoja2!A:A,"'",""),0)),"No encontrado")</f>
        <v>0</v>
      </c>
    </row>
    <row r="100" spans="2:5" x14ac:dyDescent="0.25">
      <c r="B100" s="15"/>
      <c r="C100" s="17">
        <v>16</v>
      </c>
      <c r="E100" cm="1">
        <f t="array" ref="E100">IFERROR(INDEX(Hoja2!A:A,MATCH(SUBSTITUTE(A100,"'",""),SUBSTITUTE(Hoja2!A:A,"'",""),0)),"No encontrado")</f>
        <v>0</v>
      </c>
    </row>
  </sheetData>
  <conditionalFormatting sqref="B1:B29">
    <cfRule type="duplicateValues" dxfId="5" priority="6"/>
  </conditionalFormatting>
  <conditionalFormatting sqref="C1">
    <cfRule type="duplicateValues" dxfId="4" priority="5"/>
  </conditionalFormatting>
  <conditionalFormatting sqref="D1">
    <cfRule type="duplicateValues" dxfId="3" priority="4"/>
  </conditionalFormatting>
  <conditionalFormatting sqref="E1">
    <cfRule type="duplicateValues" dxfId="2" priority="3"/>
  </conditionalFormatting>
  <conditionalFormatting sqref="E1:E31 E101:E1048576">
    <cfRule type="cellIs" dxfId="1" priority="2" operator="equal">
      <formula>"No encontrado"</formula>
    </cfRule>
  </conditionalFormatting>
  <conditionalFormatting sqref="E32:E100">
    <cfRule type="cellIs" dxfId="0" priority="1" operator="equal">
      <formula>"No encontrado"</formula>
    </cfRule>
  </conditionalFormatting>
  <hyperlinks>
    <hyperlink ref="A2" r:id="rId1" xr:uid="{775E5CBA-20A7-42A1-AEBA-A57C51A33647}"/>
    <hyperlink ref="A3" r:id="rId2" xr:uid="{7ED9E97E-DA48-483C-A89D-21C34032682C}"/>
  </hyperlinks>
  <pageMargins left="0.7" right="0.7" top="0.75" bottom="0.75" header="0.3" footer="0.3"/>
  <pageSetup orientation="portrait" horizontalDpi="1200" verticalDpi="120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Alexis Alejandro Reyes Camargo</dc:creator>
  <cp:keywords/>
  <dc:description/>
  <cp:lastModifiedBy>Alexis Alejandro Reyes Camargo</cp:lastModifiedBy>
  <cp:revision/>
  <dcterms:created xsi:type="dcterms:W3CDTF">2025-09-03T15:25:11Z</dcterms:created>
  <dcterms:modified xsi:type="dcterms:W3CDTF">2026-06-12T17:19:09Z</dcterms:modified>
  <cp:category/>
  <cp:contentStatus/>
</cp:coreProperties>
</file>