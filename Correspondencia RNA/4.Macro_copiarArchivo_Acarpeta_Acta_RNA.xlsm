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gonzalc\Desktop\MACROS ENVIO MASIVO\Correspondencia credenciales digitales\"/>
    </mc:Choice>
  </mc:AlternateContent>
  <xr:revisionPtr revIDLastSave="0" documentId="13_ncr:1_{D98225F2-728F-4E6C-A381-01971EAF0CDC}" xr6:coauthVersionLast="47" xr6:coauthVersionMax="47" xr10:uidLastSave="{00000000-0000-0000-0000-000000000000}"/>
  <bookViews>
    <workbookView xWindow="-120" yWindow="-120" windowWidth="29040" windowHeight="15720" activeTab="1" xr2:uid="{48B69EAC-3833-41E0-9B7B-1E135BBC7B71}"/>
  </bookViews>
  <sheets>
    <sheet name="Macro" sheetId="1" r:id="rId1"/>
    <sheet name="Sacar_Rutas" sheetId="2" r:id="rId2"/>
  </sheets>
  <definedNames>
    <definedName name="_xlnm._FilterDatabase" localSheetId="0" hidden="1">Macro!$A$1:$B$70</definedName>
    <definedName name="_xlnm._FilterDatabase" localSheetId="1" hidden="1">Sacar_Rutas!$A$1:$M$45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2" l="1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F6" i="2" a="1"/>
  <c r="F6" i="2" s="1"/>
  <c r="F7" i="2" a="1"/>
  <c r="F7" i="2" s="1"/>
  <c r="F8" i="2" a="1"/>
  <c r="F8" i="2" s="1"/>
  <c r="F9" i="2" a="1"/>
  <c r="F9" i="2" s="1"/>
  <c r="F10" i="2" a="1"/>
  <c r="F10" i="2" s="1"/>
  <c r="F11" i="2" a="1"/>
  <c r="F11" i="2" s="1"/>
  <c r="F12" i="2" a="1"/>
  <c r="F12" i="2" s="1"/>
  <c r="F13" i="2" a="1"/>
  <c r="F13" i="2" s="1"/>
  <c r="F14" i="2" a="1"/>
  <c r="F14" i="2" s="1"/>
  <c r="F15" i="2" a="1"/>
  <c r="F15" i="2" s="1"/>
  <c r="F16" i="2" a="1"/>
  <c r="F16" i="2" s="1"/>
  <c r="F17" i="2" a="1"/>
  <c r="F17" i="2" s="1"/>
  <c r="F18" i="2" a="1"/>
  <c r="F18" i="2" s="1"/>
  <c r="F19" i="2" a="1"/>
  <c r="F19" i="2" s="1"/>
  <c r="F20" i="2" a="1"/>
  <c r="F20" i="2" s="1"/>
  <c r="F21" i="2" a="1"/>
  <c r="F21" i="2" s="1"/>
  <c r="F22" i="2" a="1"/>
  <c r="F22" i="2" s="1"/>
  <c r="F23" i="2" a="1"/>
  <c r="F23" i="2" s="1"/>
  <c r="F24" i="2" a="1"/>
  <c r="F24" i="2" s="1"/>
  <c r="F25" i="2" a="1"/>
  <c r="F25" i="2" s="1"/>
  <c r="F26" i="2" a="1"/>
  <c r="F26" i="2" s="1"/>
  <c r="F27" i="2" a="1"/>
  <c r="F27" i="2" s="1"/>
  <c r="F28" i="2" a="1"/>
  <c r="F28" i="2" s="1"/>
  <c r="F29" i="2" a="1"/>
  <c r="F29" i="2" s="1"/>
  <c r="F30" i="2" a="1"/>
  <c r="F30" i="2" s="1"/>
  <c r="F31" i="2" a="1"/>
  <c r="F31" i="2" s="1"/>
  <c r="F32" i="2" a="1"/>
  <c r="F32" i="2" s="1"/>
  <c r="F33" i="2" a="1"/>
  <c r="F33" i="2" s="1"/>
  <c r="F34" i="2" a="1"/>
  <c r="F34" i="2" s="1"/>
  <c r="F35" i="2" a="1"/>
  <c r="F35" i="2" s="1"/>
  <c r="F36" i="2" a="1"/>
  <c r="F36" i="2" s="1"/>
  <c r="F37" i="2" a="1"/>
  <c r="F37" i="2" s="1"/>
  <c r="F38" i="2" a="1"/>
  <c r="F38" i="2" s="1"/>
  <c r="F39" i="2" a="1"/>
  <c r="F39" i="2" s="1"/>
  <c r="F40" i="2" a="1"/>
  <c r="F40" i="2" s="1"/>
  <c r="F41" i="2" a="1"/>
  <c r="F41" i="2" s="1"/>
  <c r="F42" i="2" a="1"/>
  <c r="F42" i="2" s="1"/>
  <c r="F43" i="2" a="1"/>
  <c r="F43" i="2" s="1"/>
  <c r="F44" i="2" a="1"/>
  <c r="F44" i="2" s="1"/>
  <c r="F45" i="2" a="1"/>
  <c r="F45" i="2" s="1"/>
  <c r="F46" i="2" a="1"/>
  <c r="F46" i="2" s="1"/>
  <c r="F47" i="2" a="1"/>
  <c r="F47" i="2" s="1"/>
  <c r="F48" i="2" a="1"/>
  <c r="F48" i="2" s="1"/>
  <c r="F49" i="2" a="1"/>
  <c r="F49" i="2" s="1"/>
  <c r="F50" i="2" a="1"/>
  <c r="F50" i="2" s="1"/>
  <c r="F51" i="2" a="1"/>
  <c r="F51" i="2" s="1"/>
  <c r="F52" i="2" a="1"/>
  <c r="F52" i="2" s="1"/>
  <c r="F53" i="2" a="1"/>
  <c r="F53" i="2" s="1"/>
  <c r="F54" i="2" a="1"/>
  <c r="F54" i="2" s="1"/>
  <c r="F55" i="2" a="1"/>
  <c r="F55" i="2" s="1"/>
  <c r="F56" i="2" a="1"/>
  <c r="F56" i="2" s="1"/>
  <c r="F57" i="2" a="1"/>
  <c r="F57" i="2" s="1"/>
  <c r="F58" i="2" a="1"/>
  <c r="F58" i="2" s="1"/>
  <c r="F59" i="2" a="1"/>
  <c r="F59" i="2" s="1"/>
  <c r="F60" i="2" a="1"/>
  <c r="F60" i="2" s="1"/>
  <c r="F61" i="2" a="1"/>
  <c r="F61" i="2" s="1"/>
  <c r="F62" i="2" a="1"/>
  <c r="F62" i="2" s="1"/>
  <c r="F63" i="2" a="1"/>
  <c r="F63" i="2" s="1"/>
  <c r="F64" i="2" a="1"/>
  <c r="F64" i="2" s="1"/>
  <c r="F65" i="2" a="1"/>
  <c r="F65" i="2" s="1"/>
  <c r="F66" i="2" a="1"/>
  <c r="F66" i="2" s="1"/>
  <c r="F67" i="2" a="1"/>
  <c r="F67" i="2" s="1"/>
  <c r="F68" i="2" a="1"/>
  <c r="F68" i="2" s="1"/>
  <c r="F69" i="2" a="1"/>
  <c r="F69" i="2" s="1"/>
  <c r="F70" i="2" a="1"/>
  <c r="F70" i="2" s="1"/>
  <c r="F71" i="2" a="1"/>
  <c r="F71" i="2" s="1"/>
  <c r="F72" i="2" a="1"/>
  <c r="F72" i="2" s="1"/>
  <c r="F73" i="2" a="1"/>
  <c r="F73" i="2" s="1"/>
  <c r="F74" i="2" a="1"/>
  <c r="F74" i="2" s="1"/>
  <c r="F75" i="2" a="1"/>
  <c r="F75" i="2" s="1"/>
  <c r="F76" i="2" a="1"/>
  <c r="F76" i="2" s="1"/>
  <c r="F77" i="2" a="1"/>
  <c r="F77" i="2" s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2" i="2"/>
  <c r="B48" i="2"/>
  <c r="C48" i="2" s="1"/>
  <c r="D48" i="2"/>
  <c r="B49" i="2"/>
  <c r="C49" i="2" s="1"/>
  <c r="D49" i="2"/>
  <c r="B50" i="2"/>
  <c r="C50" i="2" s="1"/>
  <c r="D50" i="2"/>
  <c r="B51" i="2"/>
  <c r="C51" i="2" s="1"/>
  <c r="D51" i="2"/>
  <c r="B52" i="2"/>
  <c r="C52" i="2" s="1"/>
  <c r="D52" i="2"/>
  <c r="B53" i="2"/>
  <c r="C53" i="2" s="1"/>
  <c r="D53" i="2"/>
  <c r="B54" i="2"/>
  <c r="C54" i="2" s="1"/>
  <c r="D54" i="2"/>
  <c r="B55" i="2"/>
  <c r="C55" i="2" s="1"/>
  <c r="D55" i="2"/>
  <c r="B56" i="2"/>
  <c r="C56" i="2" s="1"/>
  <c r="D56" i="2"/>
  <c r="B57" i="2"/>
  <c r="C57" i="2" s="1"/>
  <c r="D57" i="2"/>
  <c r="B58" i="2"/>
  <c r="C58" i="2" s="1"/>
  <c r="D58" i="2"/>
  <c r="B59" i="2"/>
  <c r="C59" i="2" s="1"/>
  <c r="D59" i="2"/>
  <c r="B60" i="2"/>
  <c r="C60" i="2" s="1"/>
  <c r="D60" i="2"/>
  <c r="B61" i="2"/>
  <c r="C61" i="2" s="1"/>
  <c r="D61" i="2"/>
  <c r="B62" i="2"/>
  <c r="C62" i="2" s="1"/>
  <c r="D62" i="2"/>
  <c r="B63" i="2"/>
  <c r="C63" i="2" s="1"/>
  <c r="D63" i="2"/>
  <c r="B64" i="2"/>
  <c r="C64" i="2" s="1"/>
  <c r="D64" i="2"/>
  <c r="B65" i="2"/>
  <c r="C65" i="2" s="1"/>
  <c r="D65" i="2"/>
  <c r="B66" i="2"/>
  <c r="C66" i="2" s="1"/>
  <c r="D66" i="2"/>
  <c r="B67" i="2"/>
  <c r="C67" i="2" s="1"/>
  <c r="D67" i="2"/>
  <c r="B68" i="2"/>
  <c r="C68" i="2" s="1"/>
  <c r="D68" i="2"/>
  <c r="B69" i="2"/>
  <c r="C69" i="2" s="1"/>
  <c r="D69" i="2"/>
  <c r="B70" i="2"/>
  <c r="C70" i="2" s="1"/>
  <c r="D70" i="2"/>
  <c r="B71" i="2"/>
  <c r="C71" i="2" s="1"/>
  <c r="D71" i="2"/>
  <c r="B72" i="2"/>
  <c r="C72" i="2" s="1"/>
  <c r="D72" i="2"/>
  <c r="B73" i="2"/>
  <c r="C73" i="2" s="1"/>
  <c r="D73" i="2"/>
  <c r="B74" i="2"/>
  <c r="C74" i="2" s="1"/>
  <c r="D74" i="2"/>
  <c r="B75" i="2"/>
  <c r="C75" i="2" s="1"/>
  <c r="D75" i="2"/>
  <c r="B76" i="2"/>
  <c r="C76" i="2" s="1"/>
  <c r="D76" i="2"/>
  <c r="B77" i="2"/>
  <c r="C77" i="2" s="1"/>
  <c r="D77" i="2"/>
  <c r="D44" i="2"/>
  <c r="D45" i="2"/>
  <c r="D46" i="2"/>
  <c r="D47" i="2"/>
  <c r="B44" i="2"/>
  <c r="C44" i="2" s="1"/>
  <c r="B45" i="2"/>
  <c r="C45" i="2" s="1"/>
  <c r="B46" i="2"/>
  <c r="C46" i="2" s="1"/>
  <c r="B47" i="2"/>
  <c r="C47" i="2" s="1"/>
  <c r="B3" i="2"/>
  <c r="C3" i="2" s="1"/>
  <c r="B7" i="2"/>
  <c r="C7" i="2" s="1"/>
  <c r="B8" i="2"/>
  <c r="C8" i="2" s="1"/>
  <c r="B9" i="2"/>
  <c r="C9" i="2" s="1"/>
  <c r="B10" i="2"/>
  <c r="C10" i="2" s="1"/>
  <c r="B11" i="2"/>
  <c r="C11" i="2" s="1"/>
  <c r="B12" i="2"/>
  <c r="C12" i="2" s="1"/>
  <c r="B13" i="2"/>
  <c r="C13" i="2" s="1"/>
  <c r="B14" i="2"/>
  <c r="C14" i="2" s="1"/>
  <c r="B15" i="2"/>
  <c r="C15" i="2" s="1"/>
  <c r="B16" i="2"/>
  <c r="C16" i="2" s="1"/>
  <c r="B17" i="2"/>
  <c r="C17" i="2" s="1"/>
  <c r="B18" i="2"/>
  <c r="C18" i="2" s="1"/>
  <c r="B19" i="2"/>
  <c r="C19" i="2" s="1"/>
  <c r="B20" i="2"/>
  <c r="C20" i="2" s="1"/>
  <c r="D31" i="2"/>
  <c r="B32" i="2"/>
  <c r="C32" i="2" s="1"/>
  <c r="B33" i="2"/>
  <c r="C33" i="2" s="1"/>
  <c r="D34" i="2"/>
  <c r="D35" i="2"/>
  <c r="D36" i="2"/>
  <c r="B2" i="2"/>
  <c r="C2" i="2" s="1"/>
  <c r="D37" i="2"/>
  <c r="D38" i="2"/>
  <c r="D39" i="2"/>
  <c r="B40" i="2"/>
  <c r="C40" i="2" s="1"/>
  <c r="B41" i="2"/>
  <c r="C41" i="2" s="1"/>
  <c r="D42" i="2"/>
  <c r="D43" i="2"/>
  <c r="D28" i="2"/>
  <c r="D29" i="2"/>
  <c r="B30" i="2"/>
  <c r="C30" i="2" s="1"/>
  <c r="B4" i="2"/>
  <c r="C4" i="2" s="1"/>
  <c r="D5" i="2"/>
  <c r="B6" i="2"/>
  <c r="C6" i="2" s="1"/>
  <c r="B21" i="2"/>
  <c r="C21" i="2" s="1"/>
  <c r="B22" i="2"/>
  <c r="C22" i="2" s="1"/>
  <c r="B23" i="2"/>
  <c r="C23" i="2" s="1"/>
  <c r="B24" i="2"/>
  <c r="C24" i="2" s="1"/>
  <c r="B25" i="2"/>
  <c r="C25" i="2" s="1"/>
  <c r="B26" i="2"/>
  <c r="C26" i="2" s="1"/>
  <c r="B27" i="2"/>
  <c r="C27" i="2" s="1"/>
  <c r="I47" i="2" l="1"/>
  <c r="I45" i="2"/>
  <c r="I56" i="2"/>
  <c r="I43" i="2"/>
  <c r="I42" i="2"/>
  <c r="I71" i="2"/>
  <c r="I76" i="2"/>
  <c r="I70" i="2"/>
  <c r="I64" i="2"/>
  <c r="I52" i="2"/>
  <c r="I39" i="2"/>
  <c r="I75" i="2"/>
  <c r="I69" i="2"/>
  <c r="I63" i="2"/>
  <c r="I51" i="2"/>
  <c r="I35" i="2"/>
  <c r="I34" i="2"/>
  <c r="I31" i="2"/>
  <c r="I29" i="2"/>
  <c r="F5" i="2" a="1"/>
  <c r="F5" i="2" s="1"/>
  <c r="I5" i="2" s="1"/>
  <c r="I37" i="2"/>
  <c r="M56" i="2"/>
  <c r="I59" i="2"/>
  <c r="I46" i="2"/>
  <c r="M46" i="2" s="1"/>
  <c r="I44" i="2"/>
  <c r="M44" i="2" s="1"/>
  <c r="I62" i="2"/>
  <c r="M52" i="2"/>
  <c r="I50" i="2"/>
  <c r="I38" i="2"/>
  <c r="M45" i="2"/>
  <c r="M47" i="2"/>
  <c r="D3" i="2"/>
  <c r="D41" i="2"/>
  <c r="D40" i="2"/>
  <c r="D33" i="2"/>
  <c r="D32" i="2"/>
  <c r="D30" i="2"/>
  <c r="D27" i="2"/>
  <c r="D23" i="2"/>
  <c r="D7" i="2"/>
  <c r="D14" i="2"/>
  <c r="D13" i="2"/>
  <c r="D18" i="2"/>
  <c r="D15" i="2"/>
  <c r="D12" i="2"/>
  <c r="D17" i="2"/>
  <c r="D16" i="2"/>
  <c r="D11" i="2"/>
  <c r="D26" i="2"/>
  <c r="D10" i="2"/>
  <c r="D25" i="2"/>
  <c r="D9" i="2"/>
  <c r="D24" i="2"/>
  <c r="D8" i="2"/>
  <c r="D21" i="2"/>
  <c r="D22" i="2"/>
  <c r="D6" i="2"/>
  <c r="D20" i="2"/>
  <c r="D4" i="2"/>
  <c r="D19" i="2"/>
  <c r="A2" i="1" a="1"/>
  <c r="A2" i="1" s="1"/>
  <c r="B5" i="2"/>
  <c r="C5" i="2" s="1"/>
  <c r="B39" i="2"/>
  <c r="C39" i="2" s="1"/>
  <c r="B37" i="2"/>
  <c r="C37" i="2" s="1"/>
  <c r="B38" i="2"/>
  <c r="C38" i="2" s="1"/>
  <c r="B35" i="2"/>
  <c r="C35" i="2" s="1"/>
  <c r="B31" i="2"/>
  <c r="C31" i="2" s="1"/>
  <c r="B29" i="2"/>
  <c r="C29" i="2" s="1"/>
  <c r="B28" i="2"/>
  <c r="C28" i="2" s="1"/>
  <c r="B42" i="2"/>
  <c r="C42" i="2" s="1"/>
  <c r="B43" i="2"/>
  <c r="C43" i="2" s="1"/>
  <c r="B36" i="2"/>
  <c r="C36" i="2" s="1"/>
  <c r="B34" i="2"/>
  <c r="C34" i="2" s="1"/>
  <c r="D2" i="2"/>
  <c r="M71" i="2" l="1"/>
  <c r="M64" i="2"/>
  <c r="M76" i="2"/>
  <c r="M59" i="2"/>
  <c r="I55" i="2"/>
  <c r="M75" i="2"/>
  <c r="I48" i="2"/>
  <c r="M48" i="2" s="1"/>
  <c r="I66" i="2"/>
  <c r="I54" i="2"/>
  <c r="M54" i="2"/>
  <c r="I72" i="2"/>
  <c r="I61" i="2"/>
  <c r="I73" i="2"/>
  <c r="I67" i="2"/>
  <c r="M67" i="2"/>
  <c r="I60" i="2"/>
  <c r="I68" i="2"/>
  <c r="I77" i="2"/>
  <c r="M77" i="2"/>
  <c r="I74" i="2"/>
  <c r="M69" i="2"/>
  <c r="I57" i="2"/>
  <c r="M57" i="2" s="1"/>
  <c r="I53" i="2"/>
  <c r="M63" i="2"/>
  <c r="I58" i="2"/>
  <c r="M58" i="2" s="1"/>
  <c r="I65" i="2"/>
  <c r="M70" i="2"/>
  <c r="M51" i="2"/>
  <c r="I28" i="2"/>
  <c r="M35" i="2"/>
  <c r="G5" i="2"/>
  <c r="M5" i="2" s="1"/>
  <c r="I49" i="2"/>
  <c r="M49" i="2" s="1"/>
  <c r="I36" i="2"/>
  <c r="M50" i="2"/>
  <c r="M62" i="2"/>
  <c r="I14" i="2"/>
  <c r="M38" i="2"/>
  <c r="I9" i="2"/>
  <c r="I7" i="2"/>
  <c r="M29" i="2"/>
  <c r="I25" i="2"/>
  <c r="I23" i="2"/>
  <c r="I10" i="2"/>
  <c r="I27" i="2"/>
  <c r="I26" i="2"/>
  <c r="I30" i="2"/>
  <c r="M42" i="2"/>
  <c r="I19" i="2"/>
  <c r="I11" i="2"/>
  <c r="I32" i="2"/>
  <c r="F4" i="2" a="1"/>
  <c r="F4" i="2" s="1"/>
  <c r="I4" i="2" s="1"/>
  <c r="I33" i="2"/>
  <c r="I24" i="2"/>
  <c r="I16" i="2"/>
  <c r="I20" i="2"/>
  <c r="I17" i="2"/>
  <c r="I40" i="2"/>
  <c r="M43" i="2"/>
  <c r="M31" i="2"/>
  <c r="I41" i="2"/>
  <c r="M34" i="2"/>
  <c r="I22" i="2"/>
  <c r="I15" i="2"/>
  <c r="F3" i="2" a="1"/>
  <c r="F3" i="2" s="1"/>
  <c r="I3" i="2" s="1"/>
  <c r="M37" i="2"/>
  <c r="F2" i="2" a="1"/>
  <c r="F2" i="2" s="1"/>
  <c r="I2" i="2" s="1"/>
  <c r="I12" i="2"/>
  <c r="I21" i="2"/>
  <c r="I18" i="2"/>
  <c r="M39" i="2"/>
  <c r="I6" i="2"/>
  <c r="I8" i="2"/>
  <c r="I13" i="2"/>
  <c r="M28" i="2"/>
  <c r="M72" i="2" l="1"/>
  <c r="M74" i="2"/>
  <c r="M61" i="2"/>
  <c r="M36" i="2"/>
  <c r="M68" i="2"/>
  <c r="M65" i="2"/>
  <c r="M53" i="2"/>
  <c r="M60" i="2"/>
  <c r="M66" i="2"/>
  <c r="M73" i="2"/>
  <c r="M55" i="2"/>
  <c r="M24" i="2"/>
  <c r="M11" i="2"/>
  <c r="M19" i="2"/>
  <c r="M20" i="2"/>
  <c r="M23" i="2"/>
  <c r="M15" i="2"/>
  <c r="M18" i="2"/>
  <c r="M12" i="2"/>
  <c r="M41" i="2"/>
  <c r="M16" i="2"/>
  <c r="M25" i="2"/>
  <c r="G2" i="2"/>
  <c r="M2" i="2" s="1"/>
  <c r="M30" i="2"/>
  <c r="M33" i="2"/>
  <c r="M7" i="2"/>
  <c r="M8" i="2"/>
  <c r="M6" i="2"/>
  <c r="G3" i="2"/>
  <c r="M3" i="2" s="1"/>
  <c r="M26" i="2"/>
  <c r="M40" i="2"/>
  <c r="G4" i="2"/>
  <c r="M4" i="2" s="1"/>
  <c r="M9" i="2"/>
  <c r="M27" i="2"/>
  <c r="M13" i="2"/>
  <c r="M17" i="2"/>
  <c r="M32" i="2"/>
  <c r="M10" i="2"/>
  <c r="M14" i="2"/>
  <c r="M22" i="2"/>
  <c r="M21" i="2"/>
  <c r="J21" i="2"/>
  <c r="J8" i="2"/>
  <c r="J11" i="2"/>
  <c r="J24" i="2"/>
  <c r="J23" i="2"/>
  <c r="J3" i="2"/>
  <c r="J7" i="2"/>
  <c r="J6" i="2"/>
  <c r="J16" i="2"/>
  <c r="J30" i="2"/>
  <c r="J22" i="2"/>
  <c r="J41" i="2"/>
  <c r="J26" i="2"/>
  <c r="J20" i="2"/>
  <c r="J10" i="2"/>
  <c r="J13" i="2"/>
  <c r="J4" i="2"/>
  <c r="J25" i="2"/>
  <c r="J12" i="2"/>
  <c r="J59" i="2"/>
  <c r="J5" i="2"/>
  <c r="J58" i="2"/>
  <c r="J77" i="2"/>
  <c r="J72" i="2"/>
  <c r="J69" i="2"/>
  <c r="J61" i="2"/>
  <c r="J56" i="2"/>
  <c r="J35" i="2"/>
  <c r="J67" i="2"/>
  <c r="J45" i="2"/>
  <c r="J50" i="2"/>
  <c r="J53" i="2"/>
  <c r="J29" i="2"/>
  <c r="J66" i="2"/>
  <c r="J64" i="2"/>
  <c r="J34" i="2"/>
  <c r="J68" i="2"/>
  <c r="J76" i="2"/>
  <c r="J71" i="2"/>
  <c r="J48" i="2"/>
  <c r="J52" i="2"/>
  <c r="J60" i="2"/>
  <c r="J55" i="2"/>
  <c r="J65" i="2"/>
  <c r="J36" i="2"/>
  <c r="J44" i="2"/>
  <c r="J39" i="2"/>
  <c r="J49" i="2"/>
  <c r="J28" i="2"/>
  <c r="J75" i="2"/>
  <c r="J51" i="2"/>
  <c r="J57" i="2"/>
  <c r="J37" i="2"/>
  <c r="J63" i="2"/>
  <c r="J54" i="2"/>
  <c r="J31" i="2"/>
  <c r="J62" i="2"/>
  <c r="J70" i="2"/>
  <c r="J74" i="2"/>
  <c r="J47" i="2"/>
  <c r="J2" i="2"/>
  <c r="J38" i="2"/>
  <c r="J73" i="2"/>
  <c r="J46" i="2"/>
  <c r="J42" i="2"/>
  <c r="J43" i="2"/>
  <c r="J17" i="2"/>
  <c r="J33" i="2"/>
  <c r="J32" i="2"/>
  <c r="J19" i="2"/>
  <c r="J27" i="2"/>
  <c r="J14" i="2"/>
  <c r="J15" i="2"/>
  <c r="J40" i="2"/>
  <c r="H44" i="2"/>
  <c r="J18" i="2"/>
  <c r="J9" i="2"/>
  <c r="H64" i="2"/>
  <c r="H3" i="2"/>
  <c r="H16" i="2"/>
  <c r="H11" i="2"/>
  <c r="H6" i="2"/>
  <c r="H4" i="2"/>
  <c r="H19" i="2"/>
  <c r="H5" i="2"/>
  <c r="H2" i="2"/>
  <c r="H70" i="2" l="1"/>
  <c r="H32" i="2"/>
  <c r="H33" i="2"/>
  <c r="H17" i="2"/>
  <c r="H41" i="2"/>
  <c r="H31" i="2"/>
  <c r="H46" i="2"/>
  <c r="H20" i="2"/>
  <c r="H43" i="2"/>
  <c r="H40" i="2"/>
  <c r="H69" i="2"/>
  <c r="H53" i="2"/>
  <c r="H18" i="2"/>
  <c r="H37" i="2"/>
  <c r="H61" i="2"/>
  <c r="H72" i="2"/>
  <c r="H15" i="2"/>
  <c r="H66" i="2"/>
  <c r="H21" i="2"/>
  <c r="H67" i="2"/>
  <c r="H52" i="2"/>
  <c r="H8" i="2"/>
  <c r="H13" i="2"/>
  <c r="H28" i="2"/>
  <c r="H47" i="2"/>
  <c r="H39" i="2"/>
  <c r="H42" i="2"/>
  <c r="H58" i="2"/>
  <c r="H74" i="2"/>
  <c r="H59" i="2"/>
  <c r="H54" i="2"/>
  <c r="H24" i="2"/>
  <c r="H14" i="2"/>
  <c r="H73" i="2"/>
  <c r="H56" i="2"/>
  <c r="H57" i="2"/>
  <c r="H55" i="2"/>
  <c r="H51" i="2"/>
  <c r="H38" i="2"/>
  <c r="H9" i="2"/>
  <c r="H7" i="2"/>
  <c r="H23" i="2"/>
  <c r="H29" i="2"/>
  <c r="H22" i="2"/>
  <c r="H34" i="2"/>
  <c r="H50" i="2"/>
  <c r="H36" i="2"/>
  <c r="H45" i="2"/>
  <c r="H63" i="2"/>
  <c r="H25" i="2"/>
  <c r="H68" i="2"/>
  <c r="H48" i="2"/>
  <c r="H10" i="2"/>
  <c r="H27" i="2"/>
  <c r="H65" i="2"/>
  <c r="H75" i="2"/>
  <c r="H60" i="2"/>
  <c r="H71" i="2"/>
  <c r="H77" i="2"/>
  <c r="H12" i="2"/>
  <c r="H35" i="2"/>
  <c r="H26" i="2"/>
  <c r="H30" i="2"/>
  <c r="H49" i="2"/>
  <c r="H62" i="2"/>
  <c r="H76" i="2"/>
  <c r="B2" i="1" a="1"/>
  <c r="B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<sst xmlns="http://schemas.openxmlformats.org/spreadsheetml/2006/main" count="49" uniqueCount="46">
  <si>
    <t>Ruta Origen</t>
  </si>
  <si>
    <t>Ruta Final</t>
  </si>
  <si>
    <t>Ruta Origen de cada PDF con extension</t>
  </si>
  <si>
    <t>Sacar Carpeta</t>
  </si>
  <si>
    <t>Carpeta Anterior</t>
  </si>
  <si>
    <t>Sacar Nombre archivo Archivo</t>
  </si>
  <si>
    <t>Nombre carpeta</t>
  </si>
  <si>
    <t>Cedula</t>
  </si>
  <si>
    <t>Numero Acta #####</t>
  </si>
  <si>
    <t>Numero de acta</t>
  </si>
  <si>
    <t>Repetidas(validar)</t>
  </si>
  <si>
    <t>Nuevo nombre</t>
  </si>
  <si>
    <t>C:\Users\ngonzalc\Downloads\ACTA No. 85788 de 2026.pdf</t>
  </si>
  <si>
    <t>C:\Users\ngonzalc\Downloads\ACTA No. 85789 de 2026.pdf</t>
  </si>
  <si>
    <t>C:\Users\ngonzalc\Downloads\ACTA No. 85790 de 2026.pdf</t>
  </si>
  <si>
    <t>C:\Users\ngonzalc\Downloads\ACTA No. 85791 de 2026.pdf</t>
  </si>
  <si>
    <t>C:\Users\ngonzalc\Downloads\ACTA No. 85793 de 2026.pdf</t>
  </si>
  <si>
    <t>C:\Users\ngonzalc\Downloads\ACTA No. 85795 de 2026.pdf</t>
  </si>
  <si>
    <t>C:\Users\ngonzalc\Downloads\ACTA No. 85796 de 2026.pdf</t>
  </si>
  <si>
    <t>C:\Users\ngonzalc\Downloads\ACTA No. 85797 de 2026.pdf</t>
  </si>
  <si>
    <t>C:\Users\ngonzalc\Downloads\ACTA No. 85798 de 2026.pdf</t>
  </si>
  <si>
    <t>C:\Users\ngonzalc\Downloads\ACTA No. 85799 de 2026.pdf</t>
  </si>
  <si>
    <t>C:\Users\ngonzalc\Downloads\ACTA No. 85800 de 2026.pdf</t>
  </si>
  <si>
    <t>C:\Users\ngonzalc\Downloads\ACTA No. 85801 de 2026.pdf</t>
  </si>
  <si>
    <t>C:\Users\ngonzalc\Downloads\ACTA No. 85802 de 2026.pdf</t>
  </si>
  <si>
    <t>C:\Users\ngonzalc\Downloads\ACTA No. 85803 de 2026.pdf</t>
  </si>
  <si>
    <t>C:\Users\ngonzalc\Downloads\ACTA No. 85804 de 2026.pdf</t>
  </si>
  <si>
    <t>C:\Users\ngonzalc\Downloads\ACTA No. 85762 de 2026.pdf</t>
  </si>
  <si>
    <t>C:\Users\ngonzalc\Downloads\ACTA No. 85764 de 2026.pdf</t>
  </si>
  <si>
    <t>C:\Users\ngonzalc\Downloads\ACTA No. 85766 de 2026.pdf</t>
  </si>
  <si>
    <t>C:\Users\ngonzalc\Downloads\ACTA No. 85767 de 2026.pdf</t>
  </si>
  <si>
    <t>C:\Users\ngonzalc\Downloads\ACTA No. 85771 de 2026.pdf</t>
  </si>
  <si>
    <t>C:\Users\ngonzalc\Downloads\ACTA No. 85772 de 2026.pdf</t>
  </si>
  <si>
    <t>C:\Users\ngonzalc\Downloads\ACTA No. 85773 de 2026.pdf</t>
  </si>
  <si>
    <t>C:\Users\ngonzalc\Downloads\ACTA No. 85775 de 2026.pdf</t>
  </si>
  <si>
    <t>C:\Users\ngonzalc\Downloads\ACTA No. 85776 de 2026.pdf</t>
  </si>
  <si>
    <t>C:\Users\ngonzalc\Downloads\ACTA No. 85777 de 2026.pdf</t>
  </si>
  <si>
    <t>C:\Users\ngonzalc\Downloads\ACTA No. 85778 de 2026.pdf</t>
  </si>
  <si>
    <t>C:\Users\ngonzalc\Downloads\ACTA No. 85779 de 2026.pdf</t>
  </si>
  <si>
    <t>C:\Users\ngonzalc\Downloads\ACTA No. 85780 de 2026.pdf</t>
  </si>
  <si>
    <t>C:\Users\ngonzalc\Downloads\ACTA No. 85781 de 2026.pdf</t>
  </si>
  <si>
    <t>C:\Users\ngonzalc\Downloads\ACTA No. 85782 de 2026.pdf</t>
  </si>
  <si>
    <t>C:\Users\ngonzalc\Downloads\ACTA No. 85783 de 2026.pdf</t>
  </si>
  <si>
    <t>C:\Users\ngonzalc\Downloads\ACTA No. 85784 de 2026.pdf</t>
  </si>
  <si>
    <t>C:\Users\ngonzalc\Downloads\ACTA No. 85786 de 2026.pdf</t>
  </si>
  <si>
    <t>C:\Users\ngonzalc\Downloads\ACTA No. 85787 de 2026.pdf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</si>
</sst>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131313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Aptos Narrow"/>
      <family val="2"/>
    </font>
  </fonts>
  <fills count="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3" borderId="1" xfId="0" applyFont="1" applyFill="1" applyBorder="1"/>
    <xf numFmtId="0" fontId="1" fillId="2" borderId="1" xfId="0" applyFont="1" applyFill="1" applyBorder="1"/>
    <xf numFmtId="0" fontId="2" fillId="0" borderId="0" xfId="0" applyFont="1"/>
    <xf numFmtId="0" fontId="0" fillId="5" borderId="0" xfId="0" applyFill="1"/>
    <xf numFmtId="0" fontId="0" fillId="0" borderId="0" xfId="0" applyAlignment="1">
      <alignment horizontal="left"/>
    </xf>
    <xf numFmtId="0" fontId="0" fillId="4" borderId="2" xfId="0" applyFill="1" applyBorder="1"/>
    <xf numFmtId="0" fontId="0" fillId="6" borderId="2" xfId="0" applyFill="1" applyBorder="1"/>
    <xf numFmtId="0" fontId="0" fillId="7" borderId="2" xfId="0" applyFill="1" applyBorder="1"/>
    <xf numFmtId="0" fontId="0" fillId="2" borderId="2" xfId="0" applyFill="1" applyBorder="1"/>
    <xf numFmtId="49" fontId="0" fillId="0" borderId="0" xfId="0" applyNumberFormat="1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0" fontId="4" fillId="0" borderId="0" xfId="0" applyFont="1"/>
    <xf numFmtId="0" fontId="4" fillId="8" borderId="0" xfId="0" applyFont="1" applyFill="1"/>
    <xf numFmtId="49" fontId="5" fillId="0" borderId="0" xfId="0" applyNumberFormat="1" applyFont="1"/>
    <xf numFmtId="0" fontId="4" fillId="7" borderId="0" xfId="0" applyFont="1" applyFill="1"/>
  </cellXfs>
  <cellStyles count="1">
    <cellStyle name="Normal" xfId="0" builtinId="0"/>
  </cellStyles>
  <dxfs count="2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36286</xdr:colOff>
      <xdr:row>0</xdr:row>
      <xdr:rowOff>18142</xdr:rowOff>
    </xdr:from>
    <xdr:to>
      <xdr:col>2</xdr:col>
      <xdr:colOff>734786</xdr:colOff>
      <xdr:row>0</xdr:row>
      <xdr:rowOff>317499</xdr:rowOff>
    </xdr:to>
    <xdr:sp macro="[0]!MoverArchivo" textlink="">
      <xdr:nvSpPr>
        <xdr:cNvPr id="2" name="Elipse 1">
          <a:extLst>
            <a:ext uri="{FF2B5EF4-FFF2-40B4-BE49-F238E27FC236}">
              <a16:creationId xmlns:a16="http://schemas.microsoft.com/office/drawing/2014/main" id="{A20836EB-ADD9-40D8-A4A8-46F0026245D4}"/>
            </a:ext>
          </a:extLst>
        </xdr:cNvPr>
        <xdr:cNvSpPr/>
      </xdr:nvSpPr>
      <xdr:spPr>
        <a:xfrm>
          <a:off x="26642786" y="18142"/>
          <a:ext cx="698500" cy="299357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1A591-B1A8-4E4C-BA2B-A61FAD3D1078}">
  <sheetPr codeName="Hoja1"/>
  <dimension ref="A1:B82"/>
  <sheetViews>
    <sheetView zoomScale="85" zoomScaleNormal="85" workbookViewId="0">
      <pane ySplit="1" topLeftCell="A2" activePane="bottomLeft" state="frozen"/>
      <selection pane="bottomLeft" activeCell="A17" sqref="A17"/>
    </sheetView>
  </sheetViews>
  <sheetFormatPr baseColWidth="10" defaultColWidth="10.85546875" defaultRowHeight="15" x14ac:dyDescent="0.25"/>
  <cols>
    <col min="1" max="1" width="211.42578125" style="13" bestFit="1" customWidth="1"/>
    <col min="2" max="2" width="230.28515625" style="13" bestFit="1" customWidth="1"/>
  </cols>
  <sheetData>
    <row r="1" spans="1:2" ht="15.75" thickBot="1" x14ac:dyDescent="0.3">
      <c r="A1" s="1" t="s">
        <v>0</v>
      </c>
      <c r="B1" s="2" t="s">
        <v>1</v>
      </c>
    </row>
    <row r="2" spans="1:2" x14ac:dyDescent="0.25">
      <c r="A2" s="14" t="str" cm="1">
        <f t="array" ref="A2:A82">Sacar_Rutas!A2:A82</f>
        <v>C:\Users\ngonzalc\Downloads\ACTA No. 85788 de 2026.pdf</v>
      </c>
      <c r="B2" s="14" t="str" cm="1">
        <f t="array" ref="B2:B82">Sacar_Rutas!M2:M82</f>
        <v>C:\Users\ngonzalc\Downloads\85788_1044504373\1044504373_5.pdf</v>
      </c>
    </row>
    <row r="3" spans="1:2" x14ac:dyDescent="0.25">
      <c r="A3" s="14" t="str">
        <v>C:\Users\ngonzalc\Downloads\ACTA No. 85789 de 2026.pdf</v>
      </c>
      <c r="B3" s="14" t="str">
        <v>C:\Users\ngonzalc\Downloads\85789_1064787344\1064787344_5.pdf</v>
      </c>
    </row>
    <row r="4" spans="1:2" x14ac:dyDescent="0.25">
      <c r="A4" s="14" t="str">
        <v>C:\Users\ngonzalc\Downloads\ACTA No. 85790 de 2026.pdf</v>
      </c>
      <c r="B4" s="14" t="str">
        <v>C:\Users\ngonzalc\Downloads\85790_1076330664\1076330664_5.pdf</v>
      </c>
    </row>
    <row r="5" spans="1:2" x14ac:dyDescent="0.25">
      <c r="A5" s="14" t="str">
        <v>C:\Users\ngonzalc\Downloads\ACTA No. 85791 de 2026.pdf</v>
      </c>
      <c r="B5" s="14" t="str">
        <v>C:\Users\ngonzalc\Downloads\85791_1083899031\1083899031_5.pdf</v>
      </c>
    </row>
    <row r="6" spans="1:2" x14ac:dyDescent="0.25">
      <c r="A6" s="14" t="str">
        <v>C:\Users\ngonzalc\Downloads\ACTA No. 85793 de 2026.pdf</v>
      </c>
      <c r="B6" s="14" t="str">
        <v>C:\Users\ngonzalc\Downloads\85793_1094880265\1094880265_5.pdf</v>
      </c>
    </row>
    <row r="7" spans="1:2" x14ac:dyDescent="0.25">
      <c r="A7" s="14" t="str">
        <v>C:\Users\ngonzalc\Downloads\ACTA No. 85795 de 2026.pdf</v>
      </c>
      <c r="B7" s="14" t="str">
        <v>C:\Users\ngonzalc\Downloads\85795_1100692346\1100692346_5.pdf</v>
      </c>
    </row>
    <row r="8" spans="1:2" x14ac:dyDescent="0.25">
      <c r="A8" s="14" t="str">
        <v>C:\Users\ngonzalc\Downloads\ACTA No. 85796 de 2026.pdf</v>
      </c>
      <c r="B8" s="14" t="str">
        <v>C:\Users\ngonzalc\Downloads\85796_1103099475\1103099475_5.pdf</v>
      </c>
    </row>
    <row r="9" spans="1:2" x14ac:dyDescent="0.25">
      <c r="A9" s="14" t="str">
        <v>C:\Users\ngonzalc\Downloads\ACTA No. 85797 de 2026.pdf</v>
      </c>
      <c r="B9" s="14" t="str">
        <v>C:\Users\ngonzalc\Downloads\85797_1109380184\1109380184_5.pdf</v>
      </c>
    </row>
    <row r="10" spans="1:2" x14ac:dyDescent="0.25">
      <c r="A10" s="14" t="str">
        <v>C:\Users\ngonzalc\Downloads\ACTA No. 85798 de 2026.pdf</v>
      </c>
      <c r="B10" s="14" t="str">
        <v>C:\Users\ngonzalc\Downloads\85798_1123432168\1123432168_5.pdf</v>
      </c>
    </row>
    <row r="11" spans="1:2" x14ac:dyDescent="0.25">
      <c r="A11" s="14" t="str">
        <v>C:\Users\ngonzalc\Downloads\ACTA No. 85799 de 2026.pdf</v>
      </c>
      <c r="B11" s="14" t="str">
        <v>C:\Users\ngonzalc\Downloads\85799_11408677\11408677_5.pdf</v>
      </c>
    </row>
    <row r="12" spans="1:2" x14ac:dyDescent="0.25">
      <c r="A12" s="14" t="str">
        <v>C:\Users\ngonzalc\Downloads\ACTA No. 85800 de 2026.pdf</v>
      </c>
      <c r="B12" s="14" t="str">
        <v>C:\Users\ngonzalc\Downloads\85800_41240513\41240513_5.pdf</v>
      </c>
    </row>
    <row r="13" spans="1:2" x14ac:dyDescent="0.25">
      <c r="A13" s="14" t="str">
        <v>C:\Users\ngonzalc\Downloads\ACTA No. 85801 de 2026.pdf</v>
      </c>
      <c r="B13" s="14" t="str">
        <v>C:\Users\ngonzalc\Downloads\85801_42141671\42141671_5.pdf</v>
      </c>
    </row>
    <row r="14" spans="1:2" x14ac:dyDescent="0.25">
      <c r="A14" s="14" t="str">
        <v>C:\Users\ngonzalc\Downloads\ACTA No. 85802 de 2026.pdf</v>
      </c>
      <c r="B14" s="14" t="str">
        <v>C:\Users\ngonzalc\Downloads\85802_80426489\80426489_5.pdf</v>
      </c>
    </row>
    <row r="15" spans="1:2" x14ac:dyDescent="0.25">
      <c r="A15" s="14" t="str">
        <v>C:\Users\ngonzalc\Downloads\ACTA No. 85803 de 2026.pdf</v>
      </c>
      <c r="B15" s="14" t="str">
        <v>C:\Users\ngonzalc\Downloads\85803_97446291\97446291_5.pdf</v>
      </c>
    </row>
    <row r="16" spans="1:2" x14ac:dyDescent="0.25">
      <c r="A16" s="14" t="str">
        <v>C:\Users\ngonzalc\Downloads\ACTA No. 85804 de 2026.pdf</v>
      </c>
      <c r="B16" s="14" t="str">
        <v>C:\Users\ngonzalc\Downloads\85804_98632014\98632014_5.pdf</v>
      </c>
    </row>
    <row r="17" spans="1:2" x14ac:dyDescent="0.25">
      <c r="A17" s="14" t="str">
        <v>C:\Users\ngonzalc\Downloads\ACTA No. 85762 de 2026.pdf</v>
      </c>
      <c r="B17" s="14" t="str">
        <v>C:\Users\ngonzalc\Downloads\85762_1000331418\1000331418_5.pdf</v>
      </c>
    </row>
    <row r="18" spans="1:2" x14ac:dyDescent="0.25">
      <c r="A18" s="14" t="str">
        <v>C:\Users\ngonzalc\Downloads\ACTA No. 85764 de 2026.pdf</v>
      </c>
      <c r="B18" s="14" t="str">
        <v>C:\Users\ngonzalc\Downloads\85764_1001083846\1001083846_5.pdf</v>
      </c>
    </row>
    <row r="19" spans="1:2" x14ac:dyDescent="0.25">
      <c r="A19" s="14" t="str">
        <v>C:\Users\ngonzalc\Downloads\ACTA No. 85766 de 2026.pdf</v>
      </c>
      <c r="B19" s="14" t="str">
        <v>C:\Users\ngonzalc\Downloads\85766_1001738517\1001738517_5.pdf</v>
      </c>
    </row>
    <row r="20" spans="1:2" x14ac:dyDescent="0.25">
      <c r="A20" s="14" t="str">
        <v>C:\Users\ngonzalc\Downloads\ACTA No. 85767 de 2026.pdf</v>
      </c>
      <c r="B20" s="14" t="str">
        <v>C:\Users\ngonzalc\Downloads\85767_1002500591\1002500591_5.pdf</v>
      </c>
    </row>
    <row r="21" spans="1:2" x14ac:dyDescent="0.25">
      <c r="A21" s="14" t="str">
        <v>C:\Users\ngonzalc\Downloads\ACTA No. 85771 de 2026.pdf</v>
      </c>
      <c r="B21" s="14" t="str">
        <v>C:\Users\ngonzalc\Downloads\85771_1004065572\1004065572_5.pdf</v>
      </c>
    </row>
    <row r="22" spans="1:2" x14ac:dyDescent="0.25">
      <c r="A22" s="14" t="str">
        <v>C:\Users\ngonzalc\Downloads\ACTA No. 85772 de 2026.pdf</v>
      </c>
      <c r="B22" s="14" t="str">
        <v>C:\Users\ngonzalc\Downloads\85772_1004442289\1004442289_5.pdf</v>
      </c>
    </row>
    <row r="23" spans="1:2" x14ac:dyDescent="0.25">
      <c r="A23" s="14" t="str">
        <v>C:\Users\ngonzalc\Downloads\ACTA No. 85773 de 2026.pdf</v>
      </c>
      <c r="B23" s="14" t="str">
        <v>C:\Users\ngonzalc\Downloads\85773_1004497424\1004497424_5.pdf</v>
      </c>
    </row>
    <row r="24" spans="1:2" x14ac:dyDescent="0.25">
      <c r="A24" s="14" t="str">
        <v>C:\Users\ngonzalc\Downloads\ACTA No. 85775 de 2026.pdf</v>
      </c>
      <c r="B24" s="14" t="str">
        <v>C:\Users\ngonzalc\Downloads\85775_1004827255\1004827255_5.pdf</v>
      </c>
    </row>
    <row r="25" spans="1:2" x14ac:dyDescent="0.25">
      <c r="A25" s="14" t="str">
        <v>C:\Users\ngonzalc\Downloads\ACTA No. 85776 de 2026.pdf</v>
      </c>
      <c r="B25" s="14" t="str">
        <v>C:\Users\ngonzalc\Downloads\85776_1005091924\1005091924_5.pdf</v>
      </c>
    </row>
    <row r="26" spans="1:2" x14ac:dyDescent="0.25">
      <c r="A26" s="14" t="str">
        <v>C:\Users\ngonzalc\Downloads\ACTA No. 85777 de 2026.pdf</v>
      </c>
      <c r="B26" s="14" t="str">
        <v>C:\Users\ngonzalc\Downloads\85777_1006876773\1006876773_5.pdf</v>
      </c>
    </row>
    <row r="27" spans="1:2" x14ac:dyDescent="0.25">
      <c r="A27" s="14" t="str">
        <v>C:\Users\ngonzalc\Downloads\ACTA No. 85778 de 2026.pdf</v>
      </c>
      <c r="B27" s="14" t="str">
        <v>C:\Users\ngonzalc\Downloads\85778_1007971185\1007971185_5.pdf</v>
      </c>
    </row>
    <row r="28" spans="1:2" x14ac:dyDescent="0.25">
      <c r="A28" s="14" t="str">
        <v>C:\Users\ngonzalc\Downloads\ACTA No. 85779 de 2026.pdf</v>
      </c>
      <c r="B28" s="14" t="str">
        <v>C:\Users\ngonzalc\Downloads\85779_1010138236\1010138236_5.pdf</v>
      </c>
    </row>
    <row r="29" spans="1:2" x14ac:dyDescent="0.25">
      <c r="A29" s="14" t="str">
        <v>C:\Users\ngonzalc\Downloads\ACTA No. 85780 de 2026.pdf</v>
      </c>
      <c r="B29" s="14" t="str">
        <v>C:\Users\ngonzalc\Downloads\85780_1020453681\1020453681_5.pdf</v>
      </c>
    </row>
    <row r="30" spans="1:2" x14ac:dyDescent="0.25">
      <c r="A30" s="14" t="str">
        <v>C:\Users\ngonzalc\Downloads\ACTA No. 85781 de 2026.pdf</v>
      </c>
      <c r="B30" s="14" t="str">
        <v>C:\Users\ngonzalc\Downloads\85781_1022346585\1022346585_5.pdf</v>
      </c>
    </row>
    <row r="31" spans="1:2" x14ac:dyDescent="0.25">
      <c r="A31" s="14" t="str">
        <v>C:\Users\ngonzalc\Downloads\ACTA No. 85782 de 2026.pdf</v>
      </c>
      <c r="B31" s="14" t="str">
        <v>C:\Users\ngonzalc\Downloads\85782_1022446326\1022446326_5.pdf</v>
      </c>
    </row>
    <row r="32" spans="1:2" x14ac:dyDescent="0.25">
      <c r="A32" s="14" t="str">
        <v>C:\Users\ngonzalc\Downloads\ACTA No. 85783 de 2026.pdf</v>
      </c>
      <c r="B32" s="14" t="str">
        <v>C:\Users\ngonzalc\Downloads\85783_1030696787\1030696787_5.pdf</v>
      </c>
    </row>
    <row r="33" spans="1:2" x14ac:dyDescent="0.25">
      <c r="A33" s="14" t="str">
        <v>C:\Users\ngonzalc\Downloads\ACTA No. 85784 de 2026.pdf</v>
      </c>
      <c r="B33" s="14" t="str">
        <v>C:\Users\ngonzalc\Downloads\85784_1032469700\1032469700_5.pdf</v>
      </c>
    </row>
    <row r="34" spans="1:2" x14ac:dyDescent="0.25">
      <c r="A34" s="14" t="str">
        <v>C:\Users\ngonzalc\Downloads\ACTA No. 85786 de 2026.pdf</v>
      </c>
      <c r="B34" s="14" t="str">
        <v>C:\Users\ngonzalc\Downloads\85786_1035224998\1035224998_5.pdf</v>
      </c>
    </row>
    <row r="35" spans="1:2" x14ac:dyDescent="0.25">
      <c r="A35" s="14" t="str">
        <v>C:\Users\ngonzalc\Downloads\ACTA No. 85787 de 2026.pdf</v>
      </c>
      <c r="B35" s="14" t="str">
        <v>C:\Users\ngonzalc\Downloads\85787_1036684980\1036684980_5.pdf</v>
      </c>
    </row>
    <row r="36" spans="1:2" x14ac:dyDescent="0.25">
      <c r="A36" s="14">
        <v>0</v>
      </c>
      <c r="B36" s="14" t="str">
        <v>_Cedula\Cedula_5.pdf</v>
      </c>
    </row>
    <row r="37" spans="1:2" x14ac:dyDescent="0.25">
      <c r="A37" s="14">
        <v>0</v>
      </c>
      <c r="B37" s="14" t="str">
        <v>_Cedula\Cedula_5.pdf</v>
      </c>
    </row>
    <row r="38" spans="1:2" x14ac:dyDescent="0.25">
      <c r="A38" s="14">
        <v>0</v>
      </c>
      <c r="B38" s="14" t="str">
        <v>_Cedula\Cedula_5.pdf</v>
      </c>
    </row>
    <row r="39" spans="1:2" x14ac:dyDescent="0.25">
      <c r="A39" s="14">
        <v>0</v>
      </c>
      <c r="B39" s="14" t="str">
        <v>_Cedula\Cedula_5.pdf</v>
      </c>
    </row>
    <row r="40" spans="1:2" x14ac:dyDescent="0.25">
      <c r="A40" s="14">
        <v>0</v>
      </c>
      <c r="B40" s="14" t="str">
        <v>_Cedula\Cedula_5.pdf</v>
      </c>
    </row>
    <row r="41" spans="1:2" x14ac:dyDescent="0.25">
      <c r="A41" s="14">
        <v>0</v>
      </c>
      <c r="B41" s="14" t="str">
        <v>_Cedula\Cedula_5.pdf</v>
      </c>
    </row>
    <row r="42" spans="1:2" x14ac:dyDescent="0.25">
      <c r="A42" s="14">
        <v>0</v>
      </c>
      <c r="B42" s="14" t="str">
        <v>_Cedula\Cedula_5.pdf</v>
      </c>
    </row>
    <row r="43" spans="1:2" x14ac:dyDescent="0.25">
      <c r="A43" s="14">
        <v>0</v>
      </c>
      <c r="B43" s="14" t="str">
        <v>_Cedula\Cedula_5.pdf</v>
      </c>
    </row>
    <row r="44" spans="1:2" x14ac:dyDescent="0.25">
      <c r="A44" s="14">
        <v>0</v>
      </c>
      <c r="B44" s="14" t="str">
        <v>_Cedula\Cedula_5.pdf</v>
      </c>
    </row>
    <row r="45" spans="1:2" x14ac:dyDescent="0.25">
      <c r="A45" s="14">
        <v>0</v>
      </c>
      <c r="B45" s="14" t="str">
        <v>_Cedula\Cedula_5.pdf</v>
      </c>
    </row>
    <row r="46" spans="1:2" x14ac:dyDescent="0.25">
      <c r="A46" s="14">
        <v>0</v>
      </c>
      <c r="B46" s="14" t="str">
        <v>_Cedula\Cedula_5.pdf</v>
      </c>
    </row>
    <row r="47" spans="1:2" x14ac:dyDescent="0.25">
      <c r="A47" s="14">
        <v>0</v>
      </c>
      <c r="B47" s="14" t="str">
        <v>_Cedula\Cedula_5.pdf</v>
      </c>
    </row>
    <row r="48" spans="1:2" x14ac:dyDescent="0.25">
      <c r="A48" s="14">
        <v>0</v>
      </c>
      <c r="B48" s="14" t="str">
        <v>_Cedula\Cedula_5.pdf</v>
      </c>
    </row>
    <row r="49" spans="1:2" x14ac:dyDescent="0.25">
      <c r="A49" s="14">
        <v>0</v>
      </c>
      <c r="B49" s="14" t="str">
        <v>_Cedula\Cedula_5.pdf</v>
      </c>
    </row>
    <row r="50" spans="1:2" x14ac:dyDescent="0.25">
      <c r="A50" s="14">
        <v>0</v>
      </c>
      <c r="B50" s="14" t="str">
        <v>_Cedula\Cedula_5.pdf</v>
      </c>
    </row>
    <row r="51" spans="1:2" x14ac:dyDescent="0.25">
      <c r="A51" s="14">
        <v>0</v>
      </c>
      <c r="B51" s="14" t="str">
        <v>_Cedula\Cedula_5.pdf</v>
      </c>
    </row>
    <row r="52" spans="1:2" x14ac:dyDescent="0.25">
      <c r="A52" s="14">
        <v>0</v>
      </c>
      <c r="B52" s="14" t="str">
        <v>_Cedula\Cedula_5.pdf</v>
      </c>
    </row>
    <row r="53" spans="1:2" x14ac:dyDescent="0.25">
      <c r="A53" s="14">
        <v>0</v>
      </c>
      <c r="B53" s="14" t="str">
        <v>_Cedula\Cedula_5.pdf</v>
      </c>
    </row>
    <row r="54" spans="1:2" x14ac:dyDescent="0.25">
      <c r="A54" s="14">
        <v>0</v>
      </c>
      <c r="B54" s="14" t="str">
        <v>_Cedula\Cedula_5.pdf</v>
      </c>
    </row>
    <row r="55" spans="1:2" x14ac:dyDescent="0.25">
      <c r="A55" s="14">
        <v>0</v>
      </c>
      <c r="B55" s="14" t="str">
        <v>_Cedula\Cedula_5.pdf</v>
      </c>
    </row>
    <row r="56" spans="1:2" x14ac:dyDescent="0.25">
      <c r="A56" s="14">
        <v>0</v>
      </c>
      <c r="B56" s="14" t="str">
        <v>_Cedula\Cedula_5.pdf</v>
      </c>
    </row>
    <row r="57" spans="1:2" x14ac:dyDescent="0.25">
      <c r="A57" s="14">
        <v>0</v>
      </c>
      <c r="B57" s="14" t="str">
        <v>_Cedula\Cedula_5.pdf</v>
      </c>
    </row>
    <row r="58" spans="1:2" x14ac:dyDescent="0.25">
      <c r="A58" s="14">
        <v>0</v>
      </c>
      <c r="B58" s="14" t="str">
        <v>_Cedula\Cedula_5.pdf</v>
      </c>
    </row>
    <row r="59" spans="1:2" x14ac:dyDescent="0.25">
      <c r="A59" s="14">
        <v>0</v>
      </c>
      <c r="B59" s="14" t="str">
        <v>_Cedula\Cedula_5.pdf</v>
      </c>
    </row>
    <row r="60" spans="1:2" x14ac:dyDescent="0.25">
      <c r="A60" s="14">
        <v>0</v>
      </c>
      <c r="B60" s="14" t="str">
        <v>_Cedula\Cedula_5.pdf</v>
      </c>
    </row>
    <row r="61" spans="1:2" x14ac:dyDescent="0.25">
      <c r="A61" s="14">
        <v>0</v>
      </c>
      <c r="B61" s="14" t="str">
        <v>_Cedula\Cedula_5.pdf</v>
      </c>
    </row>
    <row r="62" spans="1:2" x14ac:dyDescent="0.25">
      <c r="A62" s="14">
        <v>0</v>
      </c>
      <c r="B62" s="14" t="str">
        <v>_Cedula\Cedula_5.pdf</v>
      </c>
    </row>
    <row r="63" spans="1:2" x14ac:dyDescent="0.25">
      <c r="A63" s="14">
        <v>0</v>
      </c>
      <c r="B63" s="14" t="str">
        <v>_Cedula\Cedula_5.pdf</v>
      </c>
    </row>
    <row r="64" spans="1:2" x14ac:dyDescent="0.25">
      <c r="A64" s="14">
        <v>0</v>
      </c>
      <c r="B64" s="14" t="str">
        <v>_Cedula\Cedula_5.pdf</v>
      </c>
    </row>
    <row r="65" spans="1:2" x14ac:dyDescent="0.25">
      <c r="A65" s="14">
        <v>0</v>
      </c>
      <c r="B65" s="14" t="str">
        <v>_Cedula\Cedula_5.pdf</v>
      </c>
    </row>
    <row r="66" spans="1:2" x14ac:dyDescent="0.25">
      <c r="A66" s="14">
        <v>0</v>
      </c>
      <c r="B66" s="14" t="str">
        <v>_Cedula\Cedula_5.pdf</v>
      </c>
    </row>
    <row r="67" spans="1:2" x14ac:dyDescent="0.25">
      <c r="A67" s="14">
        <v>0</v>
      </c>
      <c r="B67" s="14" t="str">
        <v>_Cedula\Cedula_5.pdf</v>
      </c>
    </row>
    <row r="68" spans="1:2" x14ac:dyDescent="0.25">
      <c r="A68" s="14">
        <v>0</v>
      </c>
      <c r="B68" s="14" t="str">
        <v>_Cedula\Cedula_5.pdf</v>
      </c>
    </row>
    <row r="69" spans="1:2" x14ac:dyDescent="0.25">
      <c r="A69" s="14">
        <v>0</v>
      </c>
      <c r="B69" s="14" t="str">
        <v>_Cedula\Cedula_5.pdf</v>
      </c>
    </row>
    <row r="70" spans="1:2" x14ac:dyDescent="0.25">
      <c r="A70" s="14">
        <v>0</v>
      </c>
      <c r="B70" s="14" t="str">
        <v>_Cedula\Cedula_5.pdf</v>
      </c>
    </row>
    <row r="71" spans="1:2" x14ac:dyDescent="0.25">
      <c r="A71" s="14">
        <v>0</v>
      </c>
      <c r="B71" s="14" t="str">
        <v>_Cedula\Cedula_5.pdf</v>
      </c>
    </row>
    <row r="72" spans="1:2" x14ac:dyDescent="0.25">
      <c r="A72" s="14">
        <v>0</v>
      </c>
      <c r="B72" s="14" t="str">
        <v>_Cedula\Cedula_5.pdf</v>
      </c>
    </row>
    <row r="73" spans="1:2" x14ac:dyDescent="0.25">
      <c r="A73" s="14">
        <v>0</v>
      </c>
      <c r="B73" s="14" t="str">
        <v>_Cedula\Cedula_5.pdf</v>
      </c>
    </row>
    <row r="74" spans="1:2" x14ac:dyDescent="0.25">
      <c r="A74" s="14">
        <v>0</v>
      </c>
      <c r="B74" s="14" t="str">
        <v>_Cedula\Cedula_5.pdf</v>
      </c>
    </row>
    <row r="75" spans="1:2" x14ac:dyDescent="0.25">
      <c r="A75" s="14">
        <v>0</v>
      </c>
      <c r="B75" s="14" t="str">
        <v>_Cedula\Cedula_5.pdf</v>
      </c>
    </row>
    <row r="76" spans="1:2" x14ac:dyDescent="0.25">
      <c r="A76" s="14">
        <v>0</v>
      </c>
      <c r="B76" s="14" t="str">
        <v>_Cedula\Cedula_5.pdf</v>
      </c>
    </row>
    <row r="77" spans="1:2" x14ac:dyDescent="0.25">
      <c r="A77" s="14">
        <v>0</v>
      </c>
      <c r="B77" s="14" t="str">
        <v>_Cedula\Cedula_5.pdf</v>
      </c>
    </row>
    <row r="78" spans="1:2" x14ac:dyDescent="0.25">
      <c r="A78" s="16">
        <v>0</v>
      </c>
      <c r="B78" s="16">
        <v>0</v>
      </c>
    </row>
    <row r="79" spans="1:2" x14ac:dyDescent="0.25">
      <c r="A79" s="16">
        <v>0</v>
      </c>
      <c r="B79" s="16">
        <v>0</v>
      </c>
    </row>
    <row r="80" spans="1:2" x14ac:dyDescent="0.25">
      <c r="A80" s="16">
        <v>0</v>
      </c>
      <c r="B80" s="16">
        <v>0</v>
      </c>
    </row>
    <row r="81" spans="1:2" x14ac:dyDescent="0.25">
      <c r="A81" s="16">
        <v>0</v>
      </c>
      <c r="B81" s="16">
        <v>0</v>
      </c>
    </row>
    <row r="82" spans="1:2" x14ac:dyDescent="0.25">
      <c r="A82" s="16">
        <v>0</v>
      </c>
      <c r="B82" s="16">
        <v>0</v>
      </c>
    </row>
  </sheetData>
  <autoFilter ref="A1:B70" xr:uid="{8C11A591-B1A8-4E4C-BA2B-A61FAD3D1078}"/>
  <pageMargins left="0.7" right="0.7" top="0.75" bottom="0.75" header="0.3" footer="0.3"/>
  <pageSetup orientation="portrait" horizontalDpi="4294967293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E2FBD-4F11-44BC-B7B3-C7CFCDAEE127}">
  <sheetPr codeName="Hoja2"/>
  <dimension ref="A1:M82"/>
  <sheetViews>
    <sheetView tabSelected="1" zoomScale="85" zoomScaleNormal="85" workbookViewId="0">
      <pane ySplit="1" topLeftCell="A2" activePane="bottomLeft" state="frozen"/>
      <selection pane="bottomLeft" activeCell="A21" sqref="A21"/>
    </sheetView>
  </sheetViews>
  <sheetFormatPr baseColWidth="10" defaultColWidth="11.42578125" defaultRowHeight="15" x14ac:dyDescent="0.25"/>
  <cols>
    <col min="1" max="1" width="195.28515625" bestFit="1" customWidth="1"/>
    <col min="2" max="2" width="39.140625" bestFit="1" customWidth="1"/>
    <col min="3" max="3" width="38.28515625" bestFit="1" customWidth="1"/>
    <col min="4" max="4" width="28.42578125" bestFit="1" customWidth="1"/>
    <col min="5" max="5" width="19" bestFit="1" customWidth="1"/>
    <col min="6" max="7" width="19" customWidth="1"/>
    <col min="8" max="8" width="7" customWidth="1"/>
    <col min="9" max="9" width="13.28515625" bestFit="1" customWidth="1"/>
    <col min="10" max="10" width="8.7109375" customWidth="1"/>
    <col min="11" max="11" width="18.42578125" style="5" bestFit="1" customWidth="1"/>
    <col min="12" max="12" width="14.85546875" style="5" customWidth="1"/>
    <col min="13" max="13" width="203.140625" customWidth="1"/>
  </cols>
  <sheetData>
    <row r="1" spans="1:13" ht="20.100000000000001" customHeight="1" x14ac:dyDescent="0.25">
      <c r="A1" s="7" t="s">
        <v>2</v>
      </c>
      <c r="B1" s="8" t="s">
        <v>3</v>
      </c>
      <c r="C1" s="8" t="s">
        <v>4</v>
      </c>
      <c r="D1" s="8" t="s">
        <v>5</v>
      </c>
      <c r="E1" s="8" t="s">
        <v>9</v>
      </c>
      <c r="F1" s="8" t="s">
        <v>7</v>
      </c>
      <c r="G1" s="8" t="s">
        <v>6</v>
      </c>
      <c r="H1" s="8" t="s">
        <v>10</v>
      </c>
      <c r="I1" s="8" t="s">
        <v>11</v>
      </c>
      <c r="J1" s="8" t="s">
        <v>10</v>
      </c>
      <c r="K1" s="6" t="s">
        <v>8</v>
      </c>
      <c r="L1" s="6" t="s">
        <v>7</v>
      </c>
      <c r="M1" s="9" t="s">
        <v>1</v>
      </c>
    </row>
    <row r="2" spans="1:13" x14ac:dyDescent="0.25">
      <c r="A2" s="4" t="s">
        <v>12</v>
      </c>
      <c r="B2" t="str">
        <f t="shared" ref="B2:B47" si="0">+IFERROR(MID(A2,1,SEARCH("@",SUBSTITUTE(A2,"\","@",LEN(A2)-LEN(SUBSTITUTE(A2,"\",""))))),"")</f>
        <v>C:\Users\ngonzalc\Downloads\</v>
      </c>
      <c r="C2" t="str">
        <f>LEFT(B2,FIND("¤",SUBSTITUTE(B2,"\","¤",LEN(B2)-LEN(SUBSTITUTE(B2,"\",""))-1))-1)</f>
        <v>C:\Users\ngonzalc</v>
      </c>
      <c r="D2" s="3" t="str">
        <f t="shared" ref="D2:D33" si="1">+IFERROR(MID(A2,SEARCH("@",SUBSTITUTE(A2,"\","@",LEN(A2)-LEN(SUBSTITUTE(A2,"\",""))))+1,500),"")</f>
        <v>ACTA No. 85788 de 2026.pdf</v>
      </c>
      <c r="E2" s="3" t="str">
        <f>SUBSTITUTE(SUBSTITUTE(SUBSTITUTE(D2,"ACTA No.","")," de 2026.pdf","")," ","")</f>
        <v>85788</v>
      </c>
      <c r="F2" s="3" cm="1">
        <f t="array" ref="F2">INDEX(L:L, MATCH(TRUE, ISNUMBER(SEARCH(E2, K:K)), 0))</f>
        <v>1044504373</v>
      </c>
      <c r="G2" s="3" t="str">
        <f>E2&amp;"_"&amp;F2</f>
        <v>85788_1044504373</v>
      </c>
      <c r="H2" s="3" t="str">
        <f>IF(COUNTIF($G$2:G2,G2)=1, "",
  IF(COUNTIF($G$2:G2,G2)=2, "c",
    "c" &amp; (COUNTIF($G$2:G2,G2)-2)))</f>
        <v/>
      </c>
      <c r="I2" s="3" t="str">
        <f>F2&amp;"_5"</f>
        <v>1044504373_5</v>
      </c>
      <c r="J2" s="3" t="str">
        <f>IF(COUNTIF($I$2:I2,I2)=1, "",
  IF(COUNTIF($I$2:I2,I2)=2, "c",
    "c" &amp; (COUNTIF($I$2:I2,I2)-2)))</f>
        <v/>
      </c>
      <c r="K2" s="10">
        <v>85762</v>
      </c>
      <c r="L2" s="12">
        <v>1000331418</v>
      </c>
      <c r="M2" s="4" t="str">
        <f>B2&amp;G2&amp;"\"&amp;I2&amp;".pdf"</f>
        <v>C:\Users\ngonzalc\Downloads\85788_1044504373\1044504373_5.pdf</v>
      </c>
    </row>
    <row r="3" spans="1:13" x14ac:dyDescent="0.25">
      <c r="A3" s="4" t="s">
        <v>13</v>
      </c>
      <c r="B3" t="str">
        <f t="shared" si="0"/>
        <v>C:\Users\ngonzalc\Downloads\</v>
      </c>
      <c r="C3" t="str">
        <f t="shared" ref="C3:C47" si="2">LEFT(B3,FIND("¤",SUBSTITUTE(B3,"\","¤",LEN(B3)-LEN(SUBSTITUTE(B3,"\",""))-1))-1)</f>
        <v>C:\Users\ngonzalc</v>
      </c>
      <c r="D3" s="3" t="str">
        <f t="shared" si="1"/>
        <v>ACTA No. 85789 de 2026.pdf</v>
      </c>
      <c r="E3" s="3" t="str">
        <f t="shared" ref="E3:E66" si="3">SUBSTITUTE(SUBSTITUTE(SUBSTITUTE(D3,"ACTA No.","")," de 2026.pdf","")," ","")</f>
        <v>85789</v>
      </c>
      <c r="F3" s="3" cm="1">
        <f t="array" ref="F3">INDEX(L:L, MATCH(TRUE, ISNUMBER(SEARCH(E3, K:K)), 0))</f>
        <v>1064787344</v>
      </c>
      <c r="G3" s="3" t="str">
        <f t="shared" ref="G3:G66" si="4">E3&amp;"_"&amp;F3</f>
        <v>85789_1064787344</v>
      </c>
      <c r="H3" s="3" t="str">
        <f>IF(COUNTIF($G$2:G3,G3)=1, "",
  IF(COUNTIF($G$2:G3,G3)=2, "c",
    "c" &amp; (COUNTIF($G$2:G3,G3)-2)))</f>
        <v/>
      </c>
      <c r="I3" s="3" t="str">
        <f t="shared" ref="I3:I66" si="5">F3&amp;"_5"</f>
        <v>1064787344_5</v>
      </c>
      <c r="J3" s="3" t="str">
        <f>IF(COUNTIF($I$2:I3,I3)=1, "",
  IF(COUNTIF($I$2:I3,I3)=2, "c",
    "c" &amp; (COUNTIF($I$2:I3,I3)-2)))</f>
        <v/>
      </c>
      <c r="K3" s="10">
        <v>85764</v>
      </c>
      <c r="L3" s="12">
        <v>1001083846</v>
      </c>
      <c r="M3" s="4" t="str">
        <f t="shared" ref="M3:M66" si="6">B3&amp;G3&amp;"\"&amp;I3&amp;".pdf"</f>
        <v>C:\Users\ngonzalc\Downloads\85789_1064787344\1064787344_5.pdf</v>
      </c>
    </row>
    <row r="4" spans="1:13" x14ac:dyDescent="0.25">
      <c r="A4" s="4" t="s">
        <v>14</v>
      </c>
      <c r="B4" t="str">
        <f t="shared" si="0"/>
        <v>C:\Users\ngonzalc\Downloads\</v>
      </c>
      <c r="C4" t="str">
        <f t="shared" si="2"/>
        <v>C:\Users\ngonzalc</v>
      </c>
      <c r="D4" s="3" t="str">
        <f t="shared" si="1"/>
        <v>ACTA No. 85790 de 2026.pdf</v>
      </c>
      <c r="E4" s="3" t="str">
        <f t="shared" si="3"/>
        <v>85790</v>
      </c>
      <c r="F4" s="3" cm="1">
        <f t="array" ref="F4">INDEX(L:L, MATCH(TRUE, ISNUMBER(SEARCH(E4, K:K)), 0))</f>
        <v>1076330664</v>
      </c>
      <c r="G4" s="3" t="str">
        <f t="shared" si="4"/>
        <v>85790_1076330664</v>
      </c>
      <c r="H4" s="3" t="str">
        <f>IF(COUNTIF($G$2:G4,G4)=1, "",
  IF(COUNTIF($G$2:G4,G4)=2, "c",
    "c" &amp; (COUNTIF($G$2:G4,G4)-2)))</f>
        <v/>
      </c>
      <c r="I4" s="3" t="str">
        <f t="shared" si="5"/>
        <v>1076330664_5</v>
      </c>
      <c r="J4" s="3" t="str">
        <f>IF(COUNTIF($I$2:I4,I4)=1, "",
  IF(COUNTIF($I$2:I4,I4)=2, "c",
    "c" &amp; (COUNTIF($I$2:I4,I4)-2)))</f>
        <v/>
      </c>
      <c r="K4" s="10">
        <v>85766</v>
      </c>
      <c r="L4" s="12">
        <v>1001738517</v>
      </c>
      <c r="M4" s="4" t="str">
        <f t="shared" si="6"/>
        <v>C:\Users\ngonzalc\Downloads\85790_1076330664\1076330664_5.pdf</v>
      </c>
    </row>
    <row r="5" spans="1:13" x14ac:dyDescent="0.25">
      <c r="A5" s="4" t="s">
        <v>15</v>
      </c>
      <c r="B5" t="str">
        <f t="shared" si="0"/>
        <v>C:\Users\ngonzalc\Downloads\</v>
      </c>
      <c r="C5" t="str">
        <f t="shared" si="2"/>
        <v>C:\Users\ngonzalc</v>
      </c>
      <c r="D5" s="3" t="str">
        <f t="shared" si="1"/>
        <v>ACTA No. 85791 de 2026.pdf</v>
      </c>
      <c r="E5" s="3" t="str">
        <f t="shared" si="3"/>
        <v>85791</v>
      </c>
      <c r="F5" s="3" cm="1">
        <f t="array" ref="F5">INDEX(L:L, MATCH(TRUE, ISNUMBER(SEARCH(E5, K:K)), 0))</f>
        <v>1083899031</v>
      </c>
      <c r="G5" s="3" t="str">
        <f t="shared" si="4"/>
        <v>85791_1083899031</v>
      </c>
      <c r="H5" s="3" t="str">
        <f>IF(COUNTIF($G$2:G5,G5)=1, "",
  IF(COUNTIF($G$2:G5,G5)=2, "c",
    "c" &amp; (COUNTIF($G$2:G5,G5)-2)))</f>
        <v/>
      </c>
      <c r="I5" s="3" t="str">
        <f t="shared" si="5"/>
        <v>1083899031_5</v>
      </c>
      <c r="J5" s="3" t="str">
        <f>IF(COUNTIF($I$2:I5,I5)=1, "",
  IF(COUNTIF($I$2:I5,I5)=2, "c",
    "c" &amp; (COUNTIF($I$2:I5,I5)-2)))</f>
        <v/>
      </c>
      <c r="K5" s="10">
        <v>85767</v>
      </c>
      <c r="L5" s="12">
        <v>1002500591</v>
      </c>
      <c r="M5" s="4" t="str">
        <f t="shared" si="6"/>
        <v>C:\Users\ngonzalc\Downloads\85791_1083899031\1083899031_5.pdf</v>
      </c>
    </row>
    <row r="6" spans="1:13" x14ac:dyDescent="0.25">
      <c r="A6" s="4" t="s">
        <v>16</v>
      </c>
      <c r="B6" t="str">
        <f t="shared" si="0"/>
        <v>C:\Users\ngonzalc\Downloads\</v>
      </c>
      <c r="C6" t="str">
        <f t="shared" si="2"/>
        <v>C:\Users\ngonzalc</v>
      </c>
      <c r="D6" s="3" t="str">
        <f t="shared" si="1"/>
        <v>ACTA No. 85793 de 2026.pdf</v>
      </c>
      <c r="E6" s="3" t="str">
        <f t="shared" si="3"/>
        <v>85793</v>
      </c>
      <c r="F6" s="3" cm="1">
        <f t="array" ref="F6">INDEX(L:L, MATCH(TRUE, ISNUMBER(SEARCH(E6, K:K)), 0))</f>
        <v>1094880265</v>
      </c>
      <c r="G6" s="3" t="str">
        <f t="shared" si="4"/>
        <v>85793_1094880265</v>
      </c>
      <c r="H6" s="3" t="str">
        <f>IF(COUNTIF($G$2:G6,G6)=1, "",
  IF(COUNTIF($G$2:G6,G6)=2, "c",
    "c" &amp; (COUNTIF($G$2:G6,G6)-2)))</f>
        <v/>
      </c>
      <c r="I6" s="3" t="str">
        <f t="shared" si="5"/>
        <v>1094880265_5</v>
      </c>
      <c r="J6" s="3" t="str">
        <f>IF(COUNTIF($I$2:I6,I6)=1, "",
  IF(COUNTIF($I$2:I6,I6)=2, "c",
    "c" &amp; (COUNTIF($I$2:I6,I6)-2)))</f>
        <v/>
      </c>
      <c r="K6" s="10">
        <v>85771</v>
      </c>
      <c r="L6" s="12">
        <v>1004065572</v>
      </c>
      <c r="M6" s="4" t="str">
        <f t="shared" si="6"/>
        <v>C:\Users\ngonzalc\Downloads\85793_1094880265\1094880265_5.pdf</v>
      </c>
    </row>
    <row r="7" spans="1:13" x14ac:dyDescent="0.25">
      <c r="A7" s="4" t="s">
        <v>17</v>
      </c>
      <c r="B7" t="str">
        <f t="shared" si="0"/>
        <v>C:\Users\ngonzalc\Downloads\</v>
      </c>
      <c r="C7" t="str">
        <f t="shared" si="2"/>
        <v>C:\Users\ngonzalc</v>
      </c>
      <c r="D7" s="3" t="str">
        <f t="shared" si="1"/>
        <v>ACTA No. 85795 de 2026.pdf</v>
      </c>
      <c r="E7" s="3" t="str">
        <f t="shared" si="3"/>
        <v>85795</v>
      </c>
      <c r="F7" s="3" cm="1">
        <f t="array" ref="F7">INDEX(L:L, MATCH(TRUE, ISNUMBER(SEARCH(E7, K:K)), 0))</f>
        <v>1100692346</v>
      </c>
      <c r="G7" s="3" t="str">
        <f t="shared" si="4"/>
        <v>85795_1100692346</v>
      </c>
      <c r="H7" s="3" t="str">
        <f>IF(COUNTIF($G$2:G7,G7)=1, "",
  IF(COUNTIF($G$2:G7,G7)=2, "c",
    "c" &amp; (COUNTIF($G$2:G7,G7)-2)))</f>
        <v/>
      </c>
      <c r="I7" s="3" t="str">
        <f t="shared" si="5"/>
        <v>1100692346_5</v>
      </c>
      <c r="J7" s="3" t="str">
        <f>IF(COUNTIF($I$2:I7,I7)=1, "",
  IF(COUNTIF($I$2:I7,I7)=2, "c",
    "c" &amp; (COUNTIF($I$2:I7,I7)-2)))</f>
        <v/>
      </c>
      <c r="K7" s="10">
        <v>85772</v>
      </c>
      <c r="L7" s="12">
        <v>1004442289</v>
      </c>
      <c r="M7" s="4" t="str">
        <f t="shared" si="6"/>
        <v>C:\Users\ngonzalc\Downloads\85795_1100692346\1100692346_5.pdf</v>
      </c>
    </row>
    <row r="8" spans="1:13" x14ac:dyDescent="0.25">
      <c r="A8" s="4" t="s">
        <v>18</v>
      </c>
      <c r="B8" t="str">
        <f t="shared" si="0"/>
        <v>C:\Users\ngonzalc\Downloads\</v>
      </c>
      <c r="C8" t="str">
        <f t="shared" si="2"/>
        <v>C:\Users\ngonzalc</v>
      </c>
      <c r="D8" s="3" t="str">
        <f t="shared" si="1"/>
        <v>ACTA No. 85796 de 2026.pdf</v>
      </c>
      <c r="E8" s="3" t="str">
        <f t="shared" si="3"/>
        <v>85796</v>
      </c>
      <c r="F8" s="3" cm="1">
        <f t="array" ref="F8">INDEX(L:L, MATCH(TRUE, ISNUMBER(SEARCH(E8, K:K)), 0))</f>
        <v>1103099475</v>
      </c>
      <c r="G8" s="3" t="str">
        <f t="shared" si="4"/>
        <v>85796_1103099475</v>
      </c>
      <c r="H8" s="3" t="str">
        <f>IF(COUNTIF($G$2:G8,G8)=1, "",
  IF(COUNTIF($G$2:G8,G8)=2, "c",
    "c" &amp; (COUNTIF($G$2:G8,G8)-2)))</f>
        <v/>
      </c>
      <c r="I8" s="3" t="str">
        <f t="shared" si="5"/>
        <v>1103099475_5</v>
      </c>
      <c r="J8" s="3" t="str">
        <f>IF(COUNTIF($I$2:I8,I8)=1, "",
  IF(COUNTIF($I$2:I8,I8)=2, "c",
    "c" &amp; (COUNTIF($I$2:I8,I8)-2)))</f>
        <v/>
      </c>
      <c r="K8" s="10">
        <v>85773</v>
      </c>
      <c r="L8" s="12">
        <v>1004497424</v>
      </c>
      <c r="M8" s="4" t="str">
        <f t="shared" si="6"/>
        <v>C:\Users\ngonzalc\Downloads\85796_1103099475\1103099475_5.pdf</v>
      </c>
    </row>
    <row r="9" spans="1:13" x14ac:dyDescent="0.25">
      <c r="A9" s="4" t="s">
        <v>19</v>
      </c>
      <c r="B9" t="str">
        <f t="shared" si="0"/>
        <v>C:\Users\ngonzalc\Downloads\</v>
      </c>
      <c r="C9" t="str">
        <f t="shared" si="2"/>
        <v>C:\Users\ngonzalc</v>
      </c>
      <c r="D9" s="3" t="str">
        <f t="shared" si="1"/>
        <v>ACTA No. 85797 de 2026.pdf</v>
      </c>
      <c r="E9" s="3" t="str">
        <f t="shared" si="3"/>
        <v>85797</v>
      </c>
      <c r="F9" s="3" cm="1">
        <f t="array" ref="F9">INDEX(L:L, MATCH(TRUE, ISNUMBER(SEARCH(E9, K:K)), 0))</f>
        <v>1109380184</v>
      </c>
      <c r="G9" s="3" t="str">
        <f t="shared" si="4"/>
        <v>85797_1109380184</v>
      </c>
      <c r="H9" s="3" t="str">
        <f>IF(COUNTIF($G$2:G9,G9)=1, "",
  IF(COUNTIF($G$2:G9,G9)=2, "c",
    "c" &amp; (COUNTIF($G$2:G9,G9)-2)))</f>
        <v/>
      </c>
      <c r="I9" s="3" t="str">
        <f t="shared" si="5"/>
        <v>1109380184_5</v>
      </c>
      <c r="J9" s="3" t="str">
        <f>IF(COUNTIF($I$2:I9,I9)=1, "",
  IF(COUNTIF($I$2:I9,I9)=2, "c",
    "c" &amp; (COUNTIF($I$2:I9,I9)-2)))</f>
        <v/>
      </c>
      <c r="K9" s="10">
        <v>85775</v>
      </c>
      <c r="L9" s="12">
        <v>1004827255</v>
      </c>
      <c r="M9" s="4" t="str">
        <f t="shared" si="6"/>
        <v>C:\Users\ngonzalc\Downloads\85797_1109380184\1109380184_5.pdf</v>
      </c>
    </row>
    <row r="10" spans="1:13" x14ac:dyDescent="0.25">
      <c r="A10" s="4" t="s">
        <v>20</v>
      </c>
      <c r="B10" t="str">
        <f t="shared" si="0"/>
        <v>C:\Users\ngonzalc\Downloads\</v>
      </c>
      <c r="C10" t="str">
        <f t="shared" si="2"/>
        <v>C:\Users\ngonzalc</v>
      </c>
      <c r="D10" s="3" t="str">
        <f t="shared" si="1"/>
        <v>ACTA No. 85798 de 2026.pdf</v>
      </c>
      <c r="E10" s="3" t="str">
        <f t="shared" si="3"/>
        <v>85798</v>
      </c>
      <c r="F10" s="3" cm="1">
        <f t="array" ref="F10">INDEX(L:L, MATCH(TRUE, ISNUMBER(SEARCH(E10, K:K)), 0))</f>
        <v>1123432168</v>
      </c>
      <c r="G10" s="3" t="str">
        <f t="shared" si="4"/>
        <v>85798_1123432168</v>
      </c>
      <c r="H10" s="3" t="str">
        <f>IF(COUNTIF($G$2:G10,G10)=1, "",
  IF(COUNTIF($G$2:G10,G10)=2, "c",
    "c" &amp; (COUNTIF($G$2:G10,G10)-2)))</f>
        <v/>
      </c>
      <c r="I10" s="3" t="str">
        <f t="shared" si="5"/>
        <v>1123432168_5</v>
      </c>
      <c r="J10" s="3" t="str">
        <f>IF(COUNTIF($I$2:I10,I10)=1, "",
  IF(COUNTIF($I$2:I10,I10)=2, "c",
    "c" &amp; (COUNTIF($I$2:I10,I10)-2)))</f>
        <v/>
      </c>
      <c r="K10" s="10">
        <v>85776</v>
      </c>
      <c r="L10" s="12">
        <v>1005091924</v>
      </c>
      <c r="M10" s="4" t="str">
        <f t="shared" si="6"/>
        <v>C:\Users\ngonzalc\Downloads\85798_1123432168\1123432168_5.pdf</v>
      </c>
    </row>
    <row r="11" spans="1:13" x14ac:dyDescent="0.25">
      <c r="A11" s="4" t="s">
        <v>21</v>
      </c>
      <c r="B11" t="str">
        <f t="shared" si="0"/>
        <v>C:\Users\ngonzalc\Downloads\</v>
      </c>
      <c r="C11" t="str">
        <f t="shared" si="2"/>
        <v>C:\Users\ngonzalc</v>
      </c>
      <c r="D11" s="3" t="str">
        <f t="shared" si="1"/>
        <v>ACTA No. 85799 de 2026.pdf</v>
      </c>
      <c r="E11" s="3" t="str">
        <f t="shared" si="3"/>
        <v>85799</v>
      </c>
      <c r="F11" s="3" cm="1">
        <f t="array" ref="F11">INDEX(L:L, MATCH(TRUE, ISNUMBER(SEARCH(E11, K:K)), 0))</f>
        <v>11408677</v>
      </c>
      <c r="G11" s="3" t="str">
        <f t="shared" si="4"/>
        <v>85799_11408677</v>
      </c>
      <c r="H11" s="3" t="str">
        <f>IF(COUNTIF($G$2:G11,G11)=1, "",
  IF(COUNTIF($G$2:G11,G11)=2, "c",
    "c" &amp; (COUNTIF($G$2:G11,G11)-2)))</f>
        <v/>
      </c>
      <c r="I11" s="3" t="str">
        <f t="shared" si="5"/>
        <v>11408677_5</v>
      </c>
      <c r="J11" s="3" t="str">
        <f>IF(COUNTIF($I$2:I11,I11)=1, "",
  IF(COUNTIF($I$2:I11,I11)=2, "c",
    "c" &amp; (COUNTIF($I$2:I11,I11)-2)))</f>
        <v/>
      </c>
      <c r="K11" s="10">
        <v>85777</v>
      </c>
      <c r="L11" s="12">
        <v>1006876773</v>
      </c>
      <c r="M11" s="4" t="str">
        <f t="shared" si="6"/>
        <v>C:\Users\ngonzalc\Downloads\85799_11408677\11408677_5.pdf</v>
      </c>
    </row>
    <row r="12" spans="1:13" x14ac:dyDescent="0.25">
      <c r="A12" s="4" t="s">
        <v>22</v>
      </c>
      <c r="B12" t="str">
        <f t="shared" si="0"/>
        <v>C:\Users\ngonzalc\Downloads\</v>
      </c>
      <c r="C12" t="str">
        <f t="shared" si="2"/>
        <v>C:\Users\ngonzalc</v>
      </c>
      <c r="D12" s="3" t="str">
        <f t="shared" si="1"/>
        <v>ACTA No. 85800 de 2026.pdf</v>
      </c>
      <c r="E12" s="3" t="str">
        <f t="shared" si="3"/>
        <v>85800</v>
      </c>
      <c r="F12" s="3" cm="1">
        <f t="array" ref="F12">INDEX(L:L, MATCH(TRUE, ISNUMBER(SEARCH(E12, K:K)), 0))</f>
        <v>41240513</v>
      </c>
      <c r="G12" s="3" t="str">
        <f t="shared" si="4"/>
        <v>85800_41240513</v>
      </c>
      <c r="H12" s="3" t="str">
        <f>IF(COUNTIF($G$2:G12,G12)=1, "",
  IF(COUNTIF($G$2:G12,G12)=2, "c",
    "c" &amp; (COUNTIF($G$2:G12,G12)-2)))</f>
        <v/>
      </c>
      <c r="I12" s="3" t="str">
        <f t="shared" si="5"/>
        <v>41240513_5</v>
      </c>
      <c r="J12" s="3" t="str">
        <f>IF(COUNTIF($I$2:I12,I12)=1, "",
  IF(COUNTIF($I$2:I12,I12)=2, "c",
    "c" &amp; (COUNTIF($I$2:I12,I12)-2)))</f>
        <v/>
      </c>
      <c r="K12" s="10">
        <v>85778</v>
      </c>
      <c r="L12" s="12">
        <v>1007971185</v>
      </c>
      <c r="M12" s="4" t="str">
        <f t="shared" si="6"/>
        <v>C:\Users\ngonzalc\Downloads\85800_41240513\41240513_5.pdf</v>
      </c>
    </row>
    <row r="13" spans="1:13" x14ac:dyDescent="0.25">
      <c r="A13" s="4" t="s">
        <v>23</v>
      </c>
      <c r="B13" t="str">
        <f t="shared" si="0"/>
        <v>C:\Users\ngonzalc\Downloads\</v>
      </c>
      <c r="C13" t="str">
        <f t="shared" si="2"/>
        <v>C:\Users\ngonzalc</v>
      </c>
      <c r="D13" s="3" t="str">
        <f t="shared" si="1"/>
        <v>ACTA No. 85801 de 2026.pdf</v>
      </c>
      <c r="E13" s="3" t="str">
        <f t="shared" si="3"/>
        <v>85801</v>
      </c>
      <c r="F13" s="3" cm="1">
        <f t="array" ref="F13">INDEX(L:L, MATCH(TRUE, ISNUMBER(SEARCH(E13, K:K)), 0))</f>
        <v>42141671</v>
      </c>
      <c r="G13" s="3" t="str">
        <f t="shared" si="4"/>
        <v>85801_42141671</v>
      </c>
      <c r="H13" s="3" t="str">
        <f>IF(COUNTIF($G$2:G13,G13)=1, "",
  IF(COUNTIF($G$2:G13,G13)=2, "c",
    "c" &amp; (COUNTIF($G$2:G13,G13)-2)))</f>
        <v/>
      </c>
      <c r="I13" s="3" t="str">
        <f t="shared" si="5"/>
        <v>42141671_5</v>
      </c>
      <c r="J13" s="3" t="str">
        <f>IF(COUNTIF($I$2:I13,I13)=1, "",
  IF(COUNTIF($I$2:I13,I13)=2, "c",
    "c" &amp; (COUNTIF($I$2:I13,I13)-2)))</f>
        <v/>
      </c>
      <c r="K13" s="10">
        <v>85779</v>
      </c>
      <c r="L13" s="12">
        <v>1010138236</v>
      </c>
      <c r="M13" s="4" t="str">
        <f t="shared" si="6"/>
        <v>C:\Users\ngonzalc\Downloads\85801_42141671\42141671_5.pdf</v>
      </c>
    </row>
    <row r="14" spans="1:13" x14ac:dyDescent="0.25">
      <c r="A14" s="4" t="s">
        <v>24</v>
      </c>
      <c r="B14" t="str">
        <f t="shared" si="0"/>
        <v>C:\Users\ngonzalc\Downloads\</v>
      </c>
      <c r="C14" t="str">
        <f t="shared" si="2"/>
        <v>C:\Users\ngonzalc</v>
      </c>
      <c r="D14" s="3" t="str">
        <f t="shared" si="1"/>
        <v>ACTA No. 85802 de 2026.pdf</v>
      </c>
      <c r="E14" s="3" t="str">
        <f t="shared" si="3"/>
        <v>85802</v>
      </c>
      <c r="F14" s="3" cm="1">
        <f t="array" ref="F14">INDEX(L:L, MATCH(TRUE, ISNUMBER(SEARCH(E14, K:K)), 0))</f>
        <v>80426489</v>
      </c>
      <c r="G14" s="3" t="str">
        <f t="shared" si="4"/>
        <v>85802_80426489</v>
      </c>
      <c r="H14" s="3" t="str">
        <f>IF(COUNTIF($G$2:G14,G14)=1, "",
  IF(COUNTIF($G$2:G14,G14)=2, "c",
    "c" &amp; (COUNTIF($G$2:G14,G14)-2)))</f>
        <v/>
      </c>
      <c r="I14" s="3" t="str">
        <f t="shared" si="5"/>
        <v>80426489_5</v>
      </c>
      <c r="J14" s="3" t="str">
        <f>IF(COUNTIF($I$2:I14,I14)=1, "",
  IF(COUNTIF($I$2:I14,I14)=2, "c",
    "c" &amp; (COUNTIF($I$2:I14,I14)-2)))</f>
        <v/>
      </c>
      <c r="K14" s="10">
        <v>85780</v>
      </c>
      <c r="L14" s="12">
        <v>1020453681</v>
      </c>
      <c r="M14" s="4" t="str">
        <f t="shared" si="6"/>
        <v>C:\Users\ngonzalc\Downloads\85802_80426489\80426489_5.pdf</v>
      </c>
    </row>
    <row r="15" spans="1:13" x14ac:dyDescent="0.25">
      <c r="A15" s="4" t="s">
        <v>25</v>
      </c>
      <c r="B15" t="str">
        <f t="shared" si="0"/>
        <v>C:\Users\ngonzalc\Downloads\</v>
      </c>
      <c r="C15" t="str">
        <f t="shared" si="2"/>
        <v>C:\Users\ngonzalc</v>
      </c>
      <c r="D15" s="3" t="str">
        <f t="shared" si="1"/>
        <v>ACTA No. 85803 de 2026.pdf</v>
      </c>
      <c r="E15" s="3" t="str">
        <f t="shared" si="3"/>
        <v>85803</v>
      </c>
      <c r="F15" s="3" cm="1">
        <f t="array" ref="F15">INDEX(L:L, MATCH(TRUE, ISNUMBER(SEARCH(E15, K:K)), 0))</f>
        <v>97446291</v>
      </c>
      <c r="G15" s="3" t="str">
        <f t="shared" si="4"/>
        <v>85803_97446291</v>
      </c>
      <c r="H15" s="3" t="str">
        <f>IF(COUNTIF($G$2:G15,G15)=1, "",
  IF(COUNTIF($G$2:G15,G15)=2, "c",
    "c" &amp; (COUNTIF($G$2:G15,G15)-2)))</f>
        <v/>
      </c>
      <c r="I15" s="3" t="str">
        <f t="shared" si="5"/>
        <v>97446291_5</v>
      </c>
      <c r="J15" s="3" t="str">
        <f>IF(COUNTIF($I$2:I15,I15)=1, "",
  IF(COUNTIF($I$2:I15,I15)=2, "c",
    "c" &amp; (COUNTIF($I$2:I15,I15)-2)))</f>
        <v/>
      </c>
      <c r="K15" s="10">
        <v>85781</v>
      </c>
      <c r="L15" s="12">
        <v>1022346585</v>
      </c>
      <c r="M15" s="4" t="str">
        <f t="shared" si="6"/>
        <v>C:\Users\ngonzalc\Downloads\85803_97446291\97446291_5.pdf</v>
      </c>
    </row>
    <row r="16" spans="1:13" x14ac:dyDescent="0.25">
      <c r="A16" s="4" t="s">
        <v>26</v>
      </c>
      <c r="B16" t="str">
        <f t="shared" si="0"/>
        <v>C:\Users\ngonzalc\Downloads\</v>
      </c>
      <c r="C16" t="str">
        <f t="shared" si="2"/>
        <v>C:\Users\ngonzalc</v>
      </c>
      <c r="D16" s="3" t="str">
        <f t="shared" si="1"/>
        <v>ACTA No. 85804 de 2026.pdf</v>
      </c>
      <c r="E16" s="3" t="str">
        <f t="shared" si="3"/>
        <v>85804</v>
      </c>
      <c r="F16" s="3" cm="1">
        <f t="array" ref="F16">INDEX(L:L, MATCH(TRUE, ISNUMBER(SEARCH(E16, K:K)), 0))</f>
        <v>98632014</v>
      </c>
      <c r="G16" s="3" t="str">
        <f t="shared" si="4"/>
        <v>85804_98632014</v>
      </c>
      <c r="H16" s="3" t="str">
        <f>IF(COUNTIF($G$2:G16,G16)=1, "",
  IF(COUNTIF($G$2:G16,G16)=2, "c",
    "c" &amp; (COUNTIF($G$2:G16,G16)-2)))</f>
        <v/>
      </c>
      <c r="I16" s="3" t="str">
        <f t="shared" si="5"/>
        <v>98632014_5</v>
      </c>
      <c r="J16" s="3" t="str">
        <f>IF(COUNTIF($I$2:I16,I16)=1, "",
  IF(COUNTIF($I$2:I16,I16)=2, "c",
    "c" &amp; (COUNTIF($I$2:I16,I16)-2)))</f>
        <v/>
      </c>
      <c r="K16" s="10">
        <v>85782</v>
      </c>
      <c r="L16" s="12">
        <v>1022446326</v>
      </c>
      <c r="M16" s="4" t="str">
        <f t="shared" si="6"/>
        <v>C:\Users\ngonzalc\Downloads\85804_98632014\98632014_5.pdf</v>
      </c>
    </row>
    <row r="17" spans="1:13" x14ac:dyDescent="0.25">
      <c r="A17" s="4" t="s">
        <v>27</v>
      </c>
      <c r="B17" t="str">
        <f t="shared" si="0"/>
        <v>C:\Users\ngonzalc\Downloads\</v>
      </c>
      <c r="C17" t="str">
        <f t="shared" si="2"/>
        <v>C:\Users\ngonzalc</v>
      </c>
      <c r="D17" s="3" t="str">
        <f t="shared" si="1"/>
        <v>ACTA No. 85762 de 2026.pdf</v>
      </c>
      <c r="E17" s="3" t="str">
        <f t="shared" si="3"/>
        <v>85762</v>
      </c>
      <c r="F17" s="3" cm="1">
        <f t="array" ref="F17">INDEX(L:L, MATCH(TRUE, ISNUMBER(SEARCH(E17, K:K)), 0))</f>
        <v>1000331418</v>
      </c>
      <c r="G17" s="3" t="str">
        <f t="shared" si="4"/>
        <v>85762_1000331418</v>
      </c>
      <c r="H17" s="3" t="str">
        <f>IF(COUNTIF($G$2:G17,G17)=1, "",
  IF(COUNTIF($G$2:G17,G17)=2, "c",
    "c" &amp; (COUNTIF($G$2:G17,G17)-2)))</f>
        <v/>
      </c>
      <c r="I17" s="3" t="str">
        <f t="shared" si="5"/>
        <v>1000331418_5</v>
      </c>
      <c r="J17" s="3" t="str">
        <f>IF(COUNTIF($I$2:I17,I17)=1, "",
  IF(COUNTIF($I$2:I17,I17)=2, "c",
    "c" &amp; (COUNTIF($I$2:I17,I17)-2)))</f>
        <v/>
      </c>
      <c r="K17" s="10">
        <v>85783</v>
      </c>
      <c r="L17" s="12">
        <v>1030696787</v>
      </c>
      <c r="M17" s="4" t="str">
        <f t="shared" si="6"/>
        <v>C:\Users\ngonzalc\Downloads\85762_1000331418\1000331418_5.pdf</v>
      </c>
    </row>
    <row r="18" spans="1:13" x14ac:dyDescent="0.25">
      <c r="A18" s="4" t="s">
        <v>28</v>
      </c>
      <c r="B18" t="str">
        <f t="shared" si="0"/>
        <v>C:\Users\ngonzalc\Downloads\</v>
      </c>
      <c r="C18" t="str">
        <f t="shared" si="2"/>
        <v>C:\Users\ngonzalc</v>
      </c>
      <c r="D18" s="3" t="str">
        <f t="shared" si="1"/>
        <v>ACTA No. 85764 de 2026.pdf</v>
      </c>
      <c r="E18" s="3" t="str">
        <f t="shared" si="3"/>
        <v>85764</v>
      </c>
      <c r="F18" s="3" cm="1">
        <f t="array" ref="F18">INDEX(L:L, MATCH(TRUE, ISNUMBER(SEARCH(E18, K:K)), 0))</f>
        <v>1001083846</v>
      </c>
      <c r="G18" s="3" t="str">
        <f t="shared" si="4"/>
        <v>85764_1001083846</v>
      </c>
      <c r="H18" s="3" t="str">
        <f>IF(COUNTIF($G$2:G18,G18)=1, "",
  IF(COUNTIF($G$2:G18,G18)=2, "c",
    "c" &amp; (COUNTIF($G$2:G18,G18)-2)))</f>
        <v/>
      </c>
      <c r="I18" s="3" t="str">
        <f t="shared" si="5"/>
        <v>1001083846_5</v>
      </c>
      <c r="J18" s="3" t="str">
        <f>IF(COUNTIF($I$2:I18,I18)=1, "",
  IF(COUNTIF($I$2:I18,I18)=2, "c",
    "c" &amp; (COUNTIF($I$2:I18,I18)-2)))</f>
        <v/>
      </c>
      <c r="K18" s="10">
        <v>85784</v>
      </c>
      <c r="L18" s="12">
        <v>1032469700</v>
      </c>
      <c r="M18" s="4" t="str">
        <f t="shared" si="6"/>
        <v>C:\Users\ngonzalc\Downloads\85764_1001083846\1001083846_5.pdf</v>
      </c>
    </row>
    <row r="19" spans="1:13" x14ac:dyDescent="0.25">
      <c r="A19" s="4" t="s">
        <v>29</v>
      </c>
      <c r="B19" t="str">
        <f t="shared" si="0"/>
        <v>C:\Users\ngonzalc\Downloads\</v>
      </c>
      <c r="C19" t="str">
        <f t="shared" si="2"/>
        <v>C:\Users\ngonzalc</v>
      </c>
      <c r="D19" s="3" t="str">
        <f t="shared" si="1"/>
        <v>ACTA No. 85766 de 2026.pdf</v>
      </c>
      <c r="E19" s="3" t="str">
        <f t="shared" si="3"/>
        <v>85766</v>
      </c>
      <c r="F19" s="3" cm="1">
        <f t="array" ref="F19">INDEX(L:L, MATCH(TRUE, ISNUMBER(SEARCH(E19, K:K)), 0))</f>
        <v>1001738517</v>
      </c>
      <c r="G19" s="3" t="str">
        <f t="shared" si="4"/>
        <v>85766_1001738517</v>
      </c>
      <c r="H19" s="3" t="str">
        <f>IF(COUNTIF($G$2:G19,G19)=1, "",
  IF(COUNTIF($G$2:G19,G19)=2, "c",
    "c" &amp; (COUNTIF($G$2:G19,G19)-2)))</f>
        <v/>
      </c>
      <c r="I19" s="3" t="str">
        <f t="shared" si="5"/>
        <v>1001738517_5</v>
      </c>
      <c r="J19" s="3" t="str">
        <f>IF(COUNTIF($I$2:I19,I19)=1, "",
  IF(COUNTIF($I$2:I19,I19)=2, "c",
    "c" &amp; (COUNTIF($I$2:I19,I19)-2)))</f>
        <v/>
      </c>
      <c r="K19" s="10">
        <v>85786</v>
      </c>
      <c r="L19" s="12">
        <v>1035224998</v>
      </c>
      <c r="M19" s="4" t="str">
        <f t="shared" si="6"/>
        <v>C:\Users\ngonzalc\Downloads\85766_1001738517\1001738517_5.pdf</v>
      </c>
    </row>
    <row r="20" spans="1:13" x14ac:dyDescent="0.25">
      <c r="A20" s="4" t="s">
        <v>30</v>
      </c>
      <c r="B20" t="str">
        <f t="shared" si="0"/>
        <v>C:\Users\ngonzalc\Downloads\</v>
      </c>
      <c r="C20" t="str">
        <f t="shared" si="2"/>
        <v>C:\Users\ngonzalc</v>
      </c>
      <c r="D20" s="3" t="str">
        <f t="shared" si="1"/>
        <v>ACTA No. 85767 de 2026.pdf</v>
      </c>
      <c r="E20" s="3" t="str">
        <f t="shared" si="3"/>
        <v>85767</v>
      </c>
      <c r="F20" s="3" cm="1">
        <f t="array" ref="F20">INDEX(L:L, MATCH(TRUE, ISNUMBER(SEARCH(E20, K:K)), 0))</f>
        <v>1002500591</v>
      </c>
      <c r="G20" s="3" t="str">
        <f t="shared" si="4"/>
        <v>85767_1002500591</v>
      </c>
      <c r="H20" s="3" t="str">
        <f>IF(COUNTIF($G$2:G20,G20)=1, "",
  IF(COUNTIF($G$2:G20,G20)=2, "c",
    "c" &amp; (COUNTIF($G$2:G20,G20)-2)))</f>
        <v/>
      </c>
      <c r="I20" s="3" t="str">
        <f t="shared" si="5"/>
        <v>1002500591_5</v>
      </c>
      <c r="J20" s="3" t="str">
        <f>IF(COUNTIF($I$2:I20,I20)=1, "",
  IF(COUNTIF($I$2:I20,I20)=2, "c",
    "c" &amp; (COUNTIF($I$2:I20,I20)-2)))</f>
        <v/>
      </c>
      <c r="K20" s="10">
        <v>85787</v>
      </c>
      <c r="L20" s="12">
        <v>1036684980</v>
      </c>
      <c r="M20" s="4" t="str">
        <f t="shared" si="6"/>
        <v>C:\Users\ngonzalc\Downloads\85767_1002500591\1002500591_5.pdf</v>
      </c>
    </row>
    <row r="21" spans="1:13" x14ac:dyDescent="0.25">
      <c r="A21" s="4" t="s">
        <v>31</v>
      </c>
      <c r="B21" t="str">
        <f t="shared" si="0"/>
        <v>C:\Users\ngonzalc\Downloads\</v>
      </c>
      <c r="C21" t="str">
        <f t="shared" si="2"/>
        <v>C:\Users\ngonzalc</v>
      </c>
      <c r="D21" s="3" t="str">
        <f t="shared" si="1"/>
        <v>ACTA No. 85771 de 2026.pdf</v>
      </c>
      <c r="E21" s="3" t="str">
        <f t="shared" si="3"/>
        <v>85771</v>
      </c>
      <c r="F21" s="3" cm="1">
        <f t="array" ref="F21">INDEX(L:L, MATCH(TRUE, ISNUMBER(SEARCH(E21, K:K)), 0))</f>
        <v>1004065572</v>
      </c>
      <c r="G21" s="3" t="str">
        <f t="shared" si="4"/>
        <v>85771_1004065572</v>
      </c>
      <c r="H21" s="3" t="str">
        <f>IF(COUNTIF($G$2:G21,G21)=1, "",
  IF(COUNTIF($G$2:G21,G21)=2, "c",
    "c" &amp; (COUNTIF($G$2:G21,G21)-2)))</f>
        <v/>
      </c>
      <c r="I21" s="3" t="str">
        <f t="shared" si="5"/>
        <v>1004065572_5</v>
      </c>
      <c r="J21" s="3" t="str">
        <f>IF(COUNTIF($I$2:I21,I21)=1, "",
  IF(COUNTIF($I$2:I21,I21)=2, "c",
    "c" &amp; (COUNTIF($I$2:I21,I21)-2)))</f>
        <v/>
      </c>
      <c r="K21" s="10">
        <v>85788</v>
      </c>
      <c r="L21" s="12">
        <v>1044504373</v>
      </c>
      <c r="M21" s="4" t="str">
        <f t="shared" si="6"/>
        <v>C:\Users\ngonzalc\Downloads\85771_1004065572\1004065572_5.pdf</v>
      </c>
    </row>
    <row r="22" spans="1:13" x14ac:dyDescent="0.25">
      <c r="A22" s="4" t="s">
        <v>32</v>
      </c>
      <c r="B22" t="str">
        <f t="shared" si="0"/>
        <v>C:\Users\ngonzalc\Downloads\</v>
      </c>
      <c r="C22" t="str">
        <f t="shared" si="2"/>
        <v>C:\Users\ngonzalc</v>
      </c>
      <c r="D22" s="3" t="str">
        <f t="shared" si="1"/>
        <v>ACTA No. 85772 de 2026.pdf</v>
      </c>
      <c r="E22" s="3" t="str">
        <f t="shared" si="3"/>
        <v>85772</v>
      </c>
      <c r="F22" s="3" cm="1">
        <f t="array" ref="F22">INDEX(L:L, MATCH(TRUE, ISNUMBER(SEARCH(E22, K:K)), 0))</f>
        <v>1004442289</v>
      </c>
      <c r="G22" s="3" t="str">
        <f t="shared" si="4"/>
        <v>85772_1004442289</v>
      </c>
      <c r="H22" s="3" t="str">
        <f>IF(COUNTIF($G$2:G22,G22)=1, "",
  IF(COUNTIF($G$2:G22,G22)=2, "c",
    "c" &amp; (COUNTIF($G$2:G22,G22)-2)))</f>
        <v/>
      </c>
      <c r="I22" s="3" t="str">
        <f t="shared" si="5"/>
        <v>1004442289_5</v>
      </c>
      <c r="J22" s="3" t="str">
        <f>IF(COUNTIF($I$2:I22,I22)=1, "",
  IF(COUNTIF($I$2:I22,I22)=2, "c",
    "c" &amp; (COUNTIF($I$2:I22,I22)-2)))</f>
        <v/>
      </c>
      <c r="K22" s="10">
        <v>85789</v>
      </c>
      <c r="L22" s="12">
        <v>1064787344</v>
      </c>
      <c r="M22" s="4" t="str">
        <f t="shared" si="6"/>
        <v>C:\Users\ngonzalc\Downloads\85772_1004442289\1004442289_5.pdf</v>
      </c>
    </row>
    <row r="23" spans="1:13" x14ac:dyDescent="0.25">
      <c r="A23" s="4" t="s">
        <v>33</v>
      </c>
      <c r="B23" t="str">
        <f t="shared" si="0"/>
        <v>C:\Users\ngonzalc\Downloads\</v>
      </c>
      <c r="C23" t="str">
        <f t="shared" si="2"/>
        <v>C:\Users\ngonzalc</v>
      </c>
      <c r="D23" s="3" t="str">
        <f t="shared" si="1"/>
        <v>ACTA No. 85773 de 2026.pdf</v>
      </c>
      <c r="E23" s="3" t="str">
        <f t="shared" si="3"/>
        <v>85773</v>
      </c>
      <c r="F23" s="3" cm="1">
        <f t="array" ref="F23">INDEX(L:L, MATCH(TRUE, ISNUMBER(SEARCH(E23, K:K)), 0))</f>
        <v>1004497424</v>
      </c>
      <c r="G23" s="3" t="str">
        <f t="shared" si="4"/>
        <v>85773_1004497424</v>
      </c>
      <c r="H23" s="3" t="str">
        <f>IF(COUNTIF($G$2:G23,G23)=1, "",
  IF(COUNTIF($G$2:G23,G23)=2, "c",
    "c" &amp; (COUNTIF($G$2:G23,G23)-2)))</f>
        <v/>
      </c>
      <c r="I23" s="3" t="str">
        <f t="shared" si="5"/>
        <v>1004497424_5</v>
      </c>
      <c r="J23" s="3" t="str">
        <f>IF(COUNTIF($I$2:I23,I23)=1, "",
  IF(COUNTIF($I$2:I23,I23)=2, "c",
    "c" &amp; (COUNTIF($I$2:I23,I23)-2)))</f>
        <v/>
      </c>
      <c r="K23" s="10">
        <v>85790</v>
      </c>
      <c r="L23" s="12">
        <v>1076330664</v>
      </c>
      <c r="M23" s="4" t="str">
        <f t="shared" si="6"/>
        <v>C:\Users\ngonzalc\Downloads\85773_1004497424\1004497424_5.pdf</v>
      </c>
    </row>
    <row r="24" spans="1:13" x14ac:dyDescent="0.25">
      <c r="A24" s="4" t="s">
        <v>34</v>
      </c>
      <c r="B24" t="str">
        <f t="shared" si="0"/>
        <v>C:\Users\ngonzalc\Downloads\</v>
      </c>
      <c r="C24" t="str">
        <f t="shared" si="2"/>
        <v>C:\Users\ngonzalc</v>
      </c>
      <c r="D24" s="3" t="str">
        <f t="shared" si="1"/>
        <v>ACTA No. 85775 de 2026.pdf</v>
      </c>
      <c r="E24" s="3" t="str">
        <f t="shared" si="3"/>
        <v>85775</v>
      </c>
      <c r="F24" s="3" cm="1">
        <f t="array" ref="F24">INDEX(L:L, MATCH(TRUE, ISNUMBER(SEARCH(E24, K:K)), 0))</f>
        <v>1004827255</v>
      </c>
      <c r="G24" s="3" t="str">
        <f t="shared" si="4"/>
        <v>85775_1004827255</v>
      </c>
      <c r="H24" s="3" t="str">
        <f>IF(COUNTIF($G$2:G24,G24)=1, "",
  IF(COUNTIF($G$2:G24,G24)=2, "c",
    "c" &amp; (COUNTIF($G$2:G24,G24)-2)))</f>
        <v/>
      </c>
      <c r="I24" s="3" t="str">
        <f t="shared" si="5"/>
        <v>1004827255_5</v>
      </c>
      <c r="J24" s="3" t="str">
        <f>IF(COUNTIF($I$2:I24,I24)=1, "",
  IF(COUNTIF($I$2:I24,I24)=2, "c",
    "c" &amp; (COUNTIF($I$2:I24,I24)-2)))</f>
        <v/>
      </c>
      <c r="K24" s="10">
        <v>85791</v>
      </c>
      <c r="L24" s="12">
        <v>1083899031</v>
      </c>
      <c r="M24" s="4" t="str">
        <f t="shared" si="6"/>
        <v>C:\Users\ngonzalc\Downloads\85775_1004827255\1004827255_5.pdf</v>
      </c>
    </row>
    <row r="25" spans="1:13" x14ac:dyDescent="0.25">
      <c r="A25" s="4" t="s">
        <v>35</v>
      </c>
      <c r="B25" t="str">
        <f t="shared" si="0"/>
        <v>C:\Users\ngonzalc\Downloads\</v>
      </c>
      <c r="C25" t="str">
        <f t="shared" si="2"/>
        <v>C:\Users\ngonzalc</v>
      </c>
      <c r="D25" s="3" t="str">
        <f t="shared" si="1"/>
        <v>ACTA No. 85776 de 2026.pdf</v>
      </c>
      <c r="E25" s="3" t="str">
        <f t="shared" si="3"/>
        <v>85776</v>
      </c>
      <c r="F25" s="3" cm="1">
        <f t="array" ref="F25">INDEX(L:L, MATCH(TRUE, ISNUMBER(SEARCH(E25, K:K)), 0))</f>
        <v>1005091924</v>
      </c>
      <c r="G25" s="3" t="str">
        <f t="shared" si="4"/>
        <v>85776_1005091924</v>
      </c>
      <c r="H25" s="3" t="str">
        <f>IF(COUNTIF($G$2:G25,G25)=1, "",
  IF(COUNTIF($G$2:G25,G25)=2, "c",
    "c" &amp; (COUNTIF($G$2:G25,G25)-2)))</f>
        <v/>
      </c>
      <c r="I25" s="3" t="str">
        <f t="shared" si="5"/>
        <v>1005091924_5</v>
      </c>
      <c r="J25" s="3" t="str">
        <f>IF(COUNTIF($I$2:I25,I25)=1, "",
  IF(COUNTIF($I$2:I25,I25)=2, "c",
    "c" &amp; (COUNTIF($I$2:I25,I25)-2)))</f>
        <v/>
      </c>
      <c r="K25" s="10">
        <v>85792</v>
      </c>
      <c r="L25" s="12">
        <v>1091676892</v>
      </c>
      <c r="M25" s="4" t="str">
        <f t="shared" si="6"/>
        <v>C:\Users\ngonzalc\Downloads\85776_1005091924\1005091924_5.pdf</v>
      </c>
    </row>
    <row r="26" spans="1:13" x14ac:dyDescent="0.25">
      <c r="A26" s="4" t="s">
        <v>36</v>
      </c>
      <c r="B26" t="str">
        <f t="shared" si="0"/>
        <v>C:\Users\ngonzalc\Downloads\</v>
      </c>
      <c r="C26" t="str">
        <f t="shared" si="2"/>
        <v>C:\Users\ngonzalc</v>
      </c>
      <c r="D26" s="3" t="str">
        <f t="shared" si="1"/>
        <v>ACTA No. 85777 de 2026.pdf</v>
      </c>
      <c r="E26" s="3" t="str">
        <f t="shared" si="3"/>
        <v>85777</v>
      </c>
      <c r="F26" s="3" cm="1">
        <f t="array" ref="F26">INDEX(L:L, MATCH(TRUE, ISNUMBER(SEARCH(E26, K:K)), 0))</f>
        <v>1006876773</v>
      </c>
      <c r="G26" s="3" t="str">
        <f t="shared" si="4"/>
        <v>85777_1006876773</v>
      </c>
      <c r="H26" s="3" t="str">
        <f>IF(COUNTIF($G$2:G26,G26)=1, "",
  IF(COUNTIF($G$2:G26,G26)=2, "c",
    "c" &amp; (COUNTIF($G$2:G26,G26)-2)))</f>
        <v/>
      </c>
      <c r="I26" s="3" t="str">
        <f t="shared" si="5"/>
        <v>1006876773_5</v>
      </c>
      <c r="J26" s="3" t="str">
        <f>IF(COUNTIF($I$2:I26,I26)=1, "",
  IF(COUNTIF($I$2:I26,I26)=2, "c",
    "c" &amp; (COUNTIF($I$2:I26,I26)-2)))</f>
        <v/>
      </c>
      <c r="K26" s="10">
        <v>85793</v>
      </c>
      <c r="L26" s="12">
        <v>1094880265</v>
      </c>
      <c r="M26" s="4" t="str">
        <f t="shared" si="6"/>
        <v>C:\Users\ngonzalc\Downloads\85777_1006876773\1006876773_5.pdf</v>
      </c>
    </row>
    <row r="27" spans="1:13" x14ac:dyDescent="0.25">
      <c r="A27" s="4" t="s">
        <v>37</v>
      </c>
      <c r="B27" t="str">
        <f t="shared" si="0"/>
        <v>C:\Users\ngonzalc\Downloads\</v>
      </c>
      <c r="C27" t="str">
        <f t="shared" si="2"/>
        <v>C:\Users\ngonzalc</v>
      </c>
      <c r="D27" s="3" t="str">
        <f t="shared" si="1"/>
        <v>ACTA No. 85778 de 2026.pdf</v>
      </c>
      <c r="E27" s="3" t="str">
        <f t="shared" si="3"/>
        <v>85778</v>
      </c>
      <c r="F27" s="3" cm="1">
        <f t="array" ref="F27">INDEX(L:L, MATCH(TRUE, ISNUMBER(SEARCH(E27, K:K)), 0))</f>
        <v>1007971185</v>
      </c>
      <c r="G27" s="3" t="str">
        <f t="shared" si="4"/>
        <v>85778_1007971185</v>
      </c>
      <c r="H27" s="3" t="str">
        <f>IF(COUNTIF($G$2:G27,G27)=1, "",
  IF(COUNTIF($G$2:G27,G27)=2, "c",
    "c" &amp; (COUNTIF($G$2:G27,G27)-2)))</f>
        <v/>
      </c>
      <c r="I27" s="3" t="str">
        <f t="shared" si="5"/>
        <v>1007971185_5</v>
      </c>
      <c r="J27" s="3" t="str">
        <f>IF(COUNTIF($I$2:I27,I27)=1, "",
  IF(COUNTIF($I$2:I27,I27)=2, "c",
    "c" &amp; (COUNTIF($I$2:I27,I27)-2)))</f>
        <v/>
      </c>
      <c r="K27" s="10">
        <v>85795</v>
      </c>
      <c r="L27" s="12">
        <v>1100692346</v>
      </c>
      <c r="M27" s="4" t="str">
        <f t="shared" si="6"/>
        <v>C:\Users\ngonzalc\Downloads\85778_1007971185\1007971185_5.pdf</v>
      </c>
    </row>
    <row r="28" spans="1:13" x14ac:dyDescent="0.25">
      <c r="A28" s="4" t="s">
        <v>38</v>
      </c>
      <c r="B28" t="str">
        <f t="shared" si="0"/>
        <v>C:\Users\ngonzalc\Downloads\</v>
      </c>
      <c r="C28" t="str">
        <f t="shared" si="2"/>
        <v>C:\Users\ngonzalc</v>
      </c>
      <c r="D28" s="3" t="str">
        <f t="shared" si="1"/>
        <v>ACTA No. 85779 de 2026.pdf</v>
      </c>
      <c r="E28" s="3" t="str">
        <f t="shared" si="3"/>
        <v>85779</v>
      </c>
      <c r="F28" s="3" cm="1">
        <f t="array" ref="F28">INDEX(L:L, MATCH(TRUE, ISNUMBER(SEARCH(E28, K:K)), 0))</f>
        <v>1010138236</v>
      </c>
      <c r="G28" s="3" t="str">
        <f t="shared" si="4"/>
        <v>85779_1010138236</v>
      </c>
      <c r="H28" s="3" t="str">
        <f>IF(COUNTIF($G$2:G28,G28)=1, "",
  IF(COUNTIF($G$2:G28,G28)=2, "c",
    "c" &amp; (COUNTIF($G$2:G28,G28)-2)))</f>
        <v/>
      </c>
      <c r="I28" s="3" t="str">
        <f t="shared" si="5"/>
        <v>1010138236_5</v>
      </c>
      <c r="J28" s="3" t="str">
        <f>IF(COUNTIF($I$2:I28,I28)=1, "",
  IF(COUNTIF($I$2:I28,I28)=2, "c",
    "c" &amp; (COUNTIF($I$2:I28,I28)-2)))</f>
        <v/>
      </c>
      <c r="K28" s="10">
        <v>85796</v>
      </c>
      <c r="L28" s="12">
        <v>1103099475</v>
      </c>
      <c r="M28" s="4" t="str">
        <f t="shared" si="6"/>
        <v>C:\Users\ngonzalc\Downloads\85779_1010138236\1010138236_5.pdf</v>
      </c>
    </row>
    <row r="29" spans="1:13" x14ac:dyDescent="0.25">
      <c r="A29" s="4" t="s">
        <v>39</v>
      </c>
      <c r="B29" t="str">
        <f t="shared" si="0"/>
        <v>C:\Users\ngonzalc\Downloads\</v>
      </c>
      <c r="C29" t="str">
        <f t="shared" si="2"/>
        <v>C:\Users\ngonzalc</v>
      </c>
      <c r="D29" s="3" t="str">
        <f t="shared" si="1"/>
        <v>ACTA No. 85780 de 2026.pdf</v>
      </c>
      <c r="E29" s="3" t="str">
        <f t="shared" si="3"/>
        <v>85780</v>
      </c>
      <c r="F29" s="3" cm="1">
        <f t="array" ref="F29">INDEX(L:L, MATCH(TRUE, ISNUMBER(SEARCH(E29, K:K)), 0))</f>
        <v>1020453681</v>
      </c>
      <c r="G29" s="3" t="str">
        <f t="shared" si="4"/>
        <v>85780_1020453681</v>
      </c>
      <c r="H29" s="3" t="str">
        <f>IF(COUNTIF($G$2:G29,G29)=1, "",
  IF(COUNTIF($G$2:G29,G29)=2, "c",
    "c" &amp; (COUNTIF($G$2:G29,G29)-2)))</f>
        <v/>
      </c>
      <c r="I29" s="3" t="str">
        <f t="shared" si="5"/>
        <v>1020453681_5</v>
      </c>
      <c r="J29" s="3" t="str">
        <f>IF(COUNTIF($I$2:I29,I29)=1, "",
  IF(COUNTIF($I$2:I29,I29)=2, "c",
    "c" &amp; (COUNTIF($I$2:I29,I29)-2)))</f>
        <v/>
      </c>
      <c r="K29" s="10">
        <v>85797</v>
      </c>
      <c r="L29" s="12">
        <v>1109380184</v>
      </c>
      <c r="M29" s="4" t="str">
        <f t="shared" si="6"/>
        <v>C:\Users\ngonzalc\Downloads\85780_1020453681\1020453681_5.pdf</v>
      </c>
    </row>
    <row r="30" spans="1:13" x14ac:dyDescent="0.25">
      <c r="A30" s="4" t="s">
        <v>40</v>
      </c>
      <c r="B30" t="str">
        <f t="shared" si="0"/>
        <v>C:\Users\ngonzalc\Downloads\</v>
      </c>
      <c r="C30" t="str">
        <f t="shared" si="2"/>
        <v>C:\Users\ngonzalc</v>
      </c>
      <c r="D30" s="3" t="str">
        <f t="shared" si="1"/>
        <v>ACTA No. 85781 de 2026.pdf</v>
      </c>
      <c r="E30" s="3" t="str">
        <f t="shared" si="3"/>
        <v>85781</v>
      </c>
      <c r="F30" s="3" cm="1">
        <f t="array" ref="F30">INDEX(L:L, MATCH(TRUE, ISNUMBER(SEARCH(E30, K:K)), 0))</f>
        <v>1022346585</v>
      </c>
      <c r="G30" s="3" t="str">
        <f t="shared" si="4"/>
        <v>85781_1022346585</v>
      </c>
      <c r="H30" s="3" t="str">
        <f>IF(COUNTIF($G$2:G30,G30)=1, "",
  IF(COUNTIF($G$2:G30,G30)=2, "c",
    "c" &amp; (COUNTIF($G$2:G30,G30)-2)))</f>
        <v/>
      </c>
      <c r="I30" s="3" t="str">
        <f t="shared" si="5"/>
        <v>1022346585_5</v>
      </c>
      <c r="J30" s="3" t="str">
        <f>IF(COUNTIF($I$2:I30,I30)=1, "",
  IF(COUNTIF($I$2:I30,I30)=2, "c",
    "c" &amp; (COUNTIF($I$2:I30,I30)-2)))</f>
        <v/>
      </c>
      <c r="K30" s="10">
        <v>85798</v>
      </c>
      <c r="L30" s="12">
        <v>1123432168</v>
      </c>
      <c r="M30" s="4" t="str">
        <f t="shared" si="6"/>
        <v>C:\Users\ngonzalc\Downloads\85781_1022346585\1022346585_5.pdf</v>
      </c>
    </row>
    <row r="31" spans="1:13" x14ac:dyDescent="0.25">
      <c r="A31" s="4" t="s">
        <v>41</v>
      </c>
      <c r="B31" t="str">
        <f t="shared" si="0"/>
        <v>C:\Users\ngonzalc\Downloads\</v>
      </c>
      <c r="C31" t="str">
        <f t="shared" si="2"/>
        <v>C:\Users\ngonzalc</v>
      </c>
      <c r="D31" s="3" t="str">
        <f t="shared" si="1"/>
        <v>ACTA No. 85782 de 2026.pdf</v>
      </c>
      <c r="E31" s="3" t="str">
        <f t="shared" si="3"/>
        <v>85782</v>
      </c>
      <c r="F31" s="3" cm="1">
        <f t="array" ref="F31">INDEX(L:L, MATCH(TRUE, ISNUMBER(SEARCH(E31, K:K)), 0))</f>
        <v>1022446326</v>
      </c>
      <c r="G31" s="3" t="str">
        <f t="shared" si="4"/>
        <v>85782_1022446326</v>
      </c>
      <c r="H31" s="3" t="str">
        <f>IF(COUNTIF($G$2:G31,G31)=1, "",
  IF(COUNTIF($G$2:G31,G31)=2, "c",
    "c" &amp; (COUNTIF($G$2:G31,G31)-2)))</f>
        <v/>
      </c>
      <c r="I31" s="3" t="str">
        <f t="shared" si="5"/>
        <v>1022446326_5</v>
      </c>
      <c r="J31" s="3" t="str">
        <f>IF(COUNTIF($I$2:I31,I31)=1, "",
  IF(COUNTIF($I$2:I31,I31)=2, "c",
    "c" &amp; (COUNTIF($I$2:I31,I31)-2)))</f>
        <v/>
      </c>
      <c r="K31" s="10">
        <v>85799</v>
      </c>
      <c r="L31" s="12">
        <v>11408677</v>
      </c>
      <c r="M31" s="4" t="str">
        <f t="shared" si="6"/>
        <v>C:\Users\ngonzalc\Downloads\85782_1022446326\1022446326_5.pdf</v>
      </c>
    </row>
    <row r="32" spans="1:13" x14ac:dyDescent="0.25">
      <c r="A32" s="4" t="s">
        <v>42</v>
      </c>
      <c r="B32" t="str">
        <f t="shared" si="0"/>
        <v>C:\Users\ngonzalc\Downloads\</v>
      </c>
      <c r="C32" t="str">
        <f t="shared" si="2"/>
        <v>C:\Users\ngonzalc</v>
      </c>
      <c r="D32" s="3" t="str">
        <f t="shared" si="1"/>
        <v>ACTA No. 85783 de 2026.pdf</v>
      </c>
      <c r="E32" s="3" t="str">
        <f t="shared" si="3"/>
        <v>85783</v>
      </c>
      <c r="F32" s="3" cm="1">
        <f t="array" ref="F32">INDEX(L:L, MATCH(TRUE, ISNUMBER(SEARCH(E32, K:K)), 0))</f>
        <v>1030696787</v>
      </c>
      <c r="G32" s="3" t="str">
        <f t="shared" si="4"/>
        <v>85783_1030696787</v>
      </c>
      <c r="H32" s="3" t="str">
        <f>IF(COUNTIF($G$2:G32,G32)=1, "",
  IF(COUNTIF($G$2:G32,G32)=2, "c",
    "c" &amp; (COUNTIF($G$2:G32,G32)-2)))</f>
        <v/>
      </c>
      <c r="I32" s="3" t="str">
        <f t="shared" si="5"/>
        <v>1030696787_5</v>
      </c>
      <c r="J32" s="3" t="str">
        <f>IF(COUNTIF($I$2:I32,I32)=1, "",
  IF(COUNTIF($I$2:I32,I32)=2, "c",
    "c" &amp; (COUNTIF($I$2:I32,I32)-2)))</f>
        <v/>
      </c>
      <c r="K32" s="10">
        <v>85800</v>
      </c>
      <c r="L32" s="12">
        <v>41240513</v>
      </c>
      <c r="M32" s="4" t="str">
        <f t="shared" si="6"/>
        <v>C:\Users\ngonzalc\Downloads\85783_1030696787\1030696787_5.pdf</v>
      </c>
    </row>
    <row r="33" spans="1:13" x14ac:dyDescent="0.25">
      <c r="A33" s="4" t="s">
        <v>43</v>
      </c>
      <c r="B33" t="str">
        <f t="shared" si="0"/>
        <v>C:\Users\ngonzalc\Downloads\</v>
      </c>
      <c r="C33" t="str">
        <f t="shared" si="2"/>
        <v>C:\Users\ngonzalc</v>
      </c>
      <c r="D33" s="3" t="str">
        <f t="shared" si="1"/>
        <v>ACTA No. 85784 de 2026.pdf</v>
      </c>
      <c r="E33" s="3" t="str">
        <f t="shared" si="3"/>
        <v>85784</v>
      </c>
      <c r="F33" s="3" cm="1">
        <f t="array" ref="F33">INDEX(L:L, MATCH(TRUE, ISNUMBER(SEARCH(E33, K:K)), 0))</f>
        <v>1032469700</v>
      </c>
      <c r="G33" s="3" t="str">
        <f t="shared" si="4"/>
        <v>85784_1032469700</v>
      </c>
      <c r="H33" s="3" t="str">
        <f>IF(COUNTIF($G$2:G33,G33)=1, "",
  IF(COUNTIF($G$2:G33,G33)=2, "c",
    "c" &amp; (COUNTIF($G$2:G33,G33)-2)))</f>
        <v/>
      </c>
      <c r="I33" s="3" t="str">
        <f t="shared" si="5"/>
        <v>1032469700_5</v>
      </c>
      <c r="J33" s="3" t="str">
        <f>IF(COUNTIF($I$2:I33,I33)=1, "",
  IF(COUNTIF($I$2:I33,I33)=2, "c",
    "c" &amp; (COUNTIF($I$2:I33,I33)-2)))</f>
        <v/>
      </c>
      <c r="K33" s="10">
        <v>85801</v>
      </c>
      <c r="L33" s="15">
        <v>42141671</v>
      </c>
      <c r="M33" s="4" t="str">
        <f t="shared" si="6"/>
        <v>C:\Users\ngonzalc\Downloads\85784_1032469700\1032469700_5.pdf</v>
      </c>
    </row>
    <row r="34" spans="1:13" x14ac:dyDescent="0.25">
      <c r="A34" s="4" t="s">
        <v>44</v>
      </c>
      <c r="B34" t="str">
        <f t="shared" si="0"/>
        <v>C:\Users\ngonzalc\Downloads\</v>
      </c>
      <c r="C34" t="str">
        <f t="shared" si="2"/>
        <v>C:\Users\ngonzalc</v>
      </c>
      <c r="D34" s="3" t="str">
        <f t="shared" ref="D34:D43" si="7">+IFERROR(MID(A34,SEARCH("@",SUBSTITUTE(A34,"\","@",LEN(A34)-LEN(SUBSTITUTE(A34,"\",""))))+1,500),"")</f>
        <v>ACTA No. 85786 de 2026.pdf</v>
      </c>
      <c r="E34" s="3" t="str">
        <f t="shared" si="3"/>
        <v>85786</v>
      </c>
      <c r="F34" s="3" cm="1">
        <f t="array" ref="F34">INDEX(L:L, MATCH(TRUE, ISNUMBER(SEARCH(E34, K:K)), 0))</f>
        <v>1035224998</v>
      </c>
      <c r="G34" s="3" t="str">
        <f t="shared" si="4"/>
        <v>85786_1035224998</v>
      </c>
      <c r="H34" s="3" t="str">
        <f>IF(COUNTIF($G$2:G34,G34)=1, "",
  IF(COUNTIF($G$2:G34,G34)=2, "c",
    "c" &amp; (COUNTIF($G$2:G34,G34)-2)))</f>
        <v/>
      </c>
      <c r="I34" s="3" t="str">
        <f t="shared" si="5"/>
        <v>1035224998_5</v>
      </c>
      <c r="J34" s="3" t="str">
        <f>IF(COUNTIF($I$2:I34,I34)=1, "",
  IF(COUNTIF($I$2:I34,I34)=2, "c",
    "c" &amp; (COUNTIF($I$2:I34,I34)-2)))</f>
        <v/>
      </c>
      <c r="K34" s="10">
        <v>85802</v>
      </c>
      <c r="L34" s="15">
        <v>80426489</v>
      </c>
      <c r="M34" s="4" t="str">
        <f t="shared" si="6"/>
        <v>C:\Users\ngonzalc\Downloads\85786_1035224998\1035224998_5.pdf</v>
      </c>
    </row>
    <row r="35" spans="1:13" x14ac:dyDescent="0.25">
      <c r="A35" s="4" t="s">
        <v>45</v>
      </c>
      <c r="B35" t="str">
        <f t="shared" si="0"/>
        <v>C:\Users\ngonzalc\Downloads\</v>
      </c>
      <c r="C35" t="str">
        <f t="shared" si="2"/>
        <v>C:\Users\ngonzalc</v>
      </c>
      <c r="D35" s="3" t="str">
        <f t="shared" si="7"/>
        <v>ACTA No. 85787 de 2026.pdf</v>
      </c>
      <c r="E35" s="3" t="str">
        <f t="shared" si="3"/>
        <v>85787</v>
      </c>
      <c r="F35" s="3" cm="1">
        <f t="array" ref="F35">INDEX(L:L, MATCH(TRUE, ISNUMBER(SEARCH(E35, K:K)), 0))</f>
        <v>1036684980</v>
      </c>
      <c r="G35" s="3" t="str">
        <f t="shared" si="4"/>
        <v>85787_1036684980</v>
      </c>
      <c r="H35" s="3" t="str">
        <f>IF(COUNTIF($G$2:G35,G35)=1, "",
  IF(COUNTIF($G$2:G35,G35)=2, "c",
    "c" &amp; (COUNTIF($G$2:G35,G35)-2)))</f>
        <v/>
      </c>
      <c r="I35" s="3" t="str">
        <f t="shared" si="5"/>
        <v>1036684980_5</v>
      </c>
      <c r="J35" s="3" t="str">
        <f>IF(COUNTIF($I$2:I35,I35)=1, "",
  IF(COUNTIF($I$2:I35,I35)=2, "c",
    "c" &amp; (COUNTIF($I$2:I35,I35)-2)))</f>
        <v/>
      </c>
      <c r="K35" s="10">
        <v>85803</v>
      </c>
      <c r="L35" s="15">
        <v>97446291</v>
      </c>
      <c r="M35" s="4" t="str">
        <f t="shared" si="6"/>
        <v>C:\Users\ngonzalc\Downloads\85787_1036684980\1036684980_5.pdf</v>
      </c>
    </row>
    <row r="36" spans="1:13" x14ac:dyDescent="0.25">
      <c r="A36" s="4"/>
      <c r="B36" t="str">
        <f t="shared" si="0"/>
        <v/>
      </c>
      <c r="C36" t="e">
        <f t="shared" si="2"/>
        <v>#VALUE!</v>
      </c>
      <c r="D36" s="3" t="str">
        <f t="shared" si="7"/>
        <v/>
      </c>
      <c r="E36" s="3" t="str">
        <f t="shared" si="3"/>
        <v/>
      </c>
      <c r="F36" s="3" t="str" cm="1">
        <f t="array" ref="F36">INDEX(L:L, MATCH(TRUE, ISNUMBER(SEARCH(E36, K:K)), 0))</f>
        <v>Cedula</v>
      </c>
      <c r="G36" s="3" t="str">
        <f t="shared" si="4"/>
        <v>_Cedula</v>
      </c>
      <c r="H36" s="3" t="str">
        <f>IF(COUNTIF($G$2:G36,G36)=1, "",
  IF(COUNTIF($G$2:G36,G36)=2, "c",
    "c" &amp; (COUNTIF($G$2:G36,G36)-2)))</f>
        <v/>
      </c>
      <c r="I36" s="3" t="str">
        <f t="shared" si="5"/>
        <v>Cedula_5</v>
      </c>
      <c r="J36" s="3" t="str">
        <f>IF(COUNTIF($I$2:I36,I36)=1, "",
  IF(COUNTIF($I$2:I36,I36)=2, "c",
    "c" &amp; (COUNTIF($I$2:I36,I36)-2)))</f>
        <v/>
      </c>
      <c r="K36" s="10">
        <v>85804</v>
      </c>
      <c r="L36" s="15">
        <v>98632014</v>
      </c>
      <c r="M36" s="4" t="str">
        <f t="shared" si="6"/>
        <v>_Cedula\Cedula_5.pdf</v>
      </c>
    </row>
    <row r="37" spans="1:13" x14ac:dyDescent="0.25">
      <c r="A37" s="4"/>
      <c r="B37" t="str">
        <f t="shared" si="0"/>
        <v/>
      </c>
      <c r="C37" t="e">
        <f t="shared" si="2"/>
        <v>#VALUE!</v>
      </c>
      <c r="D37" s="3" t="str">
        <f t="shared" si="7"/>
        <v/>
      </c>
      <c r="E37" s="3" t="str">
        <f t="shared" si="3"/>
        <v/>
      </c>
      <c r="F37" s="3" t="str" cm="1">
        <f t="array" ref="F37">INDEX(L:L, MATCH(TRUE, ISNUMBER(SEARCH(E37, K:K)), 0))</f>
        <v>Cedula</v>
      </c>
      <c r="G37" s="3" t="str">
        <f t="shared" si="4"/>
        <v>_Cedula</v>
      </c>
      <c r="H37" s="3" t="str">
        <f>IF(COUNTIF($G$2:G37,G37)=1, "",
  IF(COUNTIF($G$2:G37,G37)=2, "c",
    "c" &amp; (COUNTIF($G$2:G37,G37)-2)))</f>
        <v>c</v>
      </c>
      <c r="I37" s="3" t="str">
        <f t="shared" si="5"/>
        <v>Cedula_5</v>
      </c>
      <c r="J37" s="3" t="str">
        <f>IF(COUNTIF($I$2:I37,I37)=1, "",
  IF(COUNTIF($I$2:I37,I37)=2, "c",
    "c" &amp; (COUNTIF($I$2:I37,I37)-2)))</f>
        <v>c</v>
      </c>
      <c r="K37" s="10"/>
      <c r="L37" s="15"/>
      <c r="M37" s="4" t="str">
        <f t="shared" si="6"/>
        <v>_Cedula\Cedula_5.pdf</v>
      </c>
    </row>
    <row r="38" spans="1:13" x14ac:dyDescent="0.25">
      <c r="A38" s="4"/>
      <c r="B38" t="str">
        <f t="shared" si="0"/>
        <v/>
      </c>
      <c r="C38" t="e">
        <f t="shared" si="2"/>
        <v>#VALUE!</v>
      </c>
      <c r="D38" s="3" t="str">
        <f t="shared" si="7"/>
        <v/>
      </c>
      <c r="E38" s="3" t="str">
        <f t="shared" si="3"/>
        <v/>
      </c>
      <c r="F38" s="3" t="str" cm="1">
        <f t="array" ref="F38">INDEX(L:L, MATCH(TRUE, ISNUMBER(SEARCH(E38, K:K)), 0))</f>
        <v>Cedula</v>
      </c>
      <c r="G38" s="3" t="str">
        <f t="shared" si="4"/>
        <v>_Cedula</v>
      </c>
      <c r="H38" s="3" t="str">
        <f>IF(COUNTIF($G$2:G38,G38)=1, "",
  IF(COUNTIF($G$2:G38,G38)=2, "c",
    "c" &amp; (COUNTIF($G$2:G38,G38)-2)))</f>
        <v>c1</v>
      </c>
      <c r="I38" s="3" t="str">
        <f t="shared" si="5"/>
        <v>Cedula_5</v>
      </c>
      <c r="J38" s="3" t="str">
        <f>IF(COUNTIF($I$2:I38,I38)=1, "",
  IF(COUNTIF($I$2:I38,I38)=2, "c",
    "c" &amp; (COUNTIF($I$2:I38,I38)-2)))</f>
        <v>c1</v>
      </c>
      <c r="K38" s="10"/>
      <c r="L38" s="15"/>
      <c r="M38" s="4" t="str">
        <f t="shared" si="6"/>
        <v>_Cedula\Cedula_5.pdf</v>
      </c>
    </row>
    <row r="39" spans="1:13" x14ac:dyDescent="0.25">
      <c r="A39" s="4"/>
      <c r="B39" t="str">
        <f t="shared" si="0"/>
        <v/>
      </c>
      <c r="C39" t="e">
        <f t="shared" si="2"/>
        <v>#VALUE!</v>
      </c>
      <c r="D39" s="3" t="str">
        <f t="shared" si="7"/>
        <v/>
      </c>
      <c r="E39" s="3" t="str">
        <f t="shared" si="3"/>
        <v/>
      </c>
      <c r="F39" s="3" t="str" cm="1">
        <f t="array" ref="F39">INDEX(L:L, MATCH(TRUE, ISNUMBER(SEARCH(E39, K:K)), 0))</f>
        <v>Cedula</v>
      </c>
      <c r="G39" s="3" t="str">
        <f t="shared" si="4"/>
        <v>_Cedula</v>
      </c>
      <c r="H39" s="3" t="str">
        <f>IF(COUNTIF($G$2:G39,G39)=1, "",
  IF(COUNTIF($G$2:G39,G39)=2, "c",
    "c" &amp; (COUNTIF($G$2:G39,G39)-2)))</f>
        <v>c2</v>
      </c>
      <c r="I39" s="3" t="str">
        <f t="shared" si="5"/>
        <v>Cedula_5</v>
      </c>
      <c r="J39" s="3" t="str">
        <f>IF(COUNTIF($I$2:I39,I39)=1, "",
  IF(COUNTIF($I$2:I39,I39)=2, "c",
    "c" &amp; (COUNTIF($I$2:I39,I39)-2)))</f>
        <v>c2</v>
      </c>
      <c r="K39" s="10"/>
      <c r="L39" s="15"/>
      <c r="M39" s="4" t="str">
        <f t="shared" si="6"/>
        <v>_Cedula\Cedula_5.pdf</v>
      </c>
    </row>
    <row r="40" spans="1:13" x14ac:dyDescent="0.25">
      <c r="A40" s="4"/>
      <c r="B40" t="str">
        <f t="shared" si="0"/>
        <v/>
      </c>
      <c r="C40" t="e">
        <f t="shared" si="2"/>
        <v>#VALUE!</v>
      </c>
      <c r="D40" s="3" t="str">
        <f t="shared" si="7"/>
        <v/>
      </c>
      <c r="E40" s="3" t="str">
        <f t="shared" si="3"/>
        <v/>
      </c>
      <c r="F40" s="3" t="str" cm="1">
        <f t="array" ref="F40">INDEX(L:L, MATCH(TRUE, ISNUMBER(SEARCH(E40, K:K)), 0))</f>
        <v>Cedula</v>
      </c>
      <c r="G40" s="3" t="str">
        <f t="shared" si="4"/>
        <v>_Cedula</v>
      </c>
      <c r="H40" s="3" t="str">
        <f>IF(COUNTIF($G$2:G40,G40)=1, "",
  IF(COUNTIF($G$2:G40,G40)=2, "c",
    "c" &amp; (COUNTIF($G$2:G40,G40)-2)))</f>
        <v>c3</v>
      </c>
      <c r="I40" s="3" t="str">
        <f t="shared" si="5"/>
        <v>Cedula_5</v>
      </c>
      <c r="J40" s="3" t="str">
        <f>IF(COUNTIF($I$2:I40,I40)=1, "",
  IF(COUNTIF($I$2:I40,I40)=2, "c",
    "c" &amp; (COUNTIF($I$2:I40,I40)-2)))</f>
        <v>c3</v>
      </c>
      <c r="K40" s="11"/>
      <c r="L40" s="15"/>
      <c r="M40" s="4" t="str">
        <f t="shared" si="6"/>
        <v>_Cedula\Cedula_5.pdf</v>
      </c>
    </row>
    <row r="41" spans="1:13" x14ac:dyDescent="0.25">
      <c r="A41" s="4"/>
      <c r="B41" t="str">
        <f t="shared" si="0"/>
        <v/>
      </c>
      <c r="C41" t="e">
        <f t="shared" si="2"/>
        <v>#VALUE!</v>
      </c>
      <c r="D41" s="3" t="str">
        <f t="shared" si="7"/>
        <v/>
      </c>
      <c r="E41" s="3" t="str">
        <f t="shared" si="3"/>
        <v/>
      </c>
      <c r="F41" s="3" t="str" cm="1">
        <f t="array" ref="F41">INDEX(L:L, MATCH(TRUE, ISNUMBER(SEARCH(E41, K:K)), 0))</f>
        <v>Cedula</v>
      </c>
      <c r="G41" s="3" t="str">
        <f t="shared" si="4"/>
        <v>_Cedula</v>
      </c>
      <c r="H41" s="3" t="str">
        <f>IF(COUNTIF($G$2:G41,G41)=1, "",
  IF(COUNTIF($G$2:G41,G41)=2, "c",
    "c" &amp; (COUNTIF($G$2:G41,G41)-2)))</f>
        <v>c4</v>
      </c>
      <c r="I41" s="3" t="str">
        <f t="shared" si="5"/>
        <v>Cedula_5</v>
      </c>
      <c r="J41" s="3" t="str">
        <f>IF(COUNTIF($I$2:I41,I41)=1, "",
  IF(COUNTIF($I$2:I41,I41)=2, "c",
    "c" &amp; (COUNTIF($I$2:I41,I41)-2)))</f>
        <v>c4</v>
      </c>
      <c r="K41" s="11"/>
      <c r="L41" s="15"/>
      <c r="M41" s="4" t="str">
        <f t="shared" si="6"/>
        <v>_Cedula\Cedula_5.pdf</v>
      </c>
    </row>
    <row r="42" spans="1:13" x14ac:dyDescent="0.25">
      <c r="A42" s="4"/>
      <c r="B42" t="str">
        <f t="shared" si="0"/>
        <v/>
      </c>
      <c r="C42" t="e">
        <f t="shared" si="2"/>
        <v>#VALUE!</v>
      </c>
      <c r="D42" s="3" t="str">
        <f t="shared" si="7"/>
        <v/>
      </c>
      <c r="E42" s="3" t="str">
        <f t="shared" si="3"/>
        <v/>
      </c>
      <c r="F42" s="3" t="str" cm="1">
        <f t="array" ref="F42">INDEX(L:L, MATCH(TRUE, ISNUMBER(SEARCH(E42, K:K)), 0))</f>
        <v>Cedula</v>
      </c>
      <c r="G42" s="3" t="str">
        <f t="shared" si="4"/>
        <v>_Cedula</v>
      </c>
      <c r="H42" s="3" t="str">
        <f>IF(COUNTIF($G$2:G42,G42)=1, "",
  IF(COUNTIF($G$2:G42,G42)=2, "c",
    "c" &amp; (COUNTIF($G$2:G42,G42)-2)))</f>
        <v>c5</v>
      </c>
      <c r="I42" s="3" t="str">
        <f t="shared" si="5"/>
        <v>Cedula_5</v>
      </c>
      <c r="J42" s="3" t="str">
        <f>IF(COUNTIF($I$2:I42,I42)=1, "",
  IF(COUNTIF($I$2:I42,I42)=2, "c",
    "c" &amp; (COUNTIF($I$2:I42,I42)-2)))</f>
        <v>c5</v>
      </c>
      <c r="K42" s="11"/>
      <c r="L42" s="15"/>
      <c r="M42" s="4" t="str">
        <f t="shared" si="6"/>
        <v>_Cedula\Cedula_5.pdf</v>
      </c>
    </row>
    <row r="43" spans="1:13" x14ac:dyDescent="0.25">
      <c r="A43" s="4"/>
      <c r="B43" t="str">
        <f t="shared" si="0"/>
        <v/>
      </c>
      <c r="C43" t="e">
        <f t="shared" si="2"/>
        <v>#VALUE!</v>
      </c>
      <c r="D43" s="3" t="str">
        <f t="shared" si="7"/>
        <v/>
      </c>
      <c r="E43" s="3" t="str">
        <f t="shared" si="3"/>
        <v/>
      </c>
      <c r="F43" s="3" t="str" cm="1">
        <f t="array" ref="F43">INDEX(L:L, MATCH(TRUE, ISNUMBER(SEARCH(E43, K:K)), 0))</f>
        <v>Cedula</v>
      </c>
      <c r="G43" s="3" t="str">
        <f t="shared" si="4"/>
        <v>_Cedula</v>
      </c>
      <c r="H43" s="3" t="str">
        <f>IF(COUNTIF($G$2:G43,G43)=1, "",
  IF(COUNTIF($G$2:G43,G43)=2, "c",
    "c" &amp; (COUNTIF($G$2:G43,G43)-2)))</f>
        <v>c6</v>
      </c>
      <c r="I43" s="3" t="str">
        <f t="shared" si="5"/>
        <v>Cedula_5</v>
      </c>
      <c r="J43" s="3" t="str">
        <f>IF(COUNTIF($I$2:I43,I43)=1, "",
  IF(COUNTIF($I$2:I43,I43)=2, "c",
    "c" &amp; (COUNTIF($I$2:I43,I43)-2)))</f>
        <v>c6</v>
      </c>
      <c r="K43" s="11"/>
      <c r="L43" s="15"/>
      <c r="M43" s="4" t="str">
        <f t="shared" si="6"/>
        <v>_Cedula\Cedula_5.pdf</v>
      </c>
    </row>
    <row r="44" spans="1:13" x14ac:dyDescent="0.25">
      <c r="A44" s="4"/>
      <c r="B44" t="str">
        <f t="shared" si="0"/>
        <v/>
      </c>
      <c r="C44" t="e">
        <f t="shared" si="2"/>
        <v>#VALUE!</v>
      </c>
      <c r="D44" s="3" t="str">
        <f t="shared" ref="D44:D47" si="8">+IFERROR(MID(A44,SEARCH("@",SUBSTITUTE(A44,"\","@",LEN(A44)-LEN(SUBSTITUTE(A44,"\",""))))+1,500),"")</f>
        <v/>
      </c>
      <c r="E44" s="3" t="str">
        <f t="shared" si="3"/>
        <v/>
      </c>
      <c r="F44" s="3" t="str" cm="1">
        <f t="array" ref="F44">INDEX(L:L, MATCH(TRUE, ISNUMBER(SEARCH(E44, K:K)), 0))</f>
        <v>Cedula</v>
      </c>
      <c r="G44" s="3" t="str">
        <f t="shared" si="4"/>
        <v>_Cedula</v>
      </c>
      <c r="H44" s="3" t="str">
        <f>IF(COUNTIF($G$2:G44,G44)=1, "",
  IF(COUNTIF($G$2:G44,G44)=2, "c",
    "c" &amp; (COUNTIF($G$2:G44,G44)-2)))</f>
        <v>c7</v>
      </c>
      <c r="I44" s="3" t="str">
        <f t="shared" si="5"/>
        <v>Cedula_5</v>
      </c>
      <c r="J44" s="3" t="str">
        <f>IF(COUNTIF($I$2:I44,I44)=1, "",
  IF(COUNTIF($I$2:I44,I44)=2, "c",
    "c" &amp; (COUNTIF($I$2:I44,I44)-2)))</f>
        <v>c7</v>
      </c>
      <c r="K44" s="11"/>
      <c r="L44" s="15"/>
      <c r="M44" s="4" t="str">
        <f t="shared" si="6"/>
        <v>_Cedula\Cedula_5.pdf</v>
      </c>
    </row>
    <row r="45" spans="1:13" x14ac:dyDescent="0.25">
      <c r="A45" s="4"/>
      <c r="B45" t="str">
        <f t="shared" si="0"/>
        <v/>
      </c>
      <c r="C45" t="e">
        <f t="shared" si="2"/>
        <v>#VALUE!</v>
      </c>
      <c r="D45" s="3" t="str">
        <f t="shared" si="8"/>
        <v/>
      </c>
      <c r="E45" s="3" t="str">
        <f t="shared" si="3"/>
        <v/>
      </c>
      <c r="F45" s="3" t="str" cm="1">
        <f t="array" ref="F45">INDEX(L:L, MATCH(TRUE, ISNUMBER(SEARCH(E45, K:K)), 0))</f>
        <v>Cedula</v>
      </c>
      <c r="G45" s="3" t="str">
        <f t="shared" si="4"/>
        <v>_Cedula</v>
      </c>
      <c r="H45" s="3" t="str">
        <f>IF(COUNTIF($G$2:G45,G45)=1, "",
  IF(COUNTIF($G$2:G45,G45)=2, "c",
    "c" &amp; (COUNTIF($G$2:G45,G45)-2)))</f>
        <v>c8</v>
      </c>
      <c r="I45" s="3" t="str">
        <f t="shared" si="5"/>
        <v>Cedula_5</v>
      </c>
      <c r="J45" s="3" t="str">
        <f>IF(COUNTIF($I$2:I45,I45)=1, "",
  IF(COUNTIF($I$2:I45,I45)=2, "c",
    "c" &amp; (COUNTIF($I$2:I45,I45)-2)))</f>
        <v>c8</v>
      </c>
      <c r="K45" s="11"/>
      <c r="L45" s="15"/>
      <c r="M45" s="4" t="str">
        <f t="shared" si="6"/>
        <v>_Cedula\Cedula_5.pdf</v>
      </c>
    </row>
    <row r="46" spans="1:13" x14ac:dyDescent="0.25">
      <c r="A46" s="4"/>
      <c r="B46" t="str">
        <f t="shared" si="0"/>
        <v/>
      </c>
      <c r="C46" t="e">
        <f t="shared" si="2"/>
        <v>#VALUE!</v>
      </c>
      <c r="D46" s="3" t="str">
        <f t="shared" si="8"/>
        <v/>
      </c>
      <c r="E46" s="3" t="str">
        <f t="shared" si="3"/>
        <v/>
      </c>
      <c r="F46" s="3" t="str" cm="1">
        <f t="array" ref="F46">INDEX(L:L, MATCH(TRUE, ISNUMBER(SEARCH(E46, K:K)), 0))</f>
        <v>Cedula</v>
      </c>
      <c r="G46" s="3" t="str">
        <f t="shared" si="4"/>
        <v>_Cedula</v>
      </c>
      <c r="H46" s="3" t="str">
        <f>IF(COUNTIF($G$2:G46,G46)=1, "",
  IF(COUNTIF($G$2:G46,G46)=2, "c",
    "c" &amp; (COUNTIF($G$2:G46,G46)-2)))</f>
        <v>c9</v>
      </c>
      <c r="I46" s="3" t="str">
        <f t="shared" si="5"/>
        <v>Cedula_5</v>
      </c>
      <c r="J46" s="3" t="str">
        <f>IF(COUNTIF($I$2:I46,I46)=1, "",
  IF(COUNTIF($I$2:I46,I46)=2, "c",
    "c" &amp; (COUNTIF($I$2:I46,I46)-2)))</f>
        <v>c9</v>
      </c>
      <c r="K46" s="11"/>
      <c r="L46" s="15"/>
      <c r="M46" s="4" t="str">
        <f t="shared" si="6"/>
        <v>_Cedula\Cedula_5.pdf</v>
      </c>
    </row>
    <row r="47" spans="1:13" x14ac:dyDescent="0.25">
      <c r="A47" s="4"/>
      <c r="B47" t="str">
        <f t="shared" si="0"/>
        <v/>
      </c>
      <c r="C47" t="e">
        <f t="shared" si="2"/>
        <v>#VALUE!</v>
      </c>
      <c r="D47" s="3" t="str">
        <f t="shared" si="8"/>
        <v/>
      </c>
      <c r="E47" s="3" t="str">
        <f t="shared" si="3"/>
        <v/>
      </c>
      <c r="F47" s="3" t="str" cm="1">
        <f t="array" ref="F47">INDEX(L:L, MATCH(TRUE, ISNUMBER(SEARCH(E47, K:K)), 0))</f>
        <v>Cedula</v>
      </c>
      <c r="G47" s="3" t="str">
        <f t="shared" si="4"/>
        <v>_Cedula</v>
      </c>
      <c r="H47" s="3" t="str">
        <f>IF(COUNTIF($G$2:G47,G47)=1, "",
  IF(COUNTIF($G$2:G47,G47)=2, "c",
    "c" &amp; (COUNTIF($G$2:G47,G47)-2)))</f>
        <v>c10</v>
      </c>
      <c r="I47" s="3" t="str">
        <f t="shared" si="5"/>
        <v>Cedula_5</v>
      </c>
      <c r="J47" s="3" t="str">
        <f>IF(COUNTIF($I$2:I47,I47)=1, "",
  IF(COUNTIF($I$2:I47,I47)=2, "c",
    "c" &amp; (COUNTIF($I$2:I47,I47)-2)))</f>
        <v>c10</v>
      </c>
      <c r="K47" s="11"/>
      <c r="L47" s="15"/>
      <c r="M47" s="4" t="str">
        <f t="shared" si="6"/>
        <v>_Cedula\Cedula_5.pdf</v>
      </c>
    </row>
    <row r="48" spans="1:13" x14ac:dyDescent="0.25">
      <c r="A48" s="4"/>
      <c r="B48" t="str">
        <f t="shared" ref="B48:B77" si="9">+IFERROR(MID(A48,1,SEARCH("@",SUBSTITUTE(A48,"\","@",LEN(A48)-LEN(SUBSTITUTE(A48,"\",""))))),"")</f>
        <v/>
      </c>
      <c r="C48" t="e">
        <f t="shared" ref="C48:C77" si="10">LEFT(B48,FIND("¤",SUBSTITUTE(B48,"\","¤",LEN(B48)-LEN(SUBSTITUTE(B48,"\",""))-1))-1)</f>
        <v>#VALUE!</v>
      </c>
      <c r="D48" s="3" t="str">
        <f t="shared" ref="D48:D77" si="11">+IFERROR(MID(A48,SEARCH("@",SUBSTITUTE(A48,"\","@",LEN(A48)-LEN(SUBSTITUTE(A48,"\",""))))+1,500),"")</f>
        <v/>
      </c>
      <c r="E48" s="3" t="str">
        <f t="shared" si="3"/>
        <v/>
      </c>
      <c r="F48" s="3" t="str" cm="1">
        <f t="array" ref="F48">INDEX(L:L, MATCH(TRUE, ISNUMBER(SEARCH(E48, K:K)), 0))</f>
        <v>Cedula</v>
      </c>
      <c r="G48" s="3" t="str">
        <f t="shared" si="4"/>
        <v>_Cedula</v>
      </c>
      <c r="H48" s="3" t="str">
        <f>IF(COUNTIF($G$2:G48,G48)=1, "",
  IF(COUNTIF($G$2:G48,G48)=2, "c",
    "c" &amp; (COUNTIF($G$2:G48,G48)-2)))</f>
        <v>c11</v>
      </c>
      <c r="I48" s="3" t="str">
        <f t="shared" si="5"/>
        <v>Cedula_5</v>
      </c>
      <c r="J48" s="3" t="str">
        <f>IF(COUNTIF($I$2:I48,I48)=1, "",
  IF(COUNTIF($I$2:I48,I48)=2, "c",
    "c" &amp; (COUNTIF($I$2:I48,I48)-2)))</f>
        <v>c11</v>
      </c>
      <c r="K48" s="11"/>
      <c r="L48" s="11"/>
      <c r="M48" s="4" t="str">
        <f t="shared" si="6"/>
        <v>_Cedula\Cedula_5.pdf</v>
      </c>
    </row>
    <row r="49" spans="1:13" x14ac:dyDescent="0.25">
      <c r="A49" s="4"/>
      <c r="B49" t="str">
        <f t="shared" si="9"/>
        <v/>
      </c>
      <c r="C49" t="e">
        <f t="shared" si="10"/>
        <v>#VALUE!</v>
      </c>
      <c r="D49" s="3" t="str">
        <f t="shared" si="11"/>
        <v/>
      </c>
      <c r="E49" s="3" t="str">
        <f t="shared" si="3"/>
        <v/>
      </c>
      <c r="F49" s="3" t="str" cm="1">
        <f t="array" ref="F49">INDEX(L:L, MATCH(TRUE, ISNUMBER(SEARCH(E49, K:K)), 0))</f>
        <v>Cedula</v>
      </c>
      <c r="G49" s="3" t="str">
        <f t="shared" si="4"/>
        <v>_Cedula</v>
      </c>
      <c r="H49" s="3" t="str">
        <f>IF(COUNTIF($G$2:G49,G49)=1, "",
  IF(COUNTIF($G$2:G49,G49)=2, "c",
    "c" &amp; (COUNTIF($G$2:G49,G49)-2)))</f>
        <v>c12</v>
      </c>
      <c r="I49" s="3" t="str">
        <f t="shared" si="5"/>
        <v>Cedula_5</v>
      </c>
      <c r="J49" s="3" t="str">
        <f>IF(COUNTIF($I$2:I49,I49)=1, "",
  IF(COUNTIF($I$2:I49,I49)=2, "c",
    "c" &amp; (COUNTIF($I$2:I49,I49)-2)))</f>
        <v>c12</v>
      </c>
      <c r="K49" s="11"/>
      <c r="L49" s="11"/>
      <c r="M49" s="4" t="str">
        <f t="shared" si="6"/>
        <v>_Cedula\Cedula_5.pdf</v>
      </c>
    </row>
    <row r="50" spans="1:13" x14ac:dyDescent="0.25">
      <c r="A50" s="4"/>
      <c r="B50" t="str">
        <f t="shared" si="9"/>
        <v/>
      </c>
      <c r="C50" t="e">
        <f t="shared" si="10"/>
        <v>#VALUE!</v>
      </c>
      <c r="D50" s="3" t="str">
        <f t="shared" si="11"/>
        <v/>
      </c>
      <c r="E50" s="3" t="str">
        <f t="shared" si="3"/>
        <v/>
      </c>
      <c r="F50" s="3" t="str" cm="1">
        <f t="array" ref="F50">INDEX(L:L, MATCH(TRUE, ISNUMBER(SEARCH(E50, K:K)), 0))</f>
        <v>Cedula</v>
      </c>
      <c r="G50" s="3" t="str">
        <f t="shared" si="4"/>
        <v>_Cedula</v>
      </c>
      <c r="H50" s="3" t="str">
        <f>IF(COUNTIF($G$2:G50,G50)=1, "",
  IF(COUNTIF($G$2:G50,G50)=2, "c",
    "c" &amp; (COUNTIF($G$2:G50,G50)-2)))</f>
        <v>c13</v>
      </c>
      <c r="I50" s="3" t="str">
        <f t="shared" si="5"/>
        <v>Cedula_5</v>
      </c>
      <c r="J50" s="3" t="str">
        <f>IF(COUNTIF($I$2:I50,I50)=1, "",
  IF(COUNTIF($I$2:I50,I50)=2, "c",
    "c" &amp; (COUNTIF($I$2:I50,I50)-2)))</f>
        <v>c13</v>
      </c>
      <c r="K50" s="11"/>
      <c r="L50" s="11"/>
      <c r="M50" s="4" t="str">
        <f t="shared" si="6"/>
        <v>_Cedula\Cedula_5.pdf</v>
      </c>
    </row>
    <row r="51" spans="1:13" x14ac:dyDescent="0.25">
      <c r="A51" s="4"/>
      <c r="B51" t="str">
        <f t="shared" si="9"/>
        <v/>
      </c>
      <c r="C51" t="e">
        <f t="shared" si="10"/>
        <v>#VALUE!</v>
      </c>
      <c r="D51" s="3" t="str">
        <f t="shared" si="11"/>
        <v/>
      </c>
      <c r="E51" s="3" t="str">
        <f t="shared" si="3"/>
        <v/>
      </c>
      <c r="F51" s="3" t="str" cm="1">
        <f t="array" ref="F51">INDEX(L:L, MATCH(TRUE, ISNUMBER(SEARCH(E51, K:K)), 0))</f>
        <v>Cedula</v>
      </c>
      <c r="G51" s="3" t="str">
        <f t="shared" si="4"/>
        <v>_Cedula</v>
      </c>
      <c r="H51" s="3" t="str">
        <f>IF(COUNTIF($G$2:G51,G51)=1, "",
  IF(COUNTIF($G$2:G51,G51)=2, "c",
    "c" &amp; (COUNTIF($G$2:G51,G51)-2)))</f>
        <v>c14</v>
      </c>
      <c r="I51" s="3" t="str">
        <f t="shared" si="5"/>
        <v>Cedula_5</v>
      </c>
      <c r="J51" s="3" t="str">
        <f>IF(COUNTIF($I$2:I51,I51)=1, "",
  IF(COUNTIF($I$2:I51,I51)=2, "c",
    "c" &amp; (COUNTIF($I$2:I51,I51)-2)))</f>
        <v>c14</v>
      </c>
      <c r="K51" s="11"/>
      <c r="L51" s="11"/>
      <c r="M51" s="4" t="str">
        <f t="shared" si="6"/>
        <v>_Cedula\Cedula_5.pdf</v>
      </c>
    </row>
    <row r="52" spans="1:13" x14ac:dyDescent="0.25">
      <c r="A52" s="4"/>
      <c r="B52" t="str">
        <f t="shared" si="9"/>
        <v/>
      </c>
      <c r="C52" t="e">
        <f t="shared" si="10"/>
        <v>#VALUE!</v>
      </c>
      <c r="D52" s="3" t="str">
        <f t="shared" si="11"/>
        <v/>
      </c>
      <c r="E52" s="3" t="str">
        <f t="shared" si="3"/>
        <v/>
      </c>
      <c r="F52" s="3" t="str" cm="1">
        <f t="array" ref="F52">INDEX(L:L, MATCH(TRUE, ISNUMBER(SEARCH(E52, K:K)), 0))</f>
        <v>Cedula</v>
      </c>
      <c r="G52" s="3" t="str">
        <f t="shared" si="4"/>
        <v>_Cedula</v>
      </c>
      <c r="H52" s="3" t="str">
        <f>IF(COUNTIF($G$2:G52,G52)=1, "",
  IF(COUNTIF($G$2:G52,G52)=2, "c",
    "c" &amp; (COUNTIF($G$2:G52,G52)-2)))</f>
        <v>c15</v>
      </c>
      <c r="I52" s="3" t="str">
        <f t="shared" si="5"/>
        <v>Cedula_5</v>
      </c>
      <c r="J52" s="3" t="str">
        <f>IF(COUNTIF($I$2:I52,I52)=1, "",
  IF(COUNTIF($I$2:I52,I52)=2, "c",
    "c" &amp; (COUNTIF($I$2:I52,I52)-2)))</f>
        <v>c15</v>
      </c>
      <c r="K52" s="11"/>
      <c r="L52" s="11"/>
      <c r="M52" s="4" t="str">
        <f t="shared" si="6"/>
        <v>_Cedula\Cedula_5.pdf</v>
      </c>
    </row>
    <row r="53" spans="1:13" x14ac:dyDescent="0.25">
      <c r="A53" s="4"/>
      <c r="B53" t="str">
        <f t="shared" si="9"/>
        <v/>
      </c>
      <c r="C53" t="e">
        <f t="shared" si="10"/>
        <v>#VALUE!</v>
      </c>
      <c r="D53" s="3" t="str">
        <f t="shared" si="11"/>
        <v/>
      </c>
      <c r="E53" s="3" t="str">
        <f t="shared" si="3"/>
        <v/>
      </c>
      <c r="F53" s="3" t="str" cm="1">
        <f t="array" ref="F53">INDEX(L:L, MATCH(TRUE, ISNUMBER(SEARCH(E53, K:K)), 0))</f>
        <v>Cedula</v>
      </c>
      <c r="G53" s="3" t="str">
        <f t="shared" si="4"/>
        <v>_Cedula</v>
      </c>
      <c r="H53" s="3" t="str">
        <f>IF(COUNTIF($G$2:G53,G53)=1, "",
  IF(COUNTIF($G$2:G53,G53)=2, "c",
    "c" &amp; (COUNTIF($G$2:G53,G53)-2)))</f>
        <v>c16</v>
      </c>
      <c r="I53" s="3" t="str">
        <f t="shared" si="5"/>
        <v>Cedula_5</v>
      </c>
      <c r="J53" s="3" t="str">
        <f>IF(COUNTIF($I$2:I53,I53)=1, "",
  IF(COUNTIF($I$2:I53,I53)=2, "c",
    "c" &amp; (COUNTIF($I$2:I53,I53)-2)))</f>
        <v>c16</v>
      </c>
      <c r="K53" s="11"/>
      <c r="L53" s="11"/>
      <c r="M53" s="4" t="str">
        <f t="shared" si="6"/>
        <v>_Cedula\Cedula_5.pdf</v>
      </c>
    </row>
    <row r="54" spans="1:13" x14ac:dyDescent="0.25">
      <c r="A54" s="4"/>
      <c r="B54" t="str">
        <f t="shared" si="9"/>
        <v/>
      </c>
      <c r="C54" t="e">
        <f t="shared" si="10"/>
        <v>#VALUE!</v>
      </c>
      <c r="D54" s="3" t="str">
        <f t="shared" si="11"/>
        <v/>
      </c>
      <c r="E54" s="3" t="str">
        <f t="shared" si="3"/>
        <v/>
      </c>
      <c r="F54" s="3" t="str" cm="1">
        <f t="array" ref="F54">INDEX(L:L, MATCH(TRUE, ISNUMBER(SEARCH(E54, K:K)), 0))</f>
        <v>Cedula</v>
      </c>
      <c r="G54" s="3" t="str">
        <f t="shared" si="4"/>
        <v>_Cedula</v>
      </c>
      <c r="H54" s="3" t="str">
        <f>IF(COUNTIF($G$2:G54,G54)=1, "",
  IF(COUNTIF($G$2:G54,G54)=2, "c",
    "c" &amp; (COUNTIF($G$2:G54,G54)-2)))</f>
        <v>c17</v>
      </c>
      <c r="I54" s="3" t="str">
        <f t="shared" si="5"/>
        <v>Cedula_5</v>
      </c>
      <c r="J54" s="3" t="str">
        <f>IF(COUNTIF($I$2:I54,I54)=1, "",
  IF(COUNTIF($I$2:I54,I54)=2, "c",
    "c" &amp; (COUNTIF($I$2:I54,I54)-2)))</f>
        <v>c17</v>
      </c>
      <c r="K54" s="11"/>
      <c r="L54" s="11"/>
      <c r="M54" s="4" t="str">
        <f t="shared" si="6"/>
        <v>_Cedula\Cedula_5.pdf</v>
      </c>
    </row>
    <row r="55" spans="1:13" x14ac:dyDescent="0.25">
      <c r="A55" s="4"/>
      <c r="B55" t="str">
        <f t="shared" si="9"/>
        <v/>
      </c>
      <c r="C55" t="e">
        <f t="shared" si="10"/>
        <v>#VALUE!</v>
      </c>
      <c r="D55" s="3" t="str">
        <f t="shared" si="11"/>
        <v/>
      </c>
      <c r="E55" s="3" t="str">
        <f t="shared" si="3"/>
        <v/>
      </c>
      <c r="F55" s="3" t="str" cm="1">
        <f t="array" ref="F55">INDEX(L:L, MATCH(TRUE, ISNUMBER(SEARCH(E55, K:K)), 0))</f>
        <v>Cedula</v>
      </c>
      <c r="G55" s="3" t="str">
        <f t="shared" si="4"/>
        <v>_Cedula</v>
      </c>
      <c r="H55" s="3" t="str">
        <f>IF(COUNTIF($G$2:G55,G55)=1, "",
  IF(COUNTIF($G$2:G55,G55)=2, "c",
    "c" &amp; (COUNTIF($G$2:G55,G55)-2)))</f>
        <v>c18</v>
      </c>
      <c r="I55" s="3" t="str">
        <f t="shared" si="5"/>
        <v>Cedula_5</v>
      </c>
      <c r="J55" s="3" t="str">
        <f>IF(COUNTIF($I$2:I55,I55)=1, "",
  IF(COUNTIF($I$2:I55,I55)=2, "c",
    "c" &amp; (COUNTIF($I$2:I55,I55)-2)))</f>
        <v>c18</v>
      </c>
      <c r="K55" s="11"/>
      <c r="L55" s="11"/>
      <c r="M55" s="4" t="str">
        <f t="shared" si="6"/>
        <v>_Cedula\Cedula_5.pdf</v>
      </c>
    </row>
    <row r="56" spans="1:13" x14ac:dyDescent="0.25">
      <c r="A56" s="4"/>
      <c r="B56" t="str">
        <f t="shared" si="9"/>
        <v/>
      </c>
      <c r="C56" t="e">
        <f t="shared" si="10"/>
        <v>#VALUE!</v>
      </c>
      <c r="D56" s="3" t="str">
        <f t="shared" si="11"/>
        <v/>
      </c>
      <c r="E56" s="3" t="str">
        <f t="shared" si="3"/>
        <v/>
      </c>
      <c r="F56" s="3" t="str" cm="1">
        <f t="array" ref="F56">INDEX(L:L, MATCH(TRUE, ISNUMBER(SEARCH(E56, K:K)), 0))</f>
        <v>Cedula</v>
      </c>
      <c r="G56" s="3" t="str">
        <f t="shared" si="4"/>
        <v>_Cedula</v>
      </c>
      <c r="H56" s="3" t="str">
        <f>IF(COUNTIF($G$2:G56,G56)=1, "",
  IF(COUNTIF($G$2:G56,G56)=2, "c",
    "c" &amp; (COUNTIF($G$2:G56,G56)-2)))</f>
        <v>c19</v>
      </c>
      <c r="I56" s="3" t="str">
        <f t="shared" si="5"/>
        <v>Cedula_5</v>
      </c>
      <c r="J56" s="3" t="str">
        <f>IF(COUNTIF($I$2:I56,I56)=1, "",
  IF(COUNTIF($I$2:I56,I56)=2, "c",
    "c" &amp; (COUNTIF($I$2:I56,I56)-2)))</f>
        <v>c19</v>
      </c>
      <c r="K56" s="11"/>
      <c r="L56" s="11"/>
      <c r="M56" s="4" t="str">
        <f t="shared" si="6"/>
        <v>_Cedula\Cedula_5.pdf</v>
      </c>
    </row>
    <row r="57" spans="1:13" x14ac:dyDescent="0.25">
      <c r="A57" s="4"/>
      <c r="B57" t="str">
        <f t="shared" si="9"/>
        <v/>
      </c>
      <c r="C57" t="e">
        <f t="shared" si="10"/>
        <v>#VALUE!</v>
      </c>
      <c r="D57" s="3" t="str">
        <f t="shared" si="11"/>
        <v/>
      </c>
      <c r="E57" s="3" t="str">
        <f t="shared" si="3"/>
        <v/>
      </c>
      <c r="F57" s="3" t="str" cm="1">
        <f t="array" ref="F57">INDEX(L:L, MATCH(TRUE, ISNUMBER(SEARCH(E57, K:K)), 0))</f>
        <v>Cedula</v>
      </c>
      <c r="G57" s="3" t="str">
        <f t="shared" si="4"/>
        <v>_Cedula</v>
      </c>
      <c r="H57" s="3" t="str">
        <f>IF(COUNTIF($G$2:G57,G57)=1, "",
  IF(COUNTIF($G$2:G57,G57)=2, "c",
    "c" &amp; (COUNTIF($G$2:G57,G57)-2)))</f>
        <v>c20</v>
      </c>
      <c r="I57" s="3" t="str">
        <f t="shared" si="5"/>
        <v>Cedula_5</v>
      </c>
      <c r="J57" s="3" t="str">
        <f>IF(COUNTIF($I$2:I57,I57)=1, "",
  IF(COUNTIF($I$2:I57,I57)=2, "c",
    "c" &amp; (COUNTIF($I$2:I57,I57)-2)))</f>
        <v>c20</v>
      </c>
      <c r="K57" s="11"/>
      <c r="L57" s="11"/>
      <c r="M57" s="4" t="str">
        <f t="shared" si="6"/>
        <v>_Cedula\Cedula_5.pdf</v>
      </c>
    </row>
    <row r="58" spans="1:13" x14ac:dyDescent="0.25">
      <c r="A58" s="4"/>
      <c r="B58" t="str">
        <f t="shared" si="9"/>
        <v/>
      </c>
      <c r="C58" t="e">
        <f t="shared" si="10"/>
        <v>#VALUE!</v>
      </c>
      <c r="D58" s="3" t="str">
        <f t="shared" si="11"/>
        <v/>
      </c>
      <c r="E58" s="3" t="str">
        <f t="shared" si="3"/>
        <v/>
      </c>
      <c r="F58" s="3" t="str" cm="1">
        <f t="array" ref="F58">INDEX(L:L, MATCH(TRUE, ISNUMBER(SEARCH(E58, K:K)), 0))</f>
        <v>Cedula</v>
      </c>
      <c r="G58" s="3" t="str">
        <f t="shared" si="4"/>
        <v>_Cedula</v>
      </c>
      <c r="H58" s="3" t="str">
        <f>IF(COUNTIF($G$2:G58,G58)=1, "",
  IF(COUNTIF($G$2:G58,G58)=2, "c",
    "c" &amp; (COUNTIF($G$2:G58,G58)-2)))</f>
        <v>c21</v>
      </c>
      <c r="I58" s="3" t="str">
        <f t="shared" si="5"/>
        <v>Cedula_5</v>
      </c>
      <c r="J58" s="3" t="str">
        <f>IF(COUNTIF($I$2:I58,I58)=1, "",
  IF(COUNTIF($I$2:I58,I58)=2, "c",
    "c" &amp; (COUNTIF($I$2:I58,I58)-2)))</f>
        <v>c21</v>
      </c>
      <c r="K58" s="11"/>
      <c r="L58" s="11"/>
      <c r="M58" s="4" t="str">
        <f t="shared" si="6"/>
        <v>_Cedula\Cedula_5.pdf</v>
      </c>
    </row>
    <row r="59" spans="1:13" x14ac:dyDescent="0.25">
      <c r="A59" s="4"/>
      <c r="B59" t="str">
        <f t="shared" si="9"/>
        <v/>
      </c>
      <c r="C59" t="e">
        <f t="shared" si="10"/>
        <v>#VALUE!</v>
      </c>
      <c r="D59" s="3" t="str">
        <f t="shared" si="11"/>
        <v/>
      </c>
      <c r="E59" s="3" t="str">
        <f t="shared" si="3"/>
        <v/>
      </c>
      <c r="F59" s="3" t="str" cm="1">
        <f t="array" ref="F59">INDEX(L:L, MATCH(TRUE, ISNUMBER(SEARCH(E59, K:K)), 0))</f>
        <v>Cedula</v>
      </c>
      <c r="G59" s="3" t="str">
        <f t="shared" si="4"/>
        <v>_Cedula</v>
      </c>
      <c r="H59" s="3" t="str">
        <f>IF(COUNTIF($G$2:G59,G59)=1, "",
  IF(COUNTIF($G$2:G59,G59)=2, "c",
    "c" &amp; (COUNTIF($G$2:G59,G59)-2)))</f>
        <v>c22</v>
      </c>
      <c r="I59" s="3" t="str">
        <f t="shared" si="5"/>
        <v>Cedula_5</v>
      </c>
      <c r="J59" s="3" t="str">
        <f>IF(COUNTIF($I$2:I59,I59)=1, "",
  IF(COUNTIF($I$2:I59,I59)=2, "c",
    "c" &amp; (COUNTIF($I$2:I59,I59)-2)))</f>
        <v>c22</v>
      </c>
      <c r="K59" s="11"/>
      <c r="L59" s="11"/>
      <c r="M59" s="4" t="str">
        <f t="shared" si="6"/>
        <v>_Cedula\Cedula_5.pdf</v>
      </c>
    </row>
    <row r="60" spans="1:13" x14ac:dyDescent="0.25">
      <c r="A60" s="4"/>
      <c r="B60" t="str">
        <f t="shared" si="9"/>
        <v/>
      </c>
      <c r="C60" t="e">
        <f t="shared" si="10"/>
        <v>#VALUE!</v>
      </c>
      <c r="D60" s="3" t="str">
        <f t="shared" si="11"/>
        <v/>
      </c>
      <c r="E60" s="3" t="str">
        <f t="shared" si="3"/>
        <v/>
      </c>
      <c r="F60" s="3" t="str" cm="1">
        <f t="array" ref="F60">INDEX(L:L, MATCH(TRUE, ISNUMBER(SEARCH(E60, K:K)), 0))</f>
        <v>Cedula</v>
      </c>
      <c r="G60" s="3" t="str">
        <f t="shared" si="4"/>
        <v>_Cedula</v>
      </c>
      <c r="H60" s="3" t="str">
        <f>IF(COUNTIF($G$2:G60,G60)=1, "",
  IF(COUNTIF($G$2:G60,G60)=2, "c",
    "c" &amp; (COUNTIF($G$2:G60,G60)-2)))</f>
        <v>c23</v>
      </c>
      <c r="I60" s="3" t="str">
        <f t="shared" si="5"/>
        <v>Cedula_5</v>
      </c>
      <c r="J60" s="3" t="str">
        <f>IF(COUNTIF($I$2:I60,I60)=1, "",
  IF(COUNTIF($I$2:I60,I60)=2, "c",
    "c" &amp; (COUNTIF($I$2:I60,I60)-2)))</f>
        <v>c23</v>
      </c>
      <c r="K60" s="11"/>
      <c r="L60" s="11"/>
      <c r="M60" s="4" t="str">
        <f t="shared" si="6"/>
        <v>_Cedula\Cedula_5.pdf</v>
      </c>
    </row>
    <row r="61" spans="1:13" x14ac:dyDescent="0.25">
      <c r="A61" s="4"/>
      <c r="B61" t="str">
        <f t="shared" si="9"/>
        <v/>
      </c>
      <c r="C61" t="e">
        <f t="shared" si="10"/>
        <v>#VALUE!</v>
      </c>
      <c r="D61" s="3" t="str">
        <f t="shared" si="11"/>
        <v/>
      </c>
      <c r="E61" s="3" t="str">
        <f t="shared" si="3"/>
        <v/>
      </c>
      <c r="F61" s="3" t="str" cm="1">
        <f t="array" ref="F61">INDEX(L:L, MATCH(TRUE, ISNUMBER(SEARCH(E61, K:K)), 0))</f>
        <v>Cedula</v>
      </c>
      <c r="G61" s="3" t="str">
        <f t="shared" si="4"/>
        <v>_Cedula</v>
      </c>
      <c r="H61" s="3" t="str">
        <f>IF(COUNTIF($G$2:G61,G61)=1, "",
  IF(COUNTIF($G$2:G61,G61)=2, "c",
    "c" &amp; (COUNTIF($G$2:G61,G61)-2)))</f>
        <v>c24</v>
      </c>
      <c r="I61" s="3" t="str">
        <f t="shared" si="5"/>
        <v>Cedula_5</v>
      </c>
      <c r="J61" s="3" t="str">
        <f>IF(COUNTIF($I$2:I61,I61)=1, "",
  IF(COUNTIF($I$2:I61,I61)=2, "c",
    "c" &amp; (COUNTIF($I$2:I61,I61)-2)))</f>
        <v>c24</v>
      </c>
      <c r="K61" s="11"/>
      <c r="L61" s="11"/>
      <c r="M61" s="4" t="str">
        <f t="shared" si="6"/>
        <v>_Cedula\Cedula_5.pdf</v>
      </c>
    </row>
    <row r="62" spans="1:13" x14ac:dyDescent="0.25">
      <c r="A62" s="4"/>
      <c r="B62" t="str">
        <f t="shared" si="9"/>
        <v/>
      </c>
      <c r="C62" t="e">
        <f t="shared" si="10"/>
        <v>#VALUE!</v>
      </c>
      <c r="D62" s="3" t="str">
        <f t="shared" si="11"/>
        <v/>
      </c>
      <c r="E62" s="3" t="str">
        <f t="shared" si="3"/>
        <v/>
      </c>
      <c r="F62" s="3" t="str" cm="1">
        <f t="array" ref="F62">INDEX(L:L, MATCH(TRUE, ISNUMBER(SEARCH(E62, K:K)), 0))</f>
        <v>Cedula</v>
      </c>
      <c r="G62" s="3" t="str">
        <f t="shared" si="4"/>
        <v>_Cedula</v>
      </c>
      <c r="H62" s="3" t="str">
        <f>IF(COUNTIF($G$2:G62,G62)=1, "",
  IF(COUNTIF($G$2:G62,G62)=2, "c",
    "c" &amp; (COUNTIF($G$2:G62,G62)-2)))</f>
        <v>c25</v>
      </c>
      <c r="I62" s="3" t="str">
        <f t="shared" si="5"/>
        <v>Cedula_5</v>
      </c>
      <c r="J62" s="3" t="str">
        <f>IF(COUNTIF($I$2:I62,I62)=1, "",
  IF(COUNTIF($I$2:I62,I62)=2, "c",
    "c" &amp; (COUNTIF($I$2:I62,I62)-2)))</f>
        <v>c25</v>
      </c>
      <c r="K62" s="11"/>
      <c r="L62" s="11"/>
      <c r="M62" s="4" t="str">
        <f t="shared" si="6"/>
        <v>_Cedula\Cedula_5.pdf</v>
      </c>
    </row>
    <row r="63" spans="1:13" x14ac:dyDescent="0.25">
      <c r="A63" s="4"/>
      <c r="B63" t="str">
        <f t="shared" si="9"/>
        <v/>
      </c>
      <c r="C63" t="e">
        <f t="shared" si="10"/>
        <v>#VALUE!</v>
      </c>
      <c r="D63" s="3" t="str">
        <f t="shared" si="11"/>
        <v/>
      </c>
      <c r="E63" s="3" t="str">
        <f t="shared" si="3"/>
        <v/>
      </c>
      <c r="F63" s="3" t="str" cm="1">
        <f t="array" ref="F63">INDEX(L:L, MATCH(TRUE, ISNUMBER(SEARCH(E63, K:K)), 0))</f>
        <v>Cedula</v>
      </c>
      <c r="G63" s="3" t="str">
        <f t="shared" si="4"/>
        <v>_Cedula</v>
      </c>
      <c r="H63" s="3" t="str">
        <f>IF(COUNTIF($G$2:G63,G63)=1, "",
  IF(COUNTIF($G$2:G63,G63)=2, "c",
    "c" &amp; (COUNTIF($G$2:G63,G63)-2)))</f>
        <v>c26</v>
      </c>
      <c r="I63" s="3" t="str">
        <f t="shared" si="5"/>
        <v>Cedula_5</v>
      </c>
      <c r="J63" s="3" t="str">
        <f>IF(COUNTIF($I$2:I63,I63)=1, "",
  IF(COUNTIF($I$2:I63,I63)=2, "c",
    "c" &amp; (COUNTIF($I$2:I63,I63)-2)))</f>
        <v>c26</v>
      </c>
      <c r="K63" s="11"/>
      <c r="L63" s="11"/>
      <c r="M63" s="4" t="str">
        <f t="shared" si="6"/>
        <v>_Cedula\Cedula_5.pdf</v>
      </c>
    </row>
    <row r="64" spans="1:13" x14ac:dyDescent="0.25">
      <c r="A64" s="4"/>
      <c r="B64" t="str">
        <f t="shared" si="9"/>
        <v/>
      </c>
      <c r="C64" t="e">
        <f t="shared" si="10"/>
        <v>#VALUE!</v>
      </c>
      <c r="D64" s="3" t="str">
        <f t="shared" si="11"/>
        <v/>
      </c>
      <c r="E64" s="3" t="str">
        <f t="shared" si="3"/>
        <v/>
      </c>
      <c r="F64" s="3" t="str" cm="1">
        <f t="array" ref="F64">INDEX(L:L, MATCH(TRUE, ISNUMBER(SEARCH(E64, K:K)), 0))</f>
        <v>Cedula</v>
      </c>
      <c r="G64" s="3" t="str">
        <f t="shared" si="4"/>
        <v>_Cedula</v>
      </c>
      <c r="H64" s="3" t="str">
        <f>IF(COUNTIF($G$2:G64,G64)=1, "",
  IF(COUNTIF($G$2:G64,G64)=2, "c",
    "c" &amp; (COUNTIF($G$2:G64,G64)-2)))</f>
        <v>c27</v>
      </c>
      <c r="I64" s="3" t="str">
        <f t="shared" si="5"/>
        <v>Cedula_5</v>
      </c>
      <c r="J64" s="3" t="str">
        <f>IF(COUNTIF($I$2:I64,I64)=1, "",
  IF(COUNTIF($I$2:I64,I64)=2, "c",
    "c" &amp; (COUNTIF($I$2:I64,I64)-2)))</f>
        <v>c27</v>
      </c>
      <c r="K64" s="11"/>
      <c r="L64" s="11"/>
      <c r="M64" s="4" t="str">
        <f t="shared" si="6"/>
        <v>_Cedula\Cedula_5.pdf</v>
      </c>
    </row>
    <row r="65" spans="1:13" x14ac:dyDescent="0.25">
      <c r="A65" s="4"/>
      <c r="B65" t="str">
        <f t="shared" si="9"/>
        <v/>
      </c>
      <c r="C65" t="e">
        <f t="shared" si="10"/>
        <v>#VALUE!</v>
      </c>
      <c r="D65" s="3" t="str">
        <f t="shared" si="11"/>
        <v/>
      </c>
      <c r="E65" s="3" t="str">
        <f t="shared" si="3"/>
        <v/>
      </c>
      <c r="F65" s="3" t="str" cm="1">
        <f t="array" ref="F65">INDEX(L:L, MATCH(TRUE, ISNUMBER(SEARCH(E65, K:K)), 0))</f>
        <v>Cedula</v>
      </c>
      <c r="G65" s="3" t="str">
        <f t="shared" si="4"/>
        <v>_Cedula</v>
      </c>
      <c r="H65" s="3" t="str">
        <f>IF(COUNTIF($G$2:G65,G65)=1, "",
  IF(COUNTIF($G$2:G65,G65)=2, "c",
    "c" &amp; (COUNTIF($G$2:G65,G65)-2)))</f>
        <v>c28</v>
      </c>
      <c r="I65" s="3" t="str">
        <f t="shared" si="5"/>
        <v>Cedula_5</v>
      </c>
      <c r="J65" s="3" t="str">
        <f>IF(COUNTIF($I$2:I65,I65)=1, "",
  IF(COUNTIF($I$2:I65,I65)=2, "c",
    "c" &amp; (COUNTIF($I$2:I65,I65)-2)))</f>
        <v>c28</v>
      </c>
      <c r="K65" s="11"/>
      <c r="L65" s="11"/>
      <c r="M65" s="4" t="str">
        <f t="shared" si="6"/>
        <v>_Cedula\Cedula_5.pdf</v>
      </c>
    </row>
    <row r="66" spans="1:13" x14ac:dyDescent="0.25">
      <c r="A66" s="4"/>
      <c r="B66" t="str">
        <f t="shared" si="9"/>
        <v/>
      </c>
      <c r="C66" t="e">
        <f t="shared" si="10"/>
        <v>#VALUE!</v>
      </c>
      <c r="D66" s="3" t="str">
        <f t="shared" si="11"/>
        <v/>
      </c>
      <c r="E66" s="3" t="str">
        <f t="shared" si="3"/>
        <v/>
      </c>
      <c r="F66" s="3" t="str" cm="1">
        <f t="array" ref="F66">INDEX(L:L, MATCH(TRUE, ISNUMBER(SEARCH(E66, K:K)), 0))</f>
        <v>Cedula</v>
      </c>
      <c r="G66" s="3" t="str">
        <f t="shared" si="4"/>
        <v>_Cedula</v>
      </c>
      <c r="H66" s="3" t="str">
        <f>IF(COUNTIF($G$2:G66,G66)=1, "",
  IF(COUNTIF($G$2:G66,G66)=2, "c",
    "c" &amp; (COUNTIF($G$2:G66,G66)-2)))</f>
        <v>c29</v>
      </c>
      <c r="I66" s="3" t="str">
        <f t="shared" si="5"/>
        <v>Cedula_5</v>
      </c>
      <c r="J66" s="3" t="str">
        <f>IF(COUNTIF($I$2:I66,I66)=1, "",
  IF(COUNTIF($I$2:I66,I66)=2, "c",
    "c" &amp; (COUNTIF($I$2:I66,I66)-2)))</f>
        <v>c29</v>
      </c>
      <c r="K66" s="11"/>
      <c r="L66" s="11"/>
      <c r="M66" s="4" t="str">
        <f t="shared" si="6"/>
        <v>_Cedula\Cedula_5.pdf</v>
      </c>
    </row>
    <row r="67" spans="1:13" x14ac:dyDescent="0.25">
      <c r="A67" s="4"/>
      <c r="B67" t="str">
        <f t="shared" si="9"/>
        <v/>
      </c>
      <c r="C67" t="e">
        <f t="shared" si="10"/>
        <v>#VALUE!</v>
      </c>
      <c r="D67" s="3" t="str">
        <f t="shared" si="11"/>
        <v/>
      </c>
      <c r="E67" s="3" t="str">
        <f t="shared" ref="E67:E77" si="12">SUBSTITUTE(SUBSTITUTE(SUBSTITUTE(D67,"ACTA No.","")," de 2026.pdf","")," ","")</f>
        <v/>
      </c>
      <c r="F67" s="3" t="str" cm="1">
        <f t="array" ref="F67">INDEX(L:L, MATCH(TRUE, ISNUMBER(SEARCH(E67, K:K)), 0))</f>
        <v>Cedula</v>
      </c>
      <c r="G67" s="3" t="str">
        <f t="shared" ref="G67:G77" si="13">E67&amp;"_"&amp;F67</f>
        <v>_Cedula</v>
      </c>
      <c r="H67" s="3" t="str">
        <f>IF(COUNTIF($G$2:G67,G67)=1, "",
  IF(COUNTIF($G$2:G67,G67)=2, "c",
    "c" &amp; (COUNTIF($G$2:G67,G67)-2)))</f>
        <v>c30</v>
      </c>
      <c r="I67" s="3" t="str">
        <f t="shared" ref="I67:I77" si="14">F67&amp;"_5"</f>
        <v>Cedula_5</v>
      </c>
      <c r="J67" s="3" t="str">
        <f>IF(COUNTIF($I$2:I67,I67)=1, "",
  IF(COUNTIF($I$2:I67,I67)=2, "c",
    "c" &amp; (COUNTIF($I$2:I67,I67)-2)))</f>
        <v>c30</v>
      </c>
      <c r="K67" s="11"/>
      <c r="L67" s="11"/>
      <c r="M67" s="4" t="str">
        <f t="shared" ref="M67:M77" si="15">B67&amp;G67&amp;"\"&amp;I67&amp;".pdf"</f>
        <v>_Cedula\Cedula_5.pdf</v>
      </c>
    </row>
    <row r="68" spans="1:13" x14ac:dyDescent="0.25">
      <c r="A68" s="4"/>
      <c r="B68" t="str">
        <f t="shared" si="9"/>
        <v/>
      </c>
      <c r="C68" t="e">
        <f t="shared" si="10"/>
        <v>#VALUE!</v>
      </c>
      <c r="D68" s="3" t="str">
        <f t="shared" si="11"/>
        <v/>
      </c>
      <c r="E68" s="3" t="str">
        <f t="shared" si="12"/>
        <v/>
      </c>
      <c r="F68" s="3" t="str" cm="1">
        <f t="array" ref="F68">INDEX(L:L, MATCH(TRUE, ISNUMBER(SEARCH(E68, K:K)), 0))</f>
        <v>Cedula</v>
      </c>
      <c r="G68" s="3" t="str">
        <f t="shared" si="13"/>
        <v>_Cedula</v>
      </c>
      <c r="H68" s="3" t="str">
        <f>IF(COUNTIF($G$2:G68,G68)=1, "",
  IF(COUNTIF($G$2:G68,G68)=2, "c",
    "c" &amp; (COUNTIF($G$2:G68,G68)-2)))</f>
        <v>c31</v>
      </c>
      <c r="I68" s="3" t="str">
        <f t="shared" si="14"/>
        <v>Cedula_5</v>
      </c>
      <c r="J68" s="3" t="str">
        <f>IF(COUNTIF($I$2:I68,I68)=1, "",
  IF(COUNTIF($I$2:I68,I68)=2, "c",
    "c" &amp; (COUNTIF($I$2:I68,I68)-2)))</f>
        <v>c31</v>
      </c>
      <c r="K68" s="11"/>
      <c r="L68" s="11"/>
      <c r="M68" s="4" t="str">
        <f t="shared" si="15"/>
        <v>_Cedula\Cedula_5.pdf</v>
      </c>
    </row>
    <row r="69" spans="1:13" x14ac:dyDescent="0.25">
      <c r="A69" s="4"/>
      <c r="B69" t="str">
        <f t="shared" si="9"/>
        <v/>
      </c>
      <c r="C69" t="e">
        <f t="shared" si="10"/>
        <v>#VALUE!</v>
      </c>
      <c r="D69" s="3" t="str">
        <f t="shared" si="11"/>
        <v/>
      </c>
      <c r="E69" s="3" t="str">
        <f t="shared" si="12"/>
        <v/>
      </c>
      <c r="F69" s="3" t="str" cm="1">
        <f t="array" ref="F69">INDEX(L:L, MATCH(TRUE, ISNUMBER(SEARCH(E69, K:K)), 0))</f>
        <v>Cedula</v>
      </c>
      <c r="G69" s="3" t="str">
        <f t="shared" si="13"/>
        <v>_Cedula</v>
      </c>
      <c r="H69" s="3" t="str">
        <f>IF(COUNTIF($G$2:G69,G69)=1, "",
  IF(COUNTIF($G$2:G69,G69)=2, "c",
    "c" &amp; (COUNTIF($G$2:G69,G69)-2)))</f>
        <v>c32</v>
      </c>
      <c r="I69" s="3" t="str">
        <f t="shared" si="14"/>
        <v>Cedula_5</v>
      </c>
      <c r="J69" s="3" t="str">
        <f>IF(COUNTIF($I$2:I69,I69)=1, "",
  IF(COUNTIF($I$2:I69,I69)=2, "c",
    "c" &amp; (COUNTIF($I$2:I69,I69)-2)))</f>
        <v>c32</v>
      </c>
      <c r="K69" s="11"/>
      <c r="L69" s="11"/>
      <c r="M69" s="4" t="str">
        <f t="shared" si="15"/>
        <v>_Cedula\Cedula_5.pdf</v>
      </c>
    </row>
    <row r="70" spans="1:13" x14ac:dyDescent="0.25">
      <c r="A70" s="4"/>
      <c r="B70" t="str">
        <f t="shared" si="9"/>
        <v/>
      </c>
      <c r="C70" t="e">
        <f t="shared" si="10"/>
        <v>#VALUE!</v>
      </c>
      <c r="D70" s="3" t="str">
        <f t="shared" si="11"/>
        <v/>
      </c>
      <c r="E70" s="3" t="str">
        <f t="shared" si="12"/>
        <v/>
      </c>
      <c r="F70" s="3" t="str" cm="1">
        <f t="array" ref="F70">INDEX(L:L, MATCH(TRUE, ISNUMBER(SEARCH(E70, K:K)), 0))</f>
        <v>Cedula</v>
      </c>
      <c r="G70" s="3" t="str">
        <f t="shared" si="13"/>
        <v>_Cedula</v>
      </c>
      <c r="H70" s="3" t="str">
        <f>IF(COUNTIF($G$2:G70,G70)=1, "",
  IF(COUNTIF($G$2:G70,G70)=2, "c",
    "c" &amp; (COUNTIF($G$2:G70,G70)-2)))</f>
        <v>c33</v>
      </c>
      <c r="I70" s="3" t="str">
        <f t="shared" si="14"/>
        <v>Cedula_5</v>
      </c>
      <c r="J70" s="3" t="str">
        <f>IF(COUNTIF($I$2:I70,I70)=1, "",
  IF(COUNTIF($I$2:I70,I70)=2, "c",
    "c" &amp; (COUNTIF($I$2:I70,I70)-2)))</f>
        <v>c33</v>
      </c>
      <c r="K70" s="11"/>
      <c r="L70" s="11"/>
      <c r="M70" s="4" t="str">
        <f t="shared" si="15"/>
        <v>_Cedula\Cedula_5.pdf</v>
      </c>
    </row>
    <row r="71" spans="1:13" x14ac:dyDescent="0.25">
      <c r="A71" s="4"/>
      <c r="B71" t="str">
        <f t="shared" si="9"/>
        <v/>
      </c>
      <c r="C71" t="e">
        <f t="shared" si="10"/>
        <v>#VALUE!</v>
      </c>
      <c r="D71" s="3" t="str">
        <f t="shared" si="11"/>
        <v/>
      </c>
      <c r="E71" s="3" t="str">
        <f t="shared" si="12"/>
        <v/>
      </c>
      <c r="F71" s="3" t="str" cm="1">
        <f t="array" ref="F71">INDEX(L:L, MATCH(TRUE, ISNUMBER(SEARCH(E71, K:K)), 0))</f>
        <v>Cedula</v>
      </c>
      <c r="G71" s="3" t="str">
        <f t="shared" si="13"/>
        <v>_Cedula</v>
      </c>
      <c r="H71" s="3" t="str">
        <f>IF(COUNTIF($G$2:G71,G71)=1, "",
  IF(COUNTIF($G$2:G71,G71)=2, "c",
    "c" &amp; (COUNTIF($G$2:G71,G71)-2)))</f>
        <v>c34</v>
      </c>
      <c r="I71" s="3" t="str">
        <f t="shared" si="14"/>
        <v>Cedula_5</v>
      </c>
      <c r="J71" s="3" t="str">
        <f>IF(COUNTIF($I$2:I71,I71)=1, "",
  IF(COUNTIF($I$2:I71,I71)=2, "c",
    "c" &amp; (COUNTIF($I$2:I71,I71)-2)))</f>
        <v>c34</v>
      </c>
      <c r="K71" s="11"/>
      <c r="L71" s="11"/>
      <c r="M71" s="4" t="str">
        <f t="shared" si="15"/>
        <v>_Cedula\Cedula_5.pdf</v>
      </c>
    </row>
    <row r="72" spans="1:13" x14ac:dyDescent="0.25">
      <c r="A72" s="4"/>
      <c r="B72" t="str">
        <f t="shared" si="9"/>
        <v/>
      </c>
      <c r="C72" t="e">
        <f t="shared" si="10"/>
        <v>#VALUE!</v>
      </c>
      <c r="D72" s="3" t="str">
        <f t="shared" si="11"/>
        <v/>
      </c>
      <c r="E72" s="3" t="str">
        <f t="shared" si="12"/>
        <v/>
      </c>
      <c r="F72" s="3" t="str" cm="1">
        <f t="array" ref="F72">INDEX(L:L, MATCH(TRUE, ISNUMBER(SEARCH(E72, K:K)), 0))</f>
        <v>Cedula</v>
      </c>
      <c r="G72" s="3" t="str">
        <f t="shared" si="13"/>
        <v>_Cedula</v>
      </c>
      <c r="H72" s="3" t="str">
        <f>IF(COUNTIF($G$2:G72,G72)=1, "",
  IF(COUNTIF($G$2:G72,G72)=2, "c",
    "c" &amp; (COUNTIF($G$2:G72,G72)-2)))</f>
        <v>c35</v>
      </c>
      <c r="I72" s="3" t="str">
        <f t="shared" si="14"/>
        <v>Cedula_5</v>
      </c>
      <c r="J72" s="3" t="str">
        <f>IF(COUNTIF($I$2:I72,I72)=1, "",
  IF(COUNTIF($I$2:I72,I72)=2, "c",
    "c" &amp; (COUNTIF($I$2:I72,I72)-2)))</f>
        <v>c35</v>
      </c>
      <c r="K72" s="11"/>
      <c r="L72" s="11"/>
      <c r="M72" s="4" t="str">
        <f t="shared" si="15"/>
        <v>_Cedula\Cedula_5.pdf</v>
      </c>
    </row>
    <row r="73" spans="1:13" x14ac:dyDescent="0.25">
      <c r="A73" s="4"/>
      <c r="B73" t="str">
        <f t="shared" si="9"/>
        <v/>
      </c>
      <c r="C73" t="e">
        <f t="shared" si="10"/>
        <v>#VALUE!</v>
      </c>
      <c r="D73" s="3" t="str">
        <f t="shared" si="11"/>
        <v/>
      </c>
      <c r="E73" s="3" t="str">
        <f t="shared" si="12"/>
        <v/>
      </c>
      <c r="F73" s="3" t="str" cm="1">
        <f t="array" ref="F73">INDEX(L:L, MATCH(TRUE, ISNUMBER(SEARCH(E73, K:K)), 0))</f>
        <v>Cedula</v>
      </c>
      <c r="G73" s="3" t="str">
        <f t="shared" si="13"/>
        <v>_Cedula</v>
      </c>
      <c r="H73" s="3" t="str">
        <f>IF(COUNTIF($G$2:G73,G73)=1, "",
  IF(COUNTIF($G$2:G73,G73)=2, "c",
    "c" &amp; (COUNTIF($G$2:G73,G73)-2)))</f>
        <v>c36</v>
      </c>
      <c r="I73" s="3" t="str">
        <f t="shared" si="14"/>
        <v>Cedula_5</v>
      </c>
      <c r="J73" s="3" t="str">
        <f>IF(COUNTIF($I$2:I73,I73)=1, "",
  IF(COUNTIF($I$2:I73,I73)=2, "c",
    "c" &amp; (COUNTIF($I$2:I73,I73)-2)))</f>
        <v>c36</v>
      </c>
      <c r="K73" s="11"/>
      <c r="L73" s="11"/>
      <c r="M73" s="4" t="str">
        <f t="shared" si="15"/>
        <v>_Cedula\Cedula_5.pdf</v>
      </c>
    </row>
    <row r="74" spans="1:13" x14ac:dyDescent="0.25">
      <c r="A74" s="4"/>
      <c r="B74" t="str">
        <f t="shared" si="9"/>
        <v/>
      </c>
      <c r="C74" t="e">
        <f t="shared" si="10"/>
        <v>#VALUE!</v>
      </c>
      <c r="D74" s="3" t="str">
        <f t="shared" si="11"/>
        <v/>
      </c>
      <c r="E74" s="3" t="str">
        <f t="shared" si="12"/>
        <v/>
      </c>
      <c r="F74" s="3" t="str" cm="1">
        <f t="array" ref="F74">INDEX(L:L, MATCH(TRUE, ISNUMBER(SEARCH(E74, K:K)), 0))</f>
        <v>Cedula</v>
      </c>
      <c r="G74" s="3" t="str">
        <f t="shared" si="13"/>
        <v>_Cedula</v>
      </c>
      <c r="H74" s="3" t="str">
        <f>IF(COUNTIF($G$2:G74,G74)=1, "",
  IF(COUNTIF($G$2:G74,G74)=2, "c",
    "c" &amp; (COUNTIF($G$2:G74,G74)-2)))</f>
        <v>c37</v>
      </c>
      <c r="I74" s="3" t="str">
        <f t="shared" si="14"/>
        <v>Cedula_5</v>
      </c>
      <c r="J74" s="3" t="str">
        <f>IF(COUNTIF($I$2:I74,I74)=1, "",
  IF(COUNTIF($I$2:I74,I74)=2, "c",
    "c" &amp; (COUNTIF($I$2:I74,I74)-2)))</f>
        <v>c37</v>
      </c>
      <c r="K74" s="11"/>
      <c r="L74" s="11"/>
      <c r="M74" s="4" t="str">
        <f t="shared" si="15"/>
        <v>_Cedula\Cedula_5.pdf</v>
      </c>
    </row>
    <row r="75" spans="1:13" x14ac:dyDescent="0.25">
      <c r="A75" s="4"/>
      <c r="B75" t="str">
        <f t="shared" si="9"/>
        <v/>
      </c>
      <c r="C75" t="e">
        <f t="shared" si="10"/>
        <v>#VALUE!</v>
      </c>
      <c r="D75" s="3" t="str">
        <f t="shared" si="11"/>
        <v/>
      </c>
      <c r="E75" s="3" t="str">
        <f t="shared" si="12"/>
        <v/>
      </c>
      <c r="F75" s="3" t="str" cm="1">
        <f t="array" ref="F75">INDEX(L:L, MATCH(TRUE, ISNUMBER(SEARCH(E75, K:K)), 0))</f>
        <v>Cedula</v>
      </c>
      <c r="G75" s="3" t="str">
        <f t="shared" si="13"/>
        <v>_Cedula</v>
      </c>
      <c r="H75" s="3" t="str">
        <f>IF(COUNTIF($G$2:G75,G75)=1, "",
  IF(COUNTIF($G$2:G75,G75)=2, "c",
    "c" &amp; (COUNTIF($G$2:G75,G75)-2)))</f>
        <v>c38</v>
      </c>
      <c r="I75" s="3" t="str">
        <f t="shared" si="14"/>
        <v>Cedula_5</v>
      </c>
      <c r="J75" s="3" t="str">
        <f>IF(COUNTIF($I$2:I75,I75)=1, "",
  IF(COUNTIF($I$2:I75,I75)=2, "c",
    "c" &amp; (COUNTIF($I$2:I75,I75)-2)))</f>
        <v>c38</v>
      </c>
      <c r="K75" s="11"/>
      <c r="L75" s="11"/>
      <c r="M75" s="4" t="str">
        <f t="shared" si="15"/>
        <v>_Cedula\Cedula_5.pdf</v>
      </c>
    </row>
    <row r="76" spans="1:13" x14ac:dyDescent="0.25">
      <c r="A76" s="4"/>
      <c r="B76" t="str">
        <f t="shared" si="9"/>
        <v/>
      </c>
      <c r="C76" t="e">
        <f t="shared" si="10"/>
        <v>#VALUE!</v>
      </c>
      <c r="D76" s="3" t="str">
        <f t="shared" si="11"/>
        <v/>
      </c>
      <c r="E76" s="3" t="str">
        <f t="shared" si="12"/>
        <v/>
      </c>
      <c r="F76" s="3" t="str" cm="1">
        <f t="array" ref="F76">INDEX(L:L, MATCH(TRUE, ISNUMBER(SEARCH(E76, K:K)), 0))</f>
        <v>Cedula</v>
      </c>
      <c r="G76" s="3" t="str">
        <f t="shared" si="13"/>
        <v>_Cedula</v>
      </c>
      <c r="H76" s="3" t="str">
        <f>IF(COUNTIF($G$2:G76,G76)=1, "",
  IF(COUNTIF($G$2:G76,G76)=2, "c",
    "c" &amp; (COUNTIF($G$2:G76,G76)-2)))</f>
        <v>c39</v>
      </c>
      <c r="I76" s="3" t="str">
        <f t="shared" si="14"/>
        <v>Cedula_5</v>
      </c>
      <c r="J76" s="3" t="str">
        <f>IF(COUNTIF($I$2:I76,I76)=1, "",
  IF(COUNTIF($I$2:I76,I76)=2, "c",
    "c" &amp; (COUNTIF($I$2:I76,I76)-2)))</f>
        <v>c39</v>
      </c>
      <c r="K76" s="11"/>
      <c r="L76" s="11"/>
      <c r="M76" s="4" t="str">
        <f t="shared" si="15"/>
        <v>_Cedula\Cedula_5.pdf</v>
      </c>
    </row>
    <row r="77" spans="1:13" x14ac:dyDescent="0.25">
      <c r="A77" s="4"/>
      <c r="B77" t="str">
        <f t="shared" si="9"/>
        <v/>
      </c>
      <c r="C77" t="e">
        <f t="shared" si="10"/>
        <v>#VALUE!</v>
      </c>
      <c r="D77" s="3" t="str">
        <f t="shared" si="11"/>
        <v/>
      </c>
      <c r="E77" s="3" t="str">
        <f t="shared" si="12"/>
        <v/>
      </c>
      <c r="F77" s="3" t="str" cm="1">
        <f t="array" ref="F77">INDEX(L:L, MATCH(TRUE, ISNUMBER(SEARCH(E77, K:K)), 0))</f>
        <v>Cedula</v>
      </c>
      <c r="G77" s="3" t="str">
        <f t="shared" si="13"/>
        <v>_Cedula</v>
      </c>
      <c r="H77" s="3" t="str">
        <f>IF(COUNTIF($G$2:G77,G77)=1, "",
  IF(COUNTIF($G$2:G77,G77)=2, "c",
    "c" &amp; (COUNTIF($G$2:G77,G77)-2)))</f>
        <v>c40</v>
      </c>
      <c r="I77" s="3" t="str">
        <f t="shared" si="14"/>
        <v>Cedula_5</v>
      </c>
      <c r="J77" s="3" t="str">
        <f>IF(COUNTIF($I$2:I77,I77)=1, "",
  IF(COUNTIF($I$2:I77,I77)=2, "c",
    "c" &amp; (COUNTIF($I$2:I77,I77)-2)))</f>
        <v>c40</v>
      </c>
      <c r="K77" s="11"/>
      <c r="L77" s="11"/>
      <c r="M77" s="4" t="str">
        <f t="shared" si="15"/>
        <v>_Cedula\Cedula_5.pdf</v>
      </c>
    </row>
    <row r="78" spans="1:13" x14ac:dyDescent="0.25">
      <c r="A78" s="4"/>
      <c r="D78" s="3"/>
      <c r="E78" s="3"/>
      <c r="F78" s="3"/>
      <c r="G78" s="3"/>
      <c r="H78" s="3"/>
      <c r="I78" s="3"/>
      <c r="J78" s="3"/>
      <c r="K78" s="11"/>
      <c r="L78" s="11"/>
      <c r="M78" s="4"/>
    </row>
    <row r="79" spans="1:13" x14ac:dyDescent="0.25">
      <c r="A79" s="4"/>
      <c r="D79" s="3"/>
      <c r="E79" s="3"/>
      <c r="F79" s="3"/>
      <c r="G79" s="3"/>
      <c r="H79" s="3"/>
      <c r="I79" s="3"/>
      <c r="J79" s="3"/>
      <c r="K79" s="11"/>
      <c r="L79" s="11"/>
      <c r="M79" s="4"/>
    </row>
    <row r="80" spans="1:13" x14ac:dyDescent="0.25">
      <c r="A80" s="4"/>
      <c r="D80" s="3"/>
      <c r="E80" s="3"/>
      <c r="F80" s="3"/>
      <c r="G80" s="3"/>
      <c r="H80" s="3"/>
      <c r="I80" s="3"/>
      <c r="J80" s="3"/>
      <c r="K80" s="11"/>
      <c r="L80" s="11"/>
      <c r="M80" s="4"/>
    </row>
    <row r="81" spans="1:13" x14ac:dyDescent="0.25">
      <c r="A81" s="4"/>
      <c r="D81" s="3"/>
      <c r="E81" s="3"/>
      <c r="F81" s="3"/>
      <c r="G81" s="3"/>
      <c r="H81" s="3"/>
      <c r="I81" s="3"/>
      <c r="J81" s="3"/>
      <c r="K81" s="11"/>
      <c r="L81" s="11"/>
      <c r="M81" s="4"/>
    </row>
    <row r="82" spans="1:13" x14ac:dyDescent="0.25">
      <c r="A82" s="4"/>
      <c r="D82" s="3"/>
      <c r="E82" s="3"/>
      <c r="F82" s="3"/>
      <c r="G82" s="3"/>
      <c r="H82" s="3"/>
      <c r="I82" s="3"/>
      <c r="J82" s="3"/>
    </row>
  </sheetData>
  <phoneticPr fontId="3" type="noConversion"/>
  <conditionalFormatting sqref="G1:G1048576">
    <cfRule type="duplicateValues" dxfId="1" priority="4"/>
  </conditionalFormatting>
  <conditionalFormatting sqref="I1:I1048576 G1:G1048576">
    <cfRule type="duplicateValues" dxfId="0" priority="1"/>
  </conditionalFormatting>
  <pageMargins left="0.7" right="0.7" top="0.75" bottom="0.75" header="0.3" footer="0.3"/>
  <pageSetup orientation="portrait" horizontalDpi="4294967293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Macro</vt:lpstr>
      <vt:lpstr>Sacar_Rutas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Alexis Alejandro Reyes Camargo</dc:creator>
  <cp:keywords/>
  <dc:description/>
  <cp:lastModifiedBy>Nidia Yazmin Gonzalez Cristancho</cp:lastModifiedBy>
  <cp:revision/>
  <dcterms:created xsi:type="dcterms:W3CDTF">2024-08-16T19:44:19Z</dcterms:created>
  <dcterms:modified xsi:type="dcterms:W3CDTF">2026-06-23T20:10:48Z</dcterms:modified>
  <cp:category/>
  <cp:contentStatus/>
</cp:coreProperties>
</file>