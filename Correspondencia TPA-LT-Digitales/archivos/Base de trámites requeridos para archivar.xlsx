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reyesc\Downloads\Correspondeica exportar\6.archivos\"/>
    </mc:Choice>
  </mc:AlternateContent>
  <xr:revisionPtr revIDLastSave="0" documentId="13_ncr:1_{E539E284-72A9-4ABB-9F12-9164AB129F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se" sheetId="1" r:id="rId1"/>
    <sheet name="Base LT" sheetId="4" r:id="rId2"/>
    <sheet name="Resoluciones 1 (Res)" sheetId="2" r:id="rId3"/>
    <sheet name="Resoluciones 2 (Req)" sheetId="3" r:id="rId4"/>
  </sheets>
  <definedNames>
    <definedName name="_xlnm._FilterDatabase" localSheetId="3" hidden="1">'Resoluciones 2 (Req)'!$A$1:$E$3971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2" i="1" l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AB16" i="1" s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AB32" i="1" s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AB65" i="1" s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AB80" i="1" s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AB112" i="1" s="1"/>
  <c r="Z113" i="1"/>
  <c r="AB113" i="1" s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AB144" i="1" s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AB161" i="1" s="1"/>
  <c r="Z162" i="1"/>
  <c r="Z163" i="1"/>
  <c r="AB163" i="1" s="1"/>
  <c r="Z164" i="1"/>
  <c r="Z165" i="1"/>
  <c r="Z166" i="1"/>
  <c r="Z167" i="1"/>
  <c r="Z168" i="1"/>
  <c r="Z169" i="1"/>
  <c r="Z170" i="1"/>
  <c r="AB170" i="1" s="1"/>
  <c r="Z171" i="1"/>
  <c r="Z172" i="1"/>
  <c r="Z173" i="1"/>
  <c r="Z174" i="1"/>
  <c r="Z175" i="1"/>
  <c r="Z176" i="1"/>
  <c r="Z177" i="1"/>
  <c r="Z178" i="1"/>
  <c r="Z179" i="1"/>
  <c r="AB179" i="1" s="1"/>
  <c r="Z180" i="1"/>
  <c r="Z181" i="1"/>
  <c r="Z182" i="1"/>
  <c r="Z183" i="1"/>
  <c r="Z184" i="1"/>
  <c r="Z185" i="1"/>
  <c r="Z186" i="1"/>
  <c r="AB186" i="1" s="1"/>
  <c r="Z187" i="1"/>
  <c r="Z188" i="1"/>
  <c r="Z189" i="1"/>
  <c r="Z190" i="1"/>
  <c r="Z191" i="1"/>
  <c r="Z192" i="1"/>
  <c r="AB192" i="1" s="1"/>
  <c r="Z193" i="1"/>
  <c r="Z194" i="1"/>
  <c r="Z195" i="1"/>
  <c r="AB195" i="1" s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AB208" i="1" s="1"/>
  <c r="Z209" i="1"/>
  <c r="AB209" i="1" s="1"/>
  <c r="Z210" i="1"/>
  <c r="Z211" i="1"/>
  <c r="Z212" i="1"/>
  <c r="Z213" i="1"/>
  <c r="AB213" i="1" s="1"/>
  <c r="Z214" i="1"/>
  <c r="Z215" i="1"/>
  <c r="Z216" i="1"/>
  <c r="Z217" i="1"/>
  <c r="Z218" i="1"/>
  <c r="Z219" i="1"/>
  <c r="Z220" i="1"/>
  <c r="Z221" i="1"/>
  <c r="Z222" i="1"/>
  <c r="Z223" i="1"/>
  <c r="Z224" i="1"/>
  <c r="AB224" i="1" s="1"/>
  <c r="Z225" i="1"/>
  <c r="Z226" i="1"/>
  <c r="Z227" i="1"/>
  <c r="AB227" i="1" s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AB240" i="1" s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AB309" i="1" s="1"/>
  <c r="Z310" i="1"/>
  <c r="Z311" i="1"/>
  <c r="Z312" i="1"/>
  <c r="Z313" i="1"/>
  <c r="Z314" i="1"/>
  <c r="Z315" i="1"/>
  <c r="Z316" i="1"/>
  <c r="Z317" i="1"/>
  <c r="Z318" i="1"/>
  <c r="Z319" i="1"/>
  <c r="Z320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E2048" i="3"/>
  <c r="E2060" i="3"/>
  <c r="E2232" i="3"/>
  <c r="E2260" i="3"/>
  <c r="E2272" i="3"/>
  <c r="E2321" i="3"/>
  <c r="E2410" i="3"/>
  <c r="E106" i="3"/>
  <c r="E1406" i="3"/>
  <c r="E2488" i="3"/>
  <c r="E3913" i="3"/>
  <c r="E3672" i="3"/>
  <c r="E3339" i="3"/>
  <c r="E3301" i="3"/>
  <c r="E3062" i="3"/>
  <c r="E2076" i="3"/>
  <c r="E1629" i="3"/>
  <c r="E1445" i="3"/>
  <c r="E500" i="3"/>
  <c r="E798" i="3"/>
  <c r="E3400" i="3"/>
  <c r="E2574" i="3"/>
  <c r="E38" i="3"/>
  <c r="E139" i="3"/>
  <c r="E872" i="3"/>
  <c r="E3796" i="3"/>
  <c r="E288" i="3"/>
  <c r="E1626" i="3"/>
  <c r="E2834" i="3"/>
  <c r="E1859" i="3"/>
  <c r="E2994" i="3"/>
  <c r="E2963" i="3"/>
  <c r="E3699" i="3"/>
  <c r="E1643" i="3"/>
  <c r="E1795" i="3"/>
  <c r="E3232" i="3"/>
  <c r="E825" i="3"/>
  <c r="E2356" i="3"/>
  <c r="E3869" i="3"/>
  <c r="E2054" i="3"/>
  <c r="E1147" i="3"/>
  <c r="E677" i="3"/>
  <c r="E2201" i="3"/>
  <c r="E1768" i="3"/>
  <c r="E2664" i="3"/>
  <c r="E1719" i="3"/>
  <c r="E3584" i="3"/>
  <c r="E2354" i="3"/>
  <c r="E3798" i="3"/>
  <c r="E2476" i="3"/>
  <c r="E2778" i="3"/>
  <c r="E1702" i="3"/>
  <c r="E2213" i="3"/>
  <c r="E1931" i="3"/>
  <c r="E3742" i="3"/>
  <c r="E1914" i="3"/>
  <c r="E2613" i="3"/>
  <c r="E1311" i="3"/>
  <c r="E2695" i="3"/>
  <c r="E3693" i="3"/>
  <c r="E3692" i="3"/>
  <c r="E726" i="3"/>
  <c r="E1696" i="3"/>
  <c r="E506" i="3"/>
  <c r="E1712" i="3"/>
  <c r="E477" i="3"/>
  <c r="E3069" i="3"/>
  <c r="E1896" i="3"/>
  <c r="E958" i="3"/>
  <c r="E758" i="3"/>
  <c r="E171" i="3"/>
  <c r="E2645" i="3"/>
  <c r="E1176" i="3"/>
  <c r="E3345" i="3"/>
  <c r="E433" i="3"/>
  <c r="E3759" i="3"/>
  <c r="E453" i="3"/>
  <c r="E2506" i="3"/>
  <c r="E3910" i="3"/>
  <c r="E1909" i="3"/>
  <c r="E600" i="3"/>
  <c r="E653" i="3"/>
  <c r="E2849" i="3"/>
  <c r="E3342" i="3"/>
  <c r="E303" i="3"/>
  <c r="E3314" i="3"/>
  <c r="E3270" i="3"/>
  <c r="E2399" i="3"/>
  <c r="E3180" i="3"/>
  <c r="E2427" i="3"/>
  <c r="E691" i="3"/>
  <c r="E1557" i="3"/>
  <c r="E3375" i="3"/>
  <c r="E3564" i="3"/>
  <c r="E2454" i="3"/>
  <c r="E499" i="3"/>
  <c r="E3091" i="3"/>
  <c r="E2596" i="3"/>
  <c r="E1576" i="3"/>
  <c r="E1773" i="3"/>
  <c r="E2487" i="3"/>
  <c r="E1248" i="3"/>
  <c r="E2280" i="3"/>
  <c r="E948" i="3"/>
  <c r="E1059" i="3"/>
  <c r="E3855" i="3"/>
  <c r="E2195" i="3"/>
  <c r="E741" i="3"/>
  <c r="E3720" i="3"/>
  <c r="E3289" i="3"/>
  <c r="E3587" i="3"/>
  <c r="E3852" i="3"/>
  <c r="E2533" i="3"/>
  <c r="E3109" i="3"/>
  <c r="E3046" i="3"/>
  <c r="E1142" i="3"/>
  <c r="E3117" i="3"/>
  <c r="E17" i="3"/>
  <c r="E3648" i="3"/>
  <c r="E93" i="3"/>
  <c r="E2144" i="3"/>
  <c r="E3486" i="3"/>
  <c r="E3392" i="3"/>
  <c r="E1797" i="3"/>
  <c r="E2128" i="3"/>
  <c r="E753" i="3"/>
  <c r="E2684" i="3"/>
  <c r="E2325" i="3"/>
  <c r="E3450" i="3"/>
  <c r="E2208" i="3"/>
  <c r="E3970" i="3"/>
  <c r="E2287" i="3"/>
  <c r="E3390" i="3"/>
  <c r="E1550" i="3"/>
  <c r="E1675" i="3"/>
  <c r="E1530" i="3"/>
  <c r="E1754" i="3"/>
  <c r="E178" i="3"/>
  <c r="E2814" i="3"/>
  <c r="E3239" i="3"/>
  <c r="E1154" i="3"/>
  <c r="E482" i="3"/>
  <c r="E3031" i="3"/>
  <c r="E3785" i="3"/>
  <c r="E2525" i="3"/>
  <c r="E141" i="3"/>
  <c r="E1028" i="3"/>
  <c r="E421" i="3"/>
  <c r="E1849" i="3"/>
  <c r="E878" i="3"/>
  <c r="E3115" i="3"/>
  <c r="E426" i="3"/>
  <c r="E1779" i="3"/>
  <c r="E2647" i="3"/>
  <c r="E3067" i="3"/>
  <c r="E1996" i="3"/>
  <c r="E3142" i="3"/>
  <c r="E2791" i="3"/>
  <c r="E2576" i="3"/>
  <c r="E1396" i="3"/>
  <c r="E1462" i="3"/>
  <c r="E2585" i="3"/>
  <c r="E590" i="3"/>
  <c r="E198" i="3"/>
  <c r="E2100" i="3"/>
  <c r="E2980" i="3"/>
  <c r="E3184" i="3"/>
  <c r="E1418" i="3"/>
  <c r="E770" i="3"/>
  <c r="E1226" i="3"/>
  <c r="E311" i="3"/>
  <c r="E3286" i="3"/>
  <c r="E996" i="3"/>
  <c r="E2523" i="3"/>
  <c r="E2583" i="3"/>
  <c r="E414" i="3"/>
  <c r="E3098" i="3"/>
  <c r="E739" i="3"/>
  <c r="E2517" i="3"/>
  <c r="E2955" i="3"/>
  <c r="E764" i="3"/>
  <c r="E2988" i="3"/>
  <c r="E363" i="3"/>
  <c r="E1222" i="3"/>
  <c r="E2111" i="3"/>
  <c r="E3387" i="3"/>
  <c r="E3061" i="3"/>
  <c r="E1548" i="3"/>
  <c r="E899" i="3"/>
  <c r="E1546" i="3"/>
  <c r="E1639" i="3"/>
  <c r="E3420" i="3"/>
  <c r="E2746" i="3"/>
  <c r="E3691" i="3"/>
  <c r="E1791" i="3"/>
  <c r="E2033" i="3"/>
  <c r="E1944" i="3"/>
  <c r="E2079" i="3"/>
  <c r="E1516" i="3"/>
  <c r="E2571" i="3"/>
  <c r="E3000" i="3"/>
  <c r="E1748" i="3"/>
  <c r="E567" i="3"/>
  <c r="E3399" i="3"/>
  <c r="E2534" i="3"/>
  <c r="E92" i="3"/>
  <c r="E2892" i="3"/>
  <c r="E3089" i="3"/>
  <c r="E3572" i="3"/>
  <c r="E2389" i="3"/>
  <c r="E2084" i="3"/>
  <c r="E2515" i="3"/>
  <c r="E2885" i="3"/>
  <c r="E3111" i="3"/>
  <c r="E2811" i="3"/>
  <c r="E3035" i="3"/>
  <c r="E2713" i="3"/>
  <c r="E2593" i="3"/>
  <c r="E2701" i="3"/>
  <c r="E3896" i="3"/>
  <c r="E3385" i="3"/>
  <c r="E1624" i="3"/>
  <c r="E2152" i="3"/>
  <c r="E2844" i="3"/>
  <c r="E1095" i="3"/>
  <c r="E1131" i="3"/>
  <c r="E636" i="3"/>
  <c r="E2367" i="3"/>
  <c r="E1150" i="3"/>
  <c r="E2133" i="3"/>
  <c r="E1202" i="3"/>
  <c r="E1663" i="3"/>
  <c r="E1861" i="3"/>
  <c r="E3299" i="3"/>
  <c r="E3174" i="3"/>
  <c r="E3950" i="3"/>
  <c r="E2998" i="3"/>
  <c r="E3126" i="3"/>
  <c r="E2089" i="3"/>
  <c r="E1810" i="3"/>
  <c r="E2679" i="3"/>
  <c r="E646" i="3"/>
  <c r="E3407" i="3"/>
  <c r="E648" i="3"/>
  <c r="E3193" i="3"/>
  <c r="E255" i="3"/>
  <c r="E2903" i="3"/>
  <c r="E1844" i="3"/>
  <c r="E2444" i="3"/>
  <c r="E1750" i="3"/>
  <c r="E2385" i="3"/>
  <c r="E101" i="3"/>
  <c r="E3432" i="3"/>
  <c r="E2775" i="3"/>
  <c r="E1875" i="3"/>
  <c r="E2458" i="3"/>
  <c r="E61" i="3"/>
  <c r="E2528" i="3"/>
  <c r="E1889" i="3"/>
  <c r="E2651" i="3"/>
  <c r="E1921" i="3"/>
  <c r="E3662" i="3"/>
  <c r="E200" i="3"/>
  <c r="E1412" i="3"/>
  <c r="E1228" i="3"/>
  <c r="E3706" i="3"/>
  <c r="E3276" i="3"/>
  <c r="E1301" i="3"/>
  <c r="E2238" i="3"/>
  <c r="E620" i="3"/>
  <c r="E887" i="3"/>
  <c r="E114" i="3"/>
  <c r="E2754" i="3"/>
  <c r="E3749" i="3"/>
  <c r="E1511" i="3"/>
  <c r="E1757" i="3"/>
  <c r="E3850" i="3"/>
  <c r="E3629" i="3"/>
  <c r="E761" i="3"/>
  <c r="E3519" i="3"/>
  <c r="E3101" i="3"/>
  <c r="E1615" i="3"/>
  <c r="E1863" i="3"/>
  <c r="E1973" i="3"/>
  <c r="E399" i="3"/>
  <c r="E270" i="3"/>
  <c r="E520" i="3"/>
  <c r="E3327" i="3"/>
  <c r="E3472" i="3"/>
  <c r="E963" i="3"/>
  <c r="E1433" i="3"/>
  <c r="E2789" i="3"/>
  <c r="E2407" i="3"/>
  <c r="E1129" i="3"/>
  <c r="E1489" i="3"/>
  <c r="E564" i="3"/>
  <c r="E2013" i="3"/>
  <c r="E1436" i="3"/>
  <c r="E2878" i="3"/>
  <c r="E937" i="3"/>
  <c r="E870" i="3"/>
  <c r="E2405" i="3"/>
  <c r="E1449" i="3"/>
  <c r="E1829" i="3"/>
  <c r="E3508" i="3"/>
  <c r="E3006" i="3"/>
  <c r="E1722" i="3"/>
  <c r="E175" i="3"/>
  <c r="E956" i="3"/>
  <c r="E1543" i="3"/>
  <c r="E2663" i="3"/>
  <c r="E2833" i="3"/>
  <c r="E2962" i="3"/>
  <c r="E2993" i="3"/>
  <c r="E3231" i="3"/>
  <c r="E3583" i="3"/>
  <c r="E3698" i="3"/>
  <c r="E3795" i="3"/>
  <c r="E3868" i="3"/>
  <c r="E37" i="3"/>
  <c r="E138" i="3"/>
  <c r="E287" i="3"/>
  <c r="E676" i="3"/>
  <c r="E797" i="3"/>
  <c r="E824" i="3"/>
  <c r="E871" i="3"/>
  <c r="E1146" i="3"/>
  <c r="E1642" i="3"/>
  <c r="E1718" i="3"/>
  <c r="E1767" i="3"/>
  <c r="E1794" i="3"/>
  <c r="E1858" i="3"/>
  <c r="E2053" i="3"/>
  <c r="E2200" i="3"/>
  <c r="E2353" i="3"/>
  <c r="E2355" i="3"/>
  <c r="E3269" i="3"/>
  <c r="E3741" i="3"/>
  <c r="E3797" i="3"/>
  <c r="E1895" i="3"/>
  <c r="E2475" i="3"/>
  <c r="E2532" i="3"/>
  <c r="E2595" i="3"/>
  <c r="E2612" i="3"/>
  <c r="E2644" i="3"/>
  <c r="E2694" i="3"/>
  <c r="E2777" i="3"/>
  <c r="E2848" i="3"/>
  <c r="E3045" i="3"/>
  <c r="E3068" i="3"/>
  <c r="E3090" i="3"/>
  <c r="E3108" i="3"/>
  <c r="E3179" i="3"/>
  <c r="E3288" i="3"/>
  <c r="E3313" i="3"/>
  <c r="E3341" i="3"/>
  <c r="E3344" i="3"/>
  <c r="E3374" i="3"/>
  <c r="E3563" i="3"/>
  <c r="E3586" i="3"/>
  <c r="E3719" i="3"/>
  <c r="E3758" i="3"/>
  <c r="E3851" i="3"/>
  <c r="E3854" i="3"/>
  <c r="E3909" i="3"/>
  <c r="E170" i="3"/>
  <c r="E302" i="3"/>
  <c r="E432" i="3"/>
  <c r="E452" i="3"/>
  <c r="E476" i="3"/>
  <c r="E498" i="3"/>
  <c r="E505" i="3"/>
  <c r="E599" i="3"/>
  <c r="E690" i="3"/>
  <c r="E740" i="3"/>
  <c r="E757" i="3"/>
  <c r="E947" i="3"/>
  <c r="E957" i="3"/>
  <c r="E1058" i="3"/>
  <c r="E1141" i="3"/>
  <c r="E1175" i="3"/>
  <c r="E1247" i="3"/>
  <c r="E1310" i="3"/>
  <c r="E1556" i="3"/>
  <c r="E1575" i="3"/>
  <c r="E1701" i="3"/>
  <c r="E1711" i="3"/>
  <c r="E1772" i="3"/>
  <c r="E1908" i="3"/>
  <c r="E1913" i="3"/>
  <c r="E1930" i="3"/>
  <c r="E2194" i="3"/>
  <c r="E2212" i="3"/>
  <c r="E2279" i="3"/>
  <c r="E2398" i="3"/>
  <c r="E2426" i="3"/>
  <c r="E2453" i="3"/>
  <c r="E2486" i="3"/>
  <c r="E2505" i="3"/>
  <c r="E3141" i="3"/>
  <c r="E652" i="3"/>
  <c r="E16" i="3"/>
  <c r="E769" i="3"/>
  <c r="E2516" i="3"/>
  <c r="E2522" i="3"/>
  <c r="E2524" i="3"/>
  <c r="E2570" i="3"/>
  <c r="E2575" i="3"/>
  <c r="E2582" i="3"/>
  <c r="E2584" i="3"/>
  <c r="E2646" i="3"/>
  <c r="E2683" i="3"/>
  <c r="E2745" i="3"/>
  <c r="E2790" i="3"/>
  <c r="E2813" i="3"/>
  <c r="E2954" i="3"/>
  <c r="E2979" i="3"/>
  <c r="E2987" i="3"/>
  <c r="E2999" i="3"/>
  <c r="E3030" i="3"/>
  <c r="E3060" i="3"/>
  <c r="E3066" i="3"/>
  <c r="E3097" i="3"/>
  <c r="E3114" i="3"/>
  <c r="E3116" i="3"/>
  <c r="E3183" i="3"/>
  <c r="E3238" i="3"/>
  <c r="E3285" i="3"/>
  <c r="E3386" i="3"/>
  <c r="E3389" i="3"/>
  <c r="E3391" i="3"/>
  <c r="E3419" i="3"/>
  <c r="E3449" i="3"/>
  <c r="E3485" i="3"/>
  <c r="E3647" i="3"/>
  <c r="E3690" i="3"/>
  <c r="E3784" i="3"/>
  <c r="E3969" i="3"/>
  <c r="E140" i="3"/>
  <c r="E177" i="3"/>
  <c r="E197" i="3"/>
  <c r="E310" i="3"/>
  <c r="E362" i="3"/>
  <c r="E413" i="3"/>
  <c r="E420" i="3"/>
  <c r="E425" i="3"/>
  <c r="E481" i="3"/>
  <c r="E566" i="3"/>
  <c r="E589" i="3"/>
  <c r="E738" i="3"/>
  <c r="E752" i="3"/>
  <c r="E763" i="3"/>
  <c r="E877" i="3"/>
  <c r="E898" i="3"/>
  <c r="E995" i="3"/>
  <c r="E1027" i="3"/>
  <c r="E1153" i="3"/>
  <c r="E1221" i="3"/>
  <c r="E1225" i="3"/>
  <c r="E1395" i="3"/>
  <c r="E1417" i="3"/>
  <c r="E1461" i="3"/>
  <c r="E1515" i="3"/>
  <c r="E1529" i="3"/>
  <c r="E1545" i="3"/>
  <c r="E1547" i="3"/>
  <c r="E1549" i="3"/>
  <c r="E1638" i="3"/>
  <c r="E1674" i="3"/>
  <c r="E1747" i="3"/>
  <c r="E1753" i="3"/>
  <c r="E1778" i="3"/>
  <c r="E1790" i="3"/>
  <c r="E1796" i="3"/>
  <c r="E1848" i="3"/>
  <c r="E1995" i="3"/>
  <c r="E2032" i="3"/>
  <c r="E2078" i="3"/>
  <c r="E2099" i="3"/>
  <c r="E2110" i="3"/>
  <c r="E2127" i="3"/>
  <c r="E2143" i="3"/>
  <c r="E2207" i="3"/>
  <c r="E2286" i="3"/>
  <c r="E2573" i="3"/>
  <c r="E3895" i="3"/>
  <c r="E2712" i="3"/>
  <c r="E1972" i="3"/>
  <c r="E450" i="3"/>
  <c r="E2560" i="3"/>
  <c r="E747" i="3"/>
  <c r="E1710" i="3"/>
  <c r="E2731" i="3"/>
  <c r="E3369" i="3"/>
  <c r="E2730" i="3"/>
  <c r="E3100" i="3"/>
  <c r="E2788" i="3"/>
  <c r="E2877" i="3"/>
  <c r="E3005" i="3"/>
  <c r="E3326" i="3"/>
  <c r="E3471" i="3"/>
  <c r="E3507" i="3"/>
  <c r="E3518" i="3"/>
  <c r="E3628" i="3"/>
  <c r="E3849" i="3"/>
  <c r="E174" i="3"/>
  <c r="E269" i="3"/>
  <c r="E398" i="3"/>
  <c r="E519" i="3"/>
  <c r="E563" i="3"/>
  <c r="E760" i="3"/>
  <c r="E869" i="3"/>
  <c r="E936" i="3"/>
  <c r="E955" i="3"/>
  <c r="E962" i="3"/>
  <c r="E1128" i="3"/>
  <c r="E1432" i="3"/>
  <c r="E1435" i="3"/>
  <c r="E1448" i="3"/>
  <c r="E1488" i="3"/>
  <c r="E1614" i="3"/>
  <c r="E1721" i="3"/>
  <c r="E1756" i="3"/>
  <c r="E1828" i="3"/>
  <c r="E1862" i="3"/>
  <c r="E2012" i="3"/>
  <c r="E2404" i="3"/>
  <c r="E2406" i="3"/>
  <c r="E3275" i="3"/>
  <c r="E100" i="3"/>
  <c r="E2514" i="3"/>
  <c r="E2527" i="3"/>
  <c r="E2592" i="3"/>
  <c r="E2650" i="3"/>
  <c r="E2678" i="3"/>
  <c r="E2700" i="3"/>
  <c r="E2753" i="3"/>
  <c r="E2774" i="3"/>
  <c r="E2810" i="3"/>
  <c r="E2843" i="3"/>
  <c r="E2884" i="3"/>
  <c r="E2891" i="3"/>
  <c r="E2902" i="3"/>
  <c r="E2997" i="3"/>
  <c r="E3034" i="3"/>
  <c r="E3088" i="3"/>
  <c r="E3110" i="3"/>
  <c r="E3125" i="3"/>
  <c r="E3173" i="3"/>
  <c r="E3192" i="3"/>
  <c r="E3298" i="3"/>
  <c r="E3384" i="3"/>
  <c r="E3406" i="3"/>
  <c r="E3431" i="3"/>
  <c r="E3571" i="3"/>
  <c r="E3661" i="3"/>
  <c r="E3705" i="3"/>
  <c r="E3748" i="3"/>
  <c r="E3949" i="3"/>
  <c r="E60" i="3"/>
  <c r="E113" i="3"/>
  <c r="E199" i="3"/>
  <c r="E254" i="3"/>
  <c r="E619" i="3"/>
  <c r="E635" i="3"/>
  <c r="E645" i="3"/>
  <c r="E647" i="3"/>
  <c r="E886" i="3"/>
  <c r="E1094" i="3"/>
  <c r="E1130" i="3"/>
  <c r="E1149" i="3"/>
  <c r="E1201" i="3"/>
  <c r="E1227" i="3"/>
  <c r="E1300" i="3"/>
  <c r="E1411" i="3"/>
  <c r="E1510" i="3"/>
  <c r="E1623" i="3"/>
  <c r="E1662" i="3"/>
  <c r="E1749" i="3"/>
  <c r="E1809" i="3"/>
  <c r="E1843" i="3"/>
  <c r="E1860" i="3"/>
  <c r="E1874" i="3"/>
  <c r="E1888" i="3"/>
  <c r="E1920" i="3"/>
  <c r="E2083" i="3"/>
  <c r="E2088" i="3"/>
  <c r="E2132" i="3"/>
  <c r="E2151" i="3"/>
  <c r="E2237" i="3"/>
  <c r="E2366" i="3"/>
  <c r="E2384" i="3"/>
  <c r="E2388" i="3"/>
  <c r="E2443" i="3"/>
  <c r="E2457" i="3"/>
  <c r="E1943" i="3"/>
  <c r="E2324" i="3"/>
  <c r="E1625" i="3"/>
  <c r="E2942" i="3"/>
  <c r="E2959" i="3"/>
  <c r="E3077" i="3"/>
  <c r="E3197" i="3"/>
  <c r="E3212" i="3"/>
  <c r="E67" i="3"/>
  <c r="E333" i="3"/>
  <c r="E511" i="3"/>
  <c r="E682" i="3"/>
  <c r="E1038" i="3"/>
  <c r="E1186" i="3"/>
  <c r="E1451" i="3"/>
  <c r="E1467" i="3"/>
  <c r="E1513" i="3"/>
  <c r="E2185" i="3"/>
  <c r="E2245" i="3"/>
  <c r="E2500" i="3"/>
  <c r="E3577" i="3"/>
  <c r="E3615" i="3"/>
  <c r="E290" i="3"/>
  <c r="E400" i="3"/>
  <c r="E1000" i="3"/>
  <c r="E1339" i="3"/>
  <c r="E1760" i="3"/>
  <c r="E2001" i="3"/>
  <c r="E2182" i="3"/>
  <c r="E2482" i="3"/>
  <c r="E2648" i="3"/>
  <c r="E2837" i="3"/>
  <c r="E3441" i="3"/>
  <c r="E3824" i="3"/>
  <c r="E3877" i="3"/>
  <c r="E35" i="3"/>
  <c r="E746" i="3"/>
  <c r="E1948" i="3"/>
  <c r="R10" i="1"/>
  <c r="R11" i="1"/>
  <c r="X11" i="1" s="1"/>
  <c r="R12" i="1"/>
  <c r="AB12" i="1" s="1"/>
  <c r="R13" i="1"/>
  <c r="R14" i="1"/>
  <c r="R15" i="1"/>
  <c r="X15" i="1" s="1"/>
  <c r="R16" i="1"/>
  <c r="R17" i="1"/>
  <c r="X17" i="1" s="1"/>
  <c r="R18" i="1"/>
  <c r="X18" i="1" s="1"/>
  <c r="R19" i="1"/>
  <c r="R20" i="1"/>
  <c r="R21" i="1"/>
  <c r="R22" i="1"/>
  <c r="R23" i="1"/>
  <c r="R24" i="1"/>
  <c r="X24" i="1" s="1"/>
  <c r="R25" i="1"/>
  <c r="R26" i="1"/>
  <c r="X26" i="1" s="1"/>
  <c r="R27" i="1"/>
  <c r="X27" i="1" s="1"/>
  <c r="R28" i="1"/>
  <c r="AB28" i="1" s="1"/>
  <c r="R29" i="1"/>
  <c r="R30" i="1"/>
  <c r="R31" i="1"/>
  <c r="X31" i="1" s="1"/>
  <c r="R32" i="1"/>
  <c r="R33" i="1"/>
  <c r="R34" i="1"/>
  <c r="AB34" i="1" s="1"/>
  <c r="R35" i="1"/>
  <c r="R36" i="1"/>
  <c r="R37" i="1"/>
  <c r="X37" i="1" s="1"/>
  <c r="R38" i="1"/>
  <c r="R39" i="1"/>
  <c r="R40" i="1"/>
  <c r="AB40" i="1" s="1"/>
  <c r="R41" i="1"/>
  <c r="R42" i="1"/>
  <c r="R43" i="1"/>
  <c r="X43" i="1" s="1"/>
  <c r="R44" i="1"/>
  <c r="AB44" i="1" s="1"/>
  <c r="R45" i="1"/>
  <c r="R46" i="1"/>
  <c r="R47" i="1"/>
  <c r="AB47" i="1" s="1"/>
  <c r="R48" i="1"/>
  <c r="R49" i="1"/>
  <c r="R50" i="1"/>
  <c r="X50" i="1" s="1"/>
  <c r="R51" i="1"/>
  <c r="X51" i="1" s="1"/>
  <c r="R52" i="1"/>
  <c r="R53" i="1"/>
  <c r="R54" i="1"/>
  <c r="X54" i="1" s="1"/>
  <c r="R55" i="1"/>
  <c r="R56" i="1"/>
  <c r="X56" i="1" s="1"/>
  <c r="R57" i="1"/>
  <c r="R58" i="1"/>
  <c r="X58" i="1" s="1"/>
  <c r="R59" i="1"/>
  <c r="X59" i="1" s="1"/>
  <c r="R60" i="1"/>
  <c r="AB60" i="1" s="1"/>
  <c r="R61" i="1"/>
  <c r="R62" i="1"/>
  <c r="R63" i="1"/>
  <c r="R64" i="1"/>
  <c r="R65" i="1"/>
  <c r="R66" i="1"/>
  <c r="X66" i="1" s="1"/>
  <c r="R67" i="1"/>
  <c r="R68" i="1"/>
  <c r="R69" i="1"/>
  <c r="AB69" i="1" s="1"/>
  <c r="R70" i="1"/>
  <c r="R71" i="1"/>
  <c r="R72" i="1"/>
  <c r="X72" i="1" s="1"/>
  <c r="R73" i="1"/>
  <c r="R74" i="1"/>
  <c r="R75" i="1"/>
  <c r="X75" i="1" s="1"/>
  <c r="R76" i="1"/>
  <c r="AB76" i="1" s="1"/>
  <c r="R77" i="1"/>
  <c r="R78" i="1"/>
  <c r="R79" i="1"/>
  <c r="X79" i="1" s="1"/>
  <c r="R80" i="1"/>
  <c r="R81" i="1"/>
  <c r="R82" i="1"/>
  <c r="X82" i="1" s="1"/>
  <c r="R83" i="1"/>
  <c r="R84" i="1"/>
  <c r="R85" i="1"/>
  <c r="X85" i="1" s="1"/>
  <c r="R86" i="1"/>
  <c r="R87" i="1"/>
  <c r="R88" i="1"/>
  <c r="AB88" i="1" s="1"/>
  <c r="R89" i="1"/>
  <c r="X89" i="1" s="1"/>
  <c r="Y89" i="1" s="1"/>
  <c r="R90" i="1"/>
  <c r="R91" i="1"/>
  <c r="X91" i="1" s="1"/>
  <c r="R92" i="1"/>
  <c r="AB92" i="1" s="1"/>
  <c r="R93" i="1"/>
  <c r="R94" i="1"/>
  <c r="R95" i="1"/>
  <c r="X95" i="1" s="1"/>
  <c r="R96" i="1"/>
  <c r="R97" i="1"/>
  <c r="R98" i="1"/>
  <c r="AB98" i="1" s="1"/>
  <c r="R99" i="1"/>
  <c r="R100" i="1"/>
  <c r="R101" i="1"/>
  <c r="X101" i="1" s="1"/>
  <c r="R102" i="1"/>
  <c r="X102" i="1" s="1"/>
  <c r="R103" i="1"/>
  <c r="R104" i="1"/>
  <c r="AB104" i="1" s="1"/>
  <c r="R105" i="1"/>
  <c r="R106" i="1"/>
  <c r="X106" i="1" s="1"/>
  <c r="R107" i="1"/>
  <c r="X107" i="1" s="1"/>
  <c r="R108" i="1"/>
  <c r="AB108" i="1" s="1"/>
  <c r="R109" i="1"/>
  <c r="R110" i="1"/>
  <c r="R111" i="1"/>
  <c r="X111" i="1" s="1"/>
  <c r="R112" i="1"/>
  <c r="R113" i="1"/>
  <c r="R114" i="1"/>
  <c r="X114" i="1" s="1"/>
  <c r="R115" i="1"/>
  <c r="R116" i="1"/>
  <c r="R117" i="1"/>
  <c r="AB117" i="1" s="1"/>
  <c r="R118" i="1"/>
  <c r="X118" i="1" s="1"/>
  <c r="R119" i="1"/>
  <c r="R120" i="1"/>
  <c r="R121" i="1"/>
  <c r="R122" i="1"/>
  <c r="X122" i="1" s="1"/>
  <c r="R123" i="1"/>
  <c r="X123" i="1" s="1"/>
  <c r="R124" i="1"/>
  <c r="AB124" i="1" s="1"/>
  <c r="R125" i="1"/>
  <c r="R126" i="1"/>
  <c r="R127" i="1"/>
  <c r="X127" i="1" s="1"/>
  <c r="R128" i="1"/>
  <c r="R129" i="1"/>
  <c r="R130" i="1"/>
  <c r="X130" i="1" s="1"/>
  <c r="R131" i="1"/>
  <c r="R132" i="1"/>
  <c r="R133" i="1"/>
  <c r="X133" i="1" s="1"/>
  <c r="Y133" i="1" s="1"/>
  <c r="R134" i="1"/>
  <c r="R135" i="1"/>
  <c r="R136" i="1"/>
  <c r="X136" i="1" s="1"/>
  <c r="R137" i="1"/>
  <c r="X137" i="1" s="1"/>
  <c r="Y137" i="1" s="1"/>
  <c r="R138" i="1"/>
  <c r="R139" i="1"/>
  <c r="X139" i="1" s="1"/>
  <c r="R140" i="1"/>
  <c r="AB140" i="1" s="1"/>
  <c r="R141" i="1"/>
  <c r="R142" i="1"/>
  <c r="R143" i="1"/>
  <c r="X143" i="1" s="1"/>
  <c r="R144" i="1"/>
  <c r="R145" i="1"/>
  <c r="R146" i="1"/>
  <c r="X146" i="1" s="1"/>
  <c r="R147" i="1"/>
  <c r="R148" i="1"/>
  <c r="R149" i="1"/>
  <c r="X149" i="1" s="1"/>
  <c r="R150" i="1"/>
  <c r="R151" i="1"/>
  <c r="R152" i="1"/>
  <c r="X152" i="1" s="1"/>
  <c r="R153" i="1"/>
  <c r="R154" i="1"/>
  <c r="R155" i="1"/>
  <c r="X155" i="1" s="1"/>
  <c r="R156" i="1"/>
  <c r="AB156" i="1" s="1"/>
  <c r="R157" i="1"/>
  <c r="R158" i="1"/>
  <c r="R159" i="1"/>
  <c r="R160" i="1"/>
  <c r="R161" i="1"/>
  <c r="R162" i="1"/>
  <c r="X162" i="1" s="1"/>
  <c r="R163" i="1"/>
  <c r="R164" i="1"/>
  <c r="R165" i="1"/>
  <c r="X165" i="1" s="1"/>
  <c r="R166" i="1"/>
  <c r="X166" i="1" s="1"/>
  <c r="R167" i="1"/>
  <c r="R168" i="1"/>
  <c r="AB168" i="1" s="1"/>
  <c r="R169" i="1"/>
  <c r="R170" i="1"/>
  <c r="X170" i="1" s="1"/>
  <c r="R171" i="1"/>
  <c r="X171" i="1" s="1"/>
  <c r="R172" i="1"/>
  <c r="AB172" i="1" s="1"/>
  <c r="R173" i="1"/>
  <c r="R174" i="1"/>
  <c r="R175" i="1"/>
  <c r="AB175" i="1" s="1"/>
  <c r="R176" i="1"/>
  <c r="R177" i="1"/>
  <c r="R178" i="1"/>
  <c r="X178" i="1" s="1"/>
  <c r="R179" i="1"/>
  <c r="R180" i="1"/>
  <c r="R181" i="1"/>
  <c r="X181" i="1" s="1"/>
  <c r="R182" i="1"/>
  <c r="X182" i="1" s="1"/>
  <c r="R183" i="1"/>
  <c r="R184" i="1"/>
  <c r="R185" i="1"/>
  <c r="R186" i="1"/>
  <c r="X186" i="1" s="1"/>
  <c r="R187" i="1"/>
  <c r="X187" i="1" s="1"/>
  <c r="R188" i="1"/>
  <c r="AB188" i="1" s="1"/>
  <c r="R189" i="1"/>
  <c r="R190" i="1"/>
  <c r="R191" i="1"/>
  <c r="R192" i="1"/>
  <c r="R193" i="1"/>
  <c r="R194" i="1"/>
  <c r="AB194" i="1" s="1"/>
  <c r="R195" i="1"/>
  <c r="R196" i="1"/>
  <c r="R197" i="1"/>
  <c r="X197" i="1" s="1"/>
  <c r="R198" i="1"/>
  <c r="AB198" i="1" s="1"/>
  <c r="R199" i="1"/>
  <c r="R200" i="1"/>
  <c r="X200" i="1" s="1"/>
  <c r="R201" i="1"/>
  <c r="X201" i="1" s="1"/>
  <c r="R202" i="1"/>
  <c r="R203" i="1"/>
  <c r="X203" i="1" s="1"/>
  <c r="R204" i="1"/>
  <c r="AB204" i="1" s="1"/>
  <c r="R205" i="1"/>
  <c r="R206" i="1"/>
  <c r="R207" i="1"/>
  <c r="R208" i="1"/>
  <c r="R209" i="1"/>
  <c r="R210" i="1"/>
  <c r="R211" i="1"/>
  <c r="AB211" i="1" s="1"/>
  <c r="R212" i="1"/>
  <c r="R213" i="1"/>
  <c r="R214" i="1"/>
  <c r="AB214" i="1" s="1"/>
  <c r="R215" i="1"/>
  <c r="X215" i="1" s="1"/>
  <c r="Y215" i="1" s="1"/>
  <c r="R216" i="1"/>
  <c r="R217" i="1"/>
  <c r="R218" i="1"/>
  <c r="R219" i="1"/>
  <c r="X219" i="1" s="1"/>
  <c r="R220" i="1"/>
  <c r="AB220" i="1" s="1"/>
  <c r="R221" i="1"/>
  <c r="R222" i="1"/>
  <c r="R223" i="1"/>
  <c r="R224" i="1"/>
  <c r="R225" i="1"/>
  <c r="R226" i="1"/>
  <c r="R227" i="1"/>
  <c r="R228" i="1"/>
  <c r="R229" i="1"/>
  <c r="X229" i="1" s="1"/>
  <c r="R230" i="1"/>
  <c r="X230" i="1" s="1"/>
  <c r="R231" i="1"/>
  <c r="R232" i="1"/>
  <c r="X232" i="1" s="1"/>
  <c r="R233" i="1"/>
  <c r="R234" i="1"/>
  <c r="X234" i="1" s="1"/>
  <c r="R235" i="1"/>
  <c r="X235" i="1" s="1"/>
  <c r="R236" i="1"/>
  <c r="AB236" i="1" s="1"/>
  <c r="R237" i="1"/>
  <c r="R238" i="1"/>
  <c r="R239" i="1"/>
  <c r="X239" i="1" s="1"/>
  <c r="R240" i="1"/>
  <c r="R241" i="1"/>
  <c r="R242" i="1"/>
  <c r="R243" i="1"/>
  <c r="X243" i="1" s="1"/>
  <c r="R244" i="1"/>
  <c r="R245" i="1"/>
  <c r="R246" i="1"/>
  <c r="AB246" i="1" s="1"/>
  <c r="R247" i="1"/>
  <c r="AB247" i="1" s="1"/>
  <c r="R248" i="1"/>
  <c r="AB248" i="1" s="1"/>
  <c r="R249" i="1"/>
  <c r="R250" i="1"/>
  <c r="X250" i="1" s="1"/>
  <c r="R251" i="1"/>
  <c r="X251" i="1" s="1"/>
  <c r="R252" i="1"/>
  <c r="AB252" i="1" s="1"/>
  <c r="R253" i="1"/>
  <c r="AB253" i="1" s="1"/>
  <c r="R254" i="1"/>
  <c r="R255" i="1"/>
  <c r="X255" i="1" s="1"/>
  <c r="R256" i="1"/>
  <c r="X256" i="1" s="1"/>
  <c r="R257" i="1"/>
  <c r="X257" i="1" s="1"/>
  <c r="R258" i="1"/>
  <c r="X258" i="1" s="1"/>
  <c r="R259" i="1"/>
  <c r="AB259" i="1" s="1"/>
  <c r="R260" i="1"/>
  <c r="X260" i="1" s="1"/>
  <c r="R261" i="1"/>
  <c r="AB261" i="1" s="1"/>
  <c r="R262" i="1"/>
  <c r="R263" i="1"/>
  <c r="R264" i="1"/>
  <c r="R265" i="1"/>
  <c r="R266" i="1"/>
  <c r="X266" i="1" s="1"/>
  <c r="R267" i="1"/>
  <c r="X267" i="1" s="1"/>
  <c r="R268" i="1"/>
  <c r="AB268" i="1" s="1"/>
  <c r="R269" i="1"/>
  <c r="X269" i="1" s="1"/>
  <c r="R270" i="1"/>
  <c r="R271" i="1"/>
  <c r="AB271" i="1" s="1"/>
  <c r="R272" i="1"/>
  <c r="R273" i="1"/>
  <c r="R274" i="1"/>
  <c r="AB274" i="1" s="1"/>
  <c r="R275" i="1"/>
  <c r="X275" i="1" s="1"/>
  <c r="R276" i="1"/>
  <c r="R277" i="1"/>
  <c r="R278" i="1"/>
  <c r="R279" i="1"/>
  <c r="R280" i="1"/>
  <c r="R281" i="1"/>
  <c r="X281" i="1" s="1"/>
  <c r="R282" i="1"/>
  <c r="X282" i="1" s="1"/>
  <c r="R283" i="1"/>
  <c r="X283" i="1" s="1"/>
  <c r="R284" i="1"/>
  <c r="R285" i="1"/>
  <c r="AB285" i="1" s="1"/>
  <c r="R286" i="1"/>
  <c r="R287" i="1"/>
  <c r="R288" i="1"/>
  <c r="R289" i="1"/>
  <c r="X289" i="1" s="1"/>
  <c r="R290" i="1"/>
  <c r="X290" i="1" s="1"/>
  <c r="R291" i="1"/>
  <c r="AB291" i="1" s="1"/>
  <c r="R292" i="1"/>
  <c r="X292" i="1" s="1"/>
  <c r="R293" i="1"/>
  <c r="AB293" i="1" s="1"/>
  <c r="R294" i="1"/>
  <c r="R295" i="1"/>
  <c r="X295" i="1" s="1"/>
  <c r="R296" i="1"/>
  <c r="X296" i="1" s="1"/>
  <c r="R297" i="1"/>
  <c r="R298" i="1"/>
  <c r="R299" i="1"/>
  <c r="R300" i="1"/>
  <c r="AB300" i="1" s="1"/>
  <c r="R301" i="1"/>
  <c r="AB301" i="1" s="1"/>
  <c r="R302" i="1"/>
  <c r="R303" i="1"/>
  <c r="X303" i="1" s="1"/>
  <c r="R304" i="1"/>
  <c r="R305" i="1"/>
  <c r="X305" i="1" s="1"/>
  <c r="R306" i="1"/>
  <c r="R307" i="1"/>
  <c r="AB307" i="1" s="1"/>
  <c r="R308" i="1"/>
  <c r="R309" i="1"/>
  <c r="X309" i="1" s="1"/>
  <c r="R310" i="1"/>
  <c r="R311" i="1"/>
  <c r="R312" i="1"/>
  <c r="X312" i="1" s="1"/>
  <c r="R313" i="1"/>
  <c r="R314" i="1"/>
  <c r="X314" i="1" s="1"/>
  <c r="R315" i="1"/>
  <c r="X315" i="1" s="1"/>
  <c r="R316" i="1"/>
  <c r="AB316" i="1" s="1"/>
  <c r="R317" i="1"/>
  <c r="AB317" i="1" s="1"/>
  <c r="R318" i="1"/>
  <c r="R319" i="1"/>
  <c r="AB319" i="1" s="1"/>
  <c r="R320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X12" i="1"/>
  <c r="X13" i="1"/>
  <c r="X14" i="1"/>
  <c r="X16" i="1"/>
  <c r="X19" i="1"/>
  <c r="X20" i="1"/>
  <c r="X23" i="1"/>
  <c r="Y23" i="1" s="1"/>
  <c r="X28" i="1"/>
  <c r="X29" i="1"/>
  <c r="X30" i="1"/>
  <c r="X32" i="1"/>
  <c r="X35" i="1"/>
  <c r="X36" i="1"/>
  <c r="X39" i="1"/>
  <c r="X44" i="1"/>
  <c r="X45" i="1"/>
  <c r="X46" i="1"/>
  <c r="X48" i="1"/>
  <c r="X49" i="1"/>
  <c r="X52" i="1"/>
  <c r="X53" i="1"/>
  <c r="X55" i="1"/>
  <c r="Y55" i="1" s="1"/>
  <c r="X60" i="1"/>
  <c r="X61" i="1"/>
  <c r="X62" i="1"/>
  <c r="X64" i="1"/>
  <c r="X67" i="1"/>
  <c r="Y67" i="1" s="1"/>
  <c r="X68" i="1"/>
  <c r="X71" i="1"/>
  <c r="Y71" i="1" s="1"/>
  <c r="X74" i="1"/>
  <c r="X76" i="1"/>
  <c r="X77" i="1"/>
  <c r="X78" i="1"/>
  <c r="X80" i="1"/>
  <c r="X83" i="1"/>
  <c r="X84" i="1"/>
  <c r="X87" i="1"/>
  <c r="X90" i="1"/>
  <c r="X92" i="1"/>
  <c r="X93" i="1"/>
  <c r="X94" i="1"/>
  <c r="Y94" i="1" s="1"/>
  <c r="X96" i="1"/>
  <c r="X97" i="1"/>
  <c r="X99" i="1"/>
  <c r="X100" i="1"/>
  <c r="X103" i="1"/>
  <c r="X108" i="1"/>
  <c r="X109" i="1"/>
  <c r="X110" i="1"/>
  <c r="X112" i="1"/>
  <c r="X115" i="1"/>
  <c r="Y115" i="1" s="1"/>
  <c r="X116" i="1"/>
  <c r="Y116" i="1" s="1"/>
  <c r="X117" i="1"/>
  <c r="Y117" i="1" s="1"/>
  <c r="X119" i="1"/>
  <c r="X124" i="1"/>
  <c r="X125" i="1"/>
  <c r="X126" i="1"/>
  <c r="X128" i="1"/>
  <c r="X131" i="1"/>
  <c r="Y131" i="1" s="1"/>
  <c r="X132" i="1"/>
  <c r="X135" i="1"/>
  <c r="Y135" i="1" s="1"/>
  <c r="X138" i="1"/>
  <c r="X140" i="1"/>
  <c r="X141" i="1"/>
  <c r="X142" i="1"/>
  <c r="X144" i="1"/>
  <c r="X145" i="1"/>
  <c r="X147" i="1"/>
  <c r="X148" i="1"/>
  <c r="X151" i="1"/>
  <c r="X154" i="1"/>
  <c r="X156" i="1"/>
  <c r="X157" i="1"/>
  <c r="X158" i="1"/>
  <c r="Y158" i="1" s="1"/>
  <c r="X159" i="1"/>
  <c r="Y159" i="1" s="1"/>
  <c r="X160" i="1"/>
  <c r="Y160" i="1" s="1"/>
  <c r="X163" i="1"/>
  <c r="X164" i="1"/>
  <c r="X167" i="1"/>
  <c r="X169" i="1"/>
  <c r="Y169" i="1" s="1"/>
  <c r="X172" i="1"/>
  <c r="X173" i="1"/>
  <c r="X174" i="1"/>
  <c r="X176" i="1"/>
  <c r="X179" i="1"/>
  <c r="X180" i="1"/>
  <c r="X183" i="1"/>
  <c r="X188" i="1"/>
  <c r="X189" i="1"/>
  <c r="X190" i="1"/>
  <c r="X192" i="1"/>
  <c r="X193" i="1"/>
  <c r="X195" i="1"/>
  <c r="Y195" i="1" s="1"/>
  <c r="X196" i="1"/>
  <c r="X199" i="1"/>
  <c r="X204" i="1"/>
  <c r="X205" i="1"/>
  <c r="X206" i="1"/>
  <c r="X208" i="1"/>
  <c r="X211" i="1"/>
  <c r="X212" i="1"/>
  <c r="X213" i="1"/>
  <c r="X214" i="1"/>
  <c r="Y214" i="1" s="1"/>
  <c r="X218" i="1"/>
  <c r="X220" i="1"/>
  <c r="X221" i="1"/>
  <c r="X222" i="1"/>
  <c r="Y222" i="1" s="1"/>
  <c r="X224" i="1"/>
  <c r="Y224" i="1" s="1"/>
  <c r="X227" i="1"/>
  <c r="X228" i="1"/>
  <c r="X231" i="1"/>
  <c r="X236" i="1"/>
  <c r="X237" i="1"/>
  <c r="X238" i="1"/>
  <c r="Y238" i="1" s="1"/>
  <c r="X240" i="1"/>
  <c r="X244" i="1"/>
  <c r="X247" i="1"/>
  <c r="AB11" i="1"/>
  <c r="AB13" i="1"/>
  <c r="AB14" i="1"/>
  <c r="AB15" i="1"/>
  <c r="AB27" i="1"/>
  <c r="AB29" i="1"/>
  <c r="AB30" i="1"/>
  <c r="AB35" i="1"/>
  <c r="AB36" i="1"/>
  <c r="AB37" i="1"/>
  <c r="AB39" i="1"/>
  <c r="AB43" i="1"/>
  <c r="AB45" i="1"/>
  <c r="AB46" i="1"/>
  <c r="AB48" i="1"/>
  <c r="AB51" i="1"/>
  <c r="AB52" i="1"/>
  <c r="AB53" i="1"/>
  <c r="AB55" i="1"/>
  <c r="AB58" i="1"/>
  <c r="AB59" i="1"/>
  <c r="AB61" i="1"/>
  <c r="AB62" i="1"/>
  <c r="AB64" i="1"/>
  <c r="AB67" i="1"/>
  <c r="AB68" i="1"/>
  <c r="AB71" i="1"/>
  <c r="AB75" i="1"/>
  <c r="AB77" i="1"/>
  <c r="AB78" i="1"/>
  <c r="AB79" i="1"/>
  <c r="AB83" i="1"/>
  <c r="AB84" i="1"/>
  <c r="AB87" i="1"/>
  <c r="AB90" i="1"/>
  <c r="AB91" i="1"/>
  <c r="AB93" i="1"/>
  <c r="AB94" i="1"/>
  <c r="AB96" i="1"/>
  <c r="AB99" i="1"/>
  <c r="AB100" i="1"/>
  <c r="AB103" i="1"/>
  <c r="AB106" i="1"/>
  <c r="AB107" i="1"/>
  <c r="AB109" i="1"/>
  <c r="AB110" i="1"/>
  <c r="AB115" i="1"/>
  <c r="AB116" i="1"/>
  <c r="AB119" i="1"/>
  <c r="AB123" i="1"/>
  <c r="AB125" i="1"/>
  <c r="AB126" i="1"/>
  <c r="AB128" i="1"/>
  <c r="AB131" i="1"/>
  <c r="AB132" i="1"/>
  <c r="AB133" i="1"/>
  <c r="AB135" i="1"/>
  <c r="AB139" i="1"/>
  <c r="AB141" i="1"/>
  <c r="AB142" i="1"/>
  <c r="AB147" i="1"/>
  <c r="AB148" i="1"/>
  <c r="AB149" i="1"/>
  <c r="AB151" i="1"/>
  <c r="AB155" i="1"/>
  <c r="AB157" i="1"/>
  <c r="AB158" i="1"/>
  <c r="AB160" i="1"/>
  <c r="AB164" i="1"/>
  <c r="AB167" i="1"/>
  <c r="AB171" i="1"/>
  <c r="AB173" i="1"/>
  <c r="AB174" i="1"/>
  <c r="AB176" i="1"/>
  <c r="AB180" i="1"/>
  <c r="AB183" i="1"/>
  <c r="AB187" i="1"/>
  <c r="AB189" i="1"/>
  <c r="AB190" i="1"/>
  <c r="AB196" i="1"/>
  <c r="AB199" i="1"/>
  <c r="AB203" i="1"/>
  <c r="AB205" i="1"/>
  <c r="AB206" i="1"/>
  <c r="AB210" i="1"/>
  <c r="AB212" i="1"/>
  <c r="AB215" i="1"/>
  <c r="AB219" i="1"/>
  <c r="AB221" i="1"/>
  <c r="AB222" i="1"/>
  <c r="AB228" i="1"/>
  <c r="AB231" i="1"/>
  <c r="AB235" i="1"/>
  <c r="AB237" i="1"/>
  <c r="AB238" i="1"/>
  <c r="AB243" i="1"/>
  <c r="AB244" i="1"/>
  <c r="AB283" i="1"/>
  <c r="AB19" i="1"/>
  <c r="AB20" i="1"/>
  <c r="AB23" i="1"/>
  <c r="AB241" i="1" l="1"/>
  <c r="AB272" i="1"/>
  <c r="AB320" i="1"/>
  <c r="AB286" i="1"/>
  <c r="AB218" i="1"/>
  <c r="AB154" i="1"/>
  <c r="AB74" i="1"/>
  <c r="AB313" i="1"/>
  <c r="AB249" i="1"/>
  <c r="AB233" i="1"/>
  <c r="AB217" i="1"/>
  <c r="AB121" i="1"/>
  <c r="AB73" i="1"/>
  <c r="AB41" i="1"/>
  <c r="AB169" i="1"/>
  <c r="AB89" i="1"/>
  <c r="X25" i="1"/>
  <c r="AB216" i="1"/>
  <c r="AB137" i="1"/>
  <c r="X105" i="1"/>
  <c r="AB56" i="1"/>
  <c r="AB57" i="1"/>
  <c r="AB136" i="1"/>
  <c r="X73" i="1"/>
  <c r="Y73" i="1" s="1"/>
  <c r="AB185" i="1"/>
  <c r="AB105" i="1"/>
  <c r="AB25" i="1"/>
  <c r="X233" i="1"/>
  <c r="Y233" i="1" s="1"/>
  <c r="AB201" i="1"/>
  <c r="X153" i="1"/>
  <c r="Y153" i="1" s="1"/>
  <c r="X69" i="1"/>
  <c r="Y69" i="1" s="1"/>
  <c r="X41" i="1"/>
  <c r="Y41" i="1" s="1"/>
  <c r="X185" i="1"/>
  <c r="Y185" i="1" s="1"/>
  <c r="AB72" i="1"/>
  <c r="X120" i="1"/>
  <c r="Y120" i="1" s="1"/>
  <c r="X121" i="1"/>
  <c r="Y121" i="1" s="1"/>
  <c r="AB153" i="1"/>
  <c r="AB229" i="1"/>
  <c r="X249" i="1"/>
  <c r="Y249" i="1" s="1"/>
  <c r="X57" i="1"/>
  <c r="Y57" i="1" s="1"/>
  <c r="AB281" i="1"/>
  <c r="X217" i="1"/>
  <c r="Y217" i="1" s="1"/>
  <c r="X216" i="1"/>
  <c r="Y216" i="1" s="1"/>
  <c r="AB191" i="1"/>
  <c r="AB165" i="1"/>
  <c r="X241" i="1"/>
  <c r="Y241" i="1" s="1"/>
  <c r="AB114" i="1"/>
  <c r="X194" i="1"/>
  <c r="X98" i="1"/>
  <c r="AB269" i="1"/>
  <c r="X261" i="1"/>
  <c r="Y261" i="1" s="1"/>
  <c r="AB277" i="1"/>
  <c r="AB276" i="1"/>
  <c r="AB81" i="1"/>
  <c r="X161" i="1"/>
  <c r="Y161" i="1" s="1"/>
  <c r="AB226" i="1"/>
  <c r="AB130" i="1"/>
  <c r="AB33" i="1"/>
  <c r="AB267" i="1"/>
  <c r="AB225" i="1"/>
  <c r="AB129" i="1"/>
  <c r="X65" i="1"/>
  <c r="Y65" i="1" s="1"/>
  <c r="AB263" i="1"/>
  <c r="X293" i="1"/>
  <c r="Y293" i="1" s="1"/>
  <c r="X113" i="1"/>
  <c r="Y113" i="1" s="1"/>
  <c r="AB292" i="1"/>
  <c r="X210" i="1"/>
  <c r="X34" i="1"/>
  <c r="AB146" i="1"/>
  <c r="X291" i="1"/>
  <c r="Y291" i="1" s="1"/>
  <c r="X33" i="1"/>
  <c r="Y33" i="1" s="1"/>
  <c r="AB193" i="1"/>
  <c r="AB145" i="1"/>
  <c r="AB97" i="1"/>
  <c r="X287" i="1"/>
  <c r="Y287" i="1" s="1"/>
  <c r="AB49" i="1"/>
  <c r="X276" i="1"/>
  <c r="Y276" i="1" s="1"/>
  <c r="X225" i="1"/>
  <c r="Y225" i="1" s="1"/>
  <c r="X177" i="1"/>
  <c r="Y177" i="1" s="1"/>
  <c r="X129" i="1"/>
  <c r="Y129" i="1" s="1"/>
  <c r="X81" i="1"/>
  <c r="Y81" i="1" s="1"/>
  <c r="X270" i="1"/>
  <c r="Y270" i="1" s="1"/>
  <c r="AB315" i="1"/>
  <c r="AB17" i="1"/>
  <c r="X264" i="1"/>
  <c r="Y264" i="1" s="1"/>
  <c r="Y110" i="1"/>
  <c r="AB265" i="1"/>
  <c r="AB304" i="1"/>
  <c r="X272" i="1"/>
  <c r="Y272" i="1" s="1"/>
  <c r="AB260" i="1"/>
  <c r="AB256" i="1"/>
  <c r="AB302" i="1"/>
  <c r="X265" i="1"/>
  <c r="Y265" i="1" s="1"/>
  <c r="AB254" i="1"/>
  <c r="X318" i="1"/>
  <c r="Y318" i="1" s="1"/>
  <c r="AB289" i="1"/>
  <c r="X313" i="1"/>
  <c r="Y313" i="1" s="1"/>
  <c r="X263" i="1"/>
  <c r="Y263" i="1" s="1"/>
  <c r="X306" i="1"/>
  <c r="X304" i="1"/>
  <c r="Y304" i="1" s="1"/>
  <c r="X254" i="1"/>
  <c r="X302" i="1"/>
  <c r="Y302" i="1" s="1"/>
  <c r="X253" i="1"/>
  <c r="Y253" i="1" s="1"/>
  <c r="X273" i="1"/>
  <c r="Y273" i="1" s="1"/>
  <c r="X252" i="1"/>
  <c r="AB318" i="1"/>
  <c r="AB305" i="1"/>
  <c r="AB303" i="1"/>
  <c r="AB288" i="1"/>
  <c r="AB270" i="1"/>
  <c r="X288" i="1"/>
  <c r="Y288" i="1" s="1"/>
  <c r="Y30" i="1"/>
  <c r="Y201" i="1"/>
  <c r="Y174" i="1"/>
  <c r="Y53" i="1"/>
  <c r="Y52" i="1"/>
  <c r="Y48" i="1"/>
  <c r="Y46" i="1"/>
  <c r="Y96" i="1"/>
  <c r="Y112" i="1"/>
  <c r="Y87" i="1"/>
  <c r="Y180" i="1"/>
  <c r="Y179" i="1"/>
  <c r="Y130" i="1"/>
  <c r="Y303" i="1"/>
  <c r="Y239" i="1"/>
  <c r="Y111" i="1"/>
  <c r="Y95" i="1"/>
  <c r="Y31" i="1"/>
  <c r="Y176" i="1"/>
  <c r="Y151" i="1"/>
  <c r="Y105" i="1"/>
  <c r="Y306" i="1"/>
  <c r="Y199" i="1"/>
  <c r="Y25" i="1"/>
  <c r="Y49" i="1"/>
  <c r="Y281" i="1"/>
  <c r="Y289" i="1"/>
  <c r="Y244" i="1"/>
  <c r="Y194" i="1"/>
  <c r="Y97" i="1"/>
  <c r="Y312" i="1"/>
  <c r="Y296" i="1"/>
  <c r="Y232" i="1"/>
  <c r="Y200" i="1"/>
  <c r="Y152" i="1"/>
  <c r="Y136" i="1"/>
  <c r="Y72" i="1"/>
  <c r="Y56" i="1"/>
  <c r="Y24" i="1"/>
  <c r="Y230" i="1"/>
  <c r="Y182" i="1"/>
  <c r="Y166" i="1"/>
  <c r="Y118" i="1"/>
  <c r="Y102" i="1"/>
  <c r="Y54" i="1"/>
  <c r="Y309" i="1"/>
  <c r="Y197" i="1"/>
  <c r="Y181" i="1"/>
  <c r="Y243" i="1"/>
  <c r="Y51" i="1"/>
  <c r="Y114" i="1"/>
  <c r="Y258" i="1"/>
  <c r="Y178" i="1"/>
  <c r="Y66" i="1"/>
  <c r="Y50" i="1"/>
  <c r="Y305" i="1"/>
  <c r="AB245" i="1"/>
  <c r="AB85" i="1"/>
  <c r="AB26" i="1"/>
  <c r="X248" i="1"/>
  <c r="Y248" i="1" s="1"/>
  <c r="X168" i="1"/>
  <c r="Y168" i="1" s="1"/>
  <c r="AB306" i="1"/>
  <c r="AB202" i="1"/>
  <c r="AB184" i="1"/>
  <c r="AB66" i="1"/>
  <c r="X226" i="1"/>
  <c r="Y226" i="1" s="1"/>
  <c r="X88" i="1"/>
  <c r="Y88" i="1" s="1"/>
  <c r="AB122" i="1"/>
  <c r="AB102" i="1"/>
  <c r="AB24" i="1"/>
  <c r="X277" i="1"/>
  <c r="Y277" i="1" s="1"/>
  <c r="X245" i="1"/>
  <c r="Y245" i="1" s="1"/>
  <c r="AB162" i="1"/>
  <c r="AB242" i="1"/>
  <c r="AB200" i="1"/>
  <c r="AB181" i="1"/>
  <c r="AB101" i="1"/>
  <c r="AB82" i="1"/>
  <c r="X184" i="1"/>
  <c r="Y184" i="1" s="1"/>
  <c r="AB266" i="1"/>
  <c r="AB120" i="1"/>
  <c r="AB42" i="1"/>
  <c r="AB21" i="1"/>
  <c r="X274" i="1"/>
  <c r="Y274" i="1" s="1"/>
  <c r="X242" i="1"/>
  <c r="Y242" i="1" s="1"/>
  <c r="X202" i="1"/>
  <c r="Y202" i="1" s="1"/>
  <c r="X104" i="1"/>
  <c r="Y104" i="1" s="1"/>
  <c r="X42" i="1"/>
  <c r="AB138" i="1"/>
  <c r="X21" i="1"/>
  <c r="Y21" i="1" s="1"/>
  <c r="AB197" i="1"/>
  <c r="AB264" i="1"/>
  <c r="AB178" i="1"/>
  <c r="AB18" i="1"/>
  <c r="X40" i="1"/>
  <c r="Y40" i="1" s="1"/>
  <c r="AB290" i="1"/>
  <c r="AB234" i="1"/>
  <c r="AB258" i="1"/>
  <c r="AB232" i="1"/>
  <c r="AB152" i="1"/>
  <c r="Y68" i="1"/>
  <c r="AB10" i="1"/>
  <c r="X10" i="1"/>
  <c r="Y10" i="1" s="1"/>
  <c r="AB50" i="1"/>
  <c r="X319" i="1"/>
  <c r="Y319" i="1" s="1"/>
  <c r="X316" i="1"/>
  <c r="Y316" i="1" s="1"/>
  <c r="X63" i="1"/>
  <c r="Y63" i="1" s="1"/>
  <c r="X286" i="1"/>
  <c r="Y286" i="1" s="1"/>
  <c r="AB207" i="1"/>
  <c r="AB95" i="1"/>
  <c r="X175" i="1"/>
  <c r="Y175" i="1" s="1"/>
  <c r="X285" i="1"/>
  <c r="Y285" i="1" s="1"/>
  <c r="AB284" i="1"/>
  <c r="X284" i="1"/>
  <c r="Y284" i="1" s="1"/>
  <c r="AB111" i="1"/>
  <c r="X191" i="1"/>
  <c r="Y191" i="1" s="1"/>
  <c r="X299" i="1"/>
  <c r="Y299" i="1" s="1"/>
  <c r="AB299" i="1"/>
  <c r="X298" i="1"/>
  <c r="Y298" i="1" s="1"/>
  <c r="AB298" i="1"/>
  <c r="X207" i="1"/>
  <c r="Y207" i="1" s="1"/>
  <c r="X297" i="1"/>
  <c r="Y297" i="1" s="1"/>
  <c r="AB297" i="1"/>
  <c r="X271" i="1"/>
  <c r="Y271" i="1" s="1"/>
  <c r="AB239" i="1"/>
  <c r="AB143" i="1"/>
  <c r="AB31" i="1"/>
  <c r="X301" i="1"/>
  <c r="X223" i="1"/>
  <c r="Y223" i="1" s="1"/>
  <c r="X268" i="1"/>
  <c r="Y268" i="1" s="1"/>
  <c r="AB159" i="1"/>
  <c r="AB223" i="1"/>
  <c r="AB287" i="1"/>
  <c r="AB314" i="1"/>
  <c r="Y256" i="1"/>
  <c r="Y240" i="1"/>
  <c r="Y192" i="1"/>
  <c r="Y128" i="1"/>
  <c r="Y80" i="1"/>
  <c r="Y64" i="1"/>
  <c r="Y16" i="1"/>
  <c r="X307" i="1"/>
  <c r="Y307" i="1" s="1"/>
  <c r="AB127" i="1"/>
  <c r="X308" i="1"/>
  <c r="Y308" i="1" s="1"/>
  <c r="AB255" i="1"/>
  <c r="AB308" i="1"/>
  <c r="AB282" i="1"/>
  <c r="AB63" i="1"/>
  <c r="X320" i="1"/>
  <c r="X47" i="1"/>
  <c r="Y47" i="1" s="1"/>
  <c r="Y254" i="1"/>
  <c r="Y206" i="1"/>
  <c r="Y190" i="1"/>
  <c r="Y142" i="1"/>
  <c r="Y78" i="1"/>
  <c r="Y62" i="1"/>
  <c r="Y229" i="1"/>
  <c r="Y213" i="1"/>
  <c r="Y165" i="1"/>
  <c r="Y149" i="1"/>
  <c r="Y101" i="1"/>
  <c r="Y85" i="1"/>
  <c r="Y37" i="1"/>
  <c r="Y292" i="1"/>
  <c r="Y260" i="1"/>
  <c r="Y228" i="1"/>
  <c r="Y212" i="1"/>
  <c r="Y196" i="1"/>
  <c r="Y164" i="1"/>
  <c r="Y148" i="1"/>
  <c r="Y132" i="1"/>
  <c r="Y100" i="1"/>
  <c r="Y84" i="1"/>
  <c r="Y36" i="1"/>
  <c r="Y20" i="1"/>
  <c r="AB251" i="1"/>
  <c r="Y275" i="1"/>
  <c r="Y227" i="1"/>
  <c r="Y211" i="1"/>
  <c r="Y163" i="1"/>
  <c r="Y147" i="1"/>
  <c r="Y99" i="1"/>
  <c r="Y83" i="1"/>
  <c r="Y35" i="1"/>
  <c r="Y19" i="1"/>
  <c r="AB250" i="1"/>
  <c r="AB312" i="1"/>
  <c r="AB296" i="1"/>
  <c r="X280" i="1"/>
  <c r="Y280" i="1" s="1"/>
  <c r="AB280" i="1"/>
  <c r="X311" i="1"/>
  <c r="Y311" i="1" s="1"/>
  <c r="AB311" i="1"/>
  <c r="X279" i="1"/>
  <c r="Y279" i="1" s="1"/>
  <c r="AB279" i="1"/>
  <c r="X22" i="1"/>
  <c r="Y22" i="1" s="1"/>
  <c r="X86" i="1"/>
  <c r="Y86" i="1" s="1"/>
  <c r="AB86" i="1"/>
  <c r="AB118" i="1"/>
  <c r="X246" i="1"/>
  <c r="Y246" i="1" s="1"/>
  <c r="AB262" i="1"/>
  <c r="X262" i="1"/>
  <c r="Y262" i="1" s="1"/>
  <c r="AB38" i="1"/>
  <c r="X38" i="1"/>
  <c r="Y38" i="1" s="1"/>
  <c r="AB134" i="1"/>
  <c r="Y32" i="1"/>
  <c r="Y320" i="1"/>
  <c r="Y208" i="1"/>
  <c r="Y14" i="1"/>
  <c r="AB70" i="1"/>
  <c r="X70" i="1"/>
  <c r="Y70" i="1" s="1"/>
  <c r="Y144" i="1"/>
  <c r="AB166" i="1"/>
  <c r="Y126" i="1"/>
  <c r="AB22" i="1"/>
  <c r="AB182" i="1"/>
  <c r="X134" i="1"/>
  <c r="Y134" i="1" s="1"/>
  <c r="AB150" i="1"/>
  <c r="AB295" i="1"/>
  <c r="AB273" i="1"/>
  <c r="X150" i="1"/>
  <c r="Y150" i="1" s="1"/>
  <c r="X317" i="1"/>
  <c r="Y317" i="1" s="1"/>
  <c r="AB310" i="1"/>
  <c r="X310" i="1"/>
  <c r="Y310" i="1" s="1"/>
  <c r="AB54" i="1"/>
  <c r="AB278" i="1"/>
  <c r="X278" i="1"/>
  <c r="Y278" i="1" s="1"/>
  <c r="X294" i="1"/>
  <c r="Y294" i="1" s="1"/>
  <c r="AB294" i="1"/>
  <c r="AB230" i="1"/>
  <c r="X198" i="1"/>
  <c r="Y198" i="1" s="1"/>
  <c r="AB257" i="1"/>
  <c r="Y255" i="1"/>
  <c r="Y143" i="1"/>
  <c r="Y127" i="1"/>
  <c r="Y79" i="1"/>
  <c r="Y15" i="1"/>
  <c r="X300" i="1"/>
  <c r="Y300" i="1" s="1"/>
  <c r="AB177" i="1"/>
  <c r="X209" i="1"/>
  <c r="Y209" i="1" s="1"/>
  <c r="X259" i="1"/>
  <c r="Y259" i="1" s="1"/>
  <c r="AB275" i="1"/>
  <c r="Y295" i="1"/>
  <c r="Y247" i="1"/>
  <c r="Y231" i="1"/>
  <c r="Y183" i="1"/>
  <c r="Y167" i="1"/>
  <c r="Y119" i="1"/>
  <c r="Y103" i="1"/>
  <c r="Y39" i="1"/>
  <c r="Y290" i="1"/>
  <c r="Y210" i="1"/>
  <c r="Y162" i="1"/>
  <c r="Y146" i="1"/>
  <c r="Y98" i="1"/>
  <c r="Y82" i="1"/>
  <c r="Y34" i="1"/>
  <c r="Y18" i="1"/>
  <c r="Y257" i="1"/>
  <c r="Y193" i="1"/>
  <c r="Y145" i="1"/>
  <c r="Y17" i="1"/>
  <c r="Y13" i="1"/>
  <c r="Y205" i="1"/>
  <c r="Y77" i="1"/>
  <c r="Y236" i="1"/>
  <c r="Y76" i="1"/>
  <c r="Y221" i="1"/>
  <c r="Y93" i="1"/>
  <c r="Y252" i="1"/>
  <c r="Y11" i="1"/>
  <c r="Y301" i="1"/>
  <c r="Y173" i="1"/>
  <c r="Y125" i="1"/>
  <c r="Y61" i="1"/>
  <c r="Y204" i="1"/>
  <c r="Y156" i="1"/>
  <c r="Y124" i="1"/>
  <c r="Y92" i="1"/>
  <c r="Y28" i="1"/>
  <c r="Y235" i="1"/>
  <c r="Y59" i="1"/>
  <c r="Y314" i="1"/>
  <c r="Y282" i="1"/>
  <c r="Y266" i="1"/>
  <c r="Y250" i="1"/>
  <c r="Y234" i="1"/>
  <c r="Y218" i="1"/>
  <c r="Y186" i="1"/>
  <c r="Y170" i="1"/>
  <c r="Y154" i="1"/>
  <c r="Y138" i="1"/>
  <c r="Y122" i="1"/>
  <c r="Y106" i="1"/>
  <c r="Y90" i="1"/>
  <c r="Y74" i="1"/>
  <c r="Y58" i="1"/>
  <c r="Y42" i="1"/>
  <c r="Y26" i="1"/>
  <c r="Y237" i="1"/>
  <c r="Y157" i="1"/>
  <c r="Y109" i="1"/>
  <c r="Y29" i="1"/>
  <c r="Y172" i="1"/>
  <c r="Y60" i="1"/>
  <c r="Y315" i="1"/>
  <c r="Y267" i="1"/>
  <c r="Y219" i="1"/>
  <c r="Y187" i="1"/>
  <c r="Y155" i="1"/>
  <c r="Y123" i="1"/>
  <c r="Y91" i="1"/>
  <c r="Y43" i="1"/>
  <c r="Y269" i="1"/>
  <c r="Y189" i="1"/>
  <c r="Y141" i="1"/>
  <c r="Y45" i="1"/>
  <c r="Y220" i="1"/>
  <c r="Y188" i="1"/>
  <c r="Y140" i="1"/>
  <c r="Y108" i="1"/>
  <c r="Y44" i="1"/>
  <c r="Y12" i="1"/>
  <c r="Y283" i="1"/>
  <c r="Y251" i="1"/>
  <c r="Y203" i="1"/>
  <c r="Y171" i="1"/>
  <c r="Y139" i="1"/>
  <c r="Y107" i="1"/>
  <c r="Y75" i="1"/>
  <c r="Y27" i="1"/>
  <c r="T2" i="1"/>
  <c r="T3" i="1"/>
  <c r="T4" i="1"/>
  <c r="T5" i="1"/>
  <c r="T6" i="1"/>
  <c r="T7" i="1"/>
  <c r="T8" i="1"/>
  <c r="T9" i="1"/>
  <c r="E3500" i="3"/>
  <c r="E3847" i="3"/>
  <c r="E434" i="3"/>
  <c r="E13" i="3"/>
  <c r="E1507" i="3"/>
  <c r="E3439" i="3"/>
  <c r="E3410" i="3"/>
  <c r="E2442" i="3"/>
  <c r="E3039" i="3"/>
  <c r="E1906" i="3"/>
  <c r="E3725" i="3"/>
  <c r="E1700" i="3"/>
  <c r="E2757" i="3"/>
  <c r="E2481" i="3"/>
  <c r="E523" i="3"/>
  <c r="E2869" i="3"/>
  <c r="E928" i="3"/>
  <c r="E2250" i="3"/>
  <c r="E522" i="3"/>
  <c r="E1148" i="3"/>
  <c r="E3233" i="3"/>
  <c r="E2361" i="3"/>
  <c r="E3514" i="3"/>
  <c r="E3118" i="3"/>
  <c r="E897" i="3"/>
  <c r="E3161" i="3"/>
  <c r="E976" i="3"/>
  <c r="E2738" i="3"/>
  <c r="E502" i="3"/>
  <c r="E3191" i="3"/>
  <c r="E2243" i="3"/>
  <c r="E1355" i="3"/>
  <c r="E744" i="3"/>
  <c r="E187" i="3"/>
  <c r="E1820" i="3"/>
  <c r="E550" i="3"/>
  <c r="E3528" i="3"/>
  <c r="E1453" i="3"/>
  <c r="E525" i="3"/>
  <c r="E473" i="3"/>
  <c r="E246" i="3"/>
  <c r="E2299" i="3"/>
  <c r="E1232" i="3"/>
  <c r="E1105" i="3"/>
  <c r="E125" i="3"/>
  <c r="E1327" i="3"/>
  <c r="E1125" i="3"/>
  <c r="E468" i="3"/>
  <c r="E1633" i="3"/>
  <c r="E2904" i="3"/>
  <c r="E322" i="3"/>
  <c r="E637" i="3"/>
  <c r="E127" i="3"/>
  <c r="E2226" i="3"/>
  <c r="E1060" i="3"/>
  <c r="E2125" i="3"/>
  <c r="E1666" i="3"/>
  <c r="E1636" i="3"/>
  <c r="E1386" i="3"/>
  <c r="E1739" i="3"/>
  <c r="E1595" i="3"/>
  <c r="E1789" i="3"/>
  <c r="E1822" i="3"/>
  <c r="E3418" i="3"/>
  <c r="E1983" i="3"/>
  <c r="E20" i="3"/>
  <c r="E3702" i="3"/>
  <c r="E503" i="3"/>
  <c r="E447" i="3"/>
  <c r="E3483" i="3"/>
  <c r="E1280" i="3"/>
  <c r="E3964" i="3"/>
  <c r="E2070" i="3"/>
  <c r="E1183" i="3"/>
  <c r="E1409" i="3"/>
  <c r="E800" i="3"/>
  <c r="E796" i="3"/>
  <c r="E1637" i="3"/>
  <c r="E3934" i="3"/>
  <c r="E3865" i="3"/>
  <c r="E3120" i="3"/>
  <c r="E820" i="3"/>
  <c r="E3367" i="3"/>
  <c r="E2931" i="3"/>
  <c r="E3879" i="3"/>
  <c r="E811" i="3"/>
  <c r="E2148" i="3"/>
  <c r="E3474" i="3"/>
  <c r="E1287" i="3"/>
  <c r="E3365" i="3"/>
  <c r="E2440" i="3"/>
  <c r="E3527" i="3"/>
  <c r="E472" i="3"/>
  <c r="E1231" i="3"/>
  <c r="E124" i="3"/>
  <c r="E2242" i="3"/>
  <c r="E126" i="3"/>
  <c r="E1385" i="3"/>
  <c r="E1788" i="3"/>
  <c r="E2439" i="3"/>
  <c r="E514" i="3"/>
  <c r="E142" i="3"/>
  <c r="E610" i="3"/>
  <c r="E221" i="3"/>
  <c r="E987" i="3"/>
  <c r="E915" i="3"/>
  <c r="E3177" i="3"/>
  <c r="E1677" i="3"/>
  <c r="E952" i="3"/>
  <c r="E826" i="3"/>
  <c r="E3644" i="3"/>
  <c r="E1622" i="3"/>
  <c r="E1594" i="3"/>
  <c r="E471" i="3"/>
  <c r="E3366" i="3"/>
  <c r="E2438" i="3"/>
  <c r="E71" i="3"/>
  <c r="E2764" i="3"/>
  <c r="E1720" i="3"/>
  <c r="E1246" i="3"/>
  <c r="E1347" i="3"/>
  <c r="E885" i="3"/>
  <c r="E1034" i="3"/>
  <c r="E1454" i="3"/>
  <c r="E3204" i="3"/>
  <c r="E3225" i="3"/>
  <c r="E1961" i="3"/>
  <c r="E4" i="3"/>
  <c r="E3883" i="3"/>
  <c r="E1689" i="3"/>
  <c r="E541" i="3"/>
  <c r="E223" i="3"/>
  <c r="E2216" i="3"/>
  <c r="E195" i="3"/>
  <c r="E1215" i="3"/>
  <c r="E1377" i="3"/>
  <c r="E3634" i="3"/>
  <c r="E3554" i="3"/>
  <c r="E1023" i="3"/>
  <c r="E830" i="3"/>
  <c r="E895" i="3"/>
  <c r="E504" i="3"/>
  <c r="E1742" i="3"/>
  <c r="E695" i="3"/>
  <c r="E771" i="3"/>
  <c r="E1389" i="3"/>
  <c r="E342" i="3"/>
  <c r="E2386" i="3"/>
  <c r="E729" i="3"/>
  <c r="E1917" i="3"/>
  <c r="E1884" i="3"/>
  <c r="E146" i="3"/>
  <c r="E1118" i="3"/>
  <c r="E3511" i="3"/>
  <c r="E3162" i="3"/>
  <c r="E3081" i="3"/>
  <c r="E375" i="3"/>
  <c r="E1542" i="3"/>
  <c r="E3585" i="3"/>
  <c r="E2497" i="3"/>
  <c r="E694" i="3"/>
  <c r="E230" i="3"/>
  <c r="E3501" i="3"/>
  <c r="E12" i="3"/>
  <c r="E29" i="3"/>
  <c r="E2875" i="3"/>
  <c r="E3726" i="3"/>
  <c r="E228" i="3"/>
  <c r="E626" i="3"/>
  <c r="E464" i="3"/>
  <c r="E2265" i="3"/>
  <c r="E1272" i="3"/>
  <c r="E1076" i="3"/>
  <c r="E3612" i="3"/>
  <c r="E259" i="3"/>
  <c r="E737" i="3"/>
  <c r="E2041" i="3"/>
  <c r="E2680" i="3"/>
  <c r="E988" i="3"/>
  <c r="E1104" i="3"/>
  <c r="E366" i="3"/>
  <c r="E3727" i="3"/>
  <c r="E3522" i="3"/>
  <c r="E1584" i="3"/>
  <c r="E3529" i="3"/>
  <c r="E1998" i="3"/>
  <c r="E3951" i="3"/>
  <c r="E2461" i="3"/>
  <c r="E3466" i="3"/>
  <c r="E463" i="3"/>
  <c r="E1717" i="3"/>
  <c r="E1519" i="3"/>
  <c r="E1581" i="3"/>
  <c r="E2430" i="3"/>
  <c r="E3361" i="3"/>
  <c r="E3944" i="3"/>
  <c r="E372" i="3"/>
  <c r="E3901" i="3"/>
  <c r="E2976" i="3"/>
  <c r="E3138" i="3"/>
  <c r="E3151" i="3"/>
  <c r="E2068" i="3"/>
  <c r="E241" i="3"/>
  <c r="E3829" i="3"/>
  <c r="E2761" i="3"/>
  <c r="E1230" i="3"/>
  <c r="E123" i="3"/>
  <c r="E1593" i="3"/>
  <c r="E70" i="3"/>
  <c r="E625" i="3"/>
  <c r="E2445" i="3"/>
  <c r="E1022" i="3"/>
  <c r="E1331" i="3"/>
  <c r="E2901" i="3"/>
  <c r="E2557" i="3"/>
  <c r="E419" i="3"/>
  <c r="E2759" i="3"/>
  <c r="E1388" i="3"/>
  <c r="E402" i="3"/>
  <c r="E253" i="3"/>
  <c r="E1922" i="3"/>
  <c r="E1366" i="3"/>
  <c r="E538" i="3"/>
  <c r="E1864" i="3"/>
  <c r="E768" i="3"/>
  <c r="E2059" i="3"/>
  <c r="E144" i="3"/>
  <c r="E909" i="3"/>
  <c r="E1607" i="3"/>
  <c r="E239" i="3"/>
  <c r="E606" i="3"/>
  <c r="E1580" i="3"/>
  <c r="E1057" i="3"/>
  <c r="E905" i="3"/>
  <c r="E483" i="3"/>
  <c r="E2302" i="3"/>
  <c r="E121" i="3"/>
  <c r="E1328" i="3"/>
  <c r="E3321" i="3"/>
  <c r="E1293" i="3"/>
  <c r="E951" i="3"/>
  <c r="E3523" i="3"/>
  <c r="E1613" i="3"/>
  <c r="E2802" i="3"/>
  <c r="E2862" i="3"/>
  <c r="E2313" i="3"/>
  <c r="E345" i="3"/>
  <c r="E696" i="3"/>
  <c r="E1431" i="3"/>
  <c r="E1117" i="3"/>
  <c r="E3509" i="3"/>
  <c r="E33" i="3"/>
  <c r="E2853" i="3"/>
  <c r="E1254" i="3"/>
  <c r="E3330" i="3"/>
  <c r="E893" i="3"/>
  <c r="E969" i="3"/>
  <c r="E3038" i="3"/>
  <c r="E3356" i="3"/>
  <c r="E1322" i="3"/>
  <c r="E1166" i="3"/>
  <c r="E1281" i="3"/>
  <c r="E3099" i="3"/>
  <c r="E2637" i="3"/>
  <c r="E3240" i="3"/>
  <c r="E2825" i="3"/>
  <c r="E949" i="3"/>
  <c r="E513" i="3"/>
  <c r="E914" i="3"/>
  <c r="E3150" i="3"/>
  <c r="E2861" i="3"/>
  <c r="E1592" i="3"/>
  <c r="E3900" i="3"/>
  <c r="E1506" i="3"/>
  <c r="E1632" i="3"/>
  <c r="E3864" i="3"/>
  <c r="E3943" i="3"/>
  <c r="E245" i="3"/>
  <c r="E2860" i="3"/>
  <c r="E2328" i="3"/>
  <c r="E717" i="3"/>
  <c r="E579" i="3"/>
  <c r="E1954" i="3"/>
  <c r="E828" i="3"/>
  <c r="E1937" i="3"/>
  <c r="E2597" i="3"/>
  <c r="E655" i="3"/>
  <c r="E1336" i="3"/>
  <c r="E754" i="3"/>
  <c r="E1234" i="3"/>
  <c r="E3343" i="3"/>
  <c r="E3203" i="3"/>
  <c r="E2462" i="3"/>
  <c r="E496" i="3"/>
  <c r="E1880" i="3"/>
  <c r="E1137" i="3"/>
  <c r="E1026" i="3"/>
  <c r="E2864" i="3"/>
  <c r="E77" i="3"/>
  <c r="E912" i="3"/>
  <c r="E3257" i="3"/>
  <c r="E1952" i="3"/>
  <c r="E1015" i="3"/>
  <c r="E115" i="3"/>
  <c r="E431" i="3"/>
  <c r="E2529" i="3"/>
  <c r="E247" i="3"/>
  <c r="E1918" i="3"/>
  <c r="E981" i="3"/>
  <c r="E3567" i="3"/>
  <c r="E3834" i="3"/>
  <c r="E2598" i="3"/>
  <c r="E1081" i="3"/>
  <c r="E2179" i="3"/>
  <c r="E1353" i="3"/>
  <c r="E2311" i="3"/>
  <c r="E3862" i="3"/>
  <c r="E1392" i="3"/>
  <c r="E3018" i="3"/>
  <c r="E542" i="3"/>
  <c r="E192" i="3"/>
  <c r="E3224" i="3"/>
  <c r="E3959" i="3"/>
  <c r="E1419" i="3"/>
  <c r="E2610" i="3"/>
  <c r="E510" i="3"/>
  <c r="E2167" i="3"/>
  <c r="E1013" i="3"/>
  <c r="E1640" i="3"/>
  <c r="E105" i="3"/>
  <c r="E3936" i="3"/>
  <c r="E3809" i="3"/>
  <c r="E1258" i="3"/>
  <c r="E954" i="3"/>
  <c r="E2050" i="3"/>
  <c r="E3445" i="3"/>
  <c r="E1881" i="3"/>
  <c r="E3717" i="3"/>
  <c r="E1349" i="3"/>
  <c r="E196" i="3"/>
  <c r="E393" i="3"/>
  <c r="E454" i="3"/>
  <c r="E1572" i="3"/>
  <c r="E1985" i="3"/>
  <c r="E69" i="3"/>
  <c r="E568" i="3"/>
  <c r="E1315" i="3"/>
  <c r="E2117" i="3"/>
  <c r="E1285" i="3"/>
  <c r="E3140" i="3"/>
  <c r="E1235" i="3"/>
  <c r="E2441" i="3"/>
  <c r="E745" i="3"/>
  <c r="E358" i="3"/>
  <c r="E1539" i="3"/>
  <c r="E3646" i="3"/>
  <c r="E1108" i="3"/>
  <c r="E3036" i="3"/>
  <c r="E59" i="3"/>
  <c r="E546" i="3"/>
  <c r="E166" i="3"/>
  <c r="E1984" i="3"/>
  <c r="E2803" i="3"/>
  <c r="E1690" i="3"/>
  <c r="E1444" i="3"/>
  <c r="E3866" i="3"/>
  <c r="E5" i="3"/>
  <c r="E1982" i="3"/>
  <c r="E1484" i="3"/>
  <c r="E2975" i="3"/>
  <c r="E911" i="3"/>
  <c r="E3149" i="3"/>
  <c r="E321" i="3"/>
  <c r="E624" i="3"/>
  <c r="E3521" i="3"/>
  <c r="E2812" i="3"/>
  <c r="E293" i="3"/>
  <c r="E2184" i="3"/>
  <c r="E3502" i="3"/>
  <c r="E1196" i="3"/>
  <c r="E3459" i="3"/>
  <c r="E3722" i="3"/>
  <c r="E3592" i="3"/>
  <c r="E128" i="3"/>
  <c r="E2504" i="3"/>
  <c r="E1063" i="3"/>
  <c r="E1567" i="3"/>
  <c r="E881" i="3"/>
  <c r="E1676" i="3"/>
  <c r="E118" i="3"/>
  <c r="E832" i="3"/>
  <c r="E1520" i="3"/>
  <c r="E1447" i="3"/>
  <c r="E2080" i="3"/>
  <c r="E2357" i="3"/>
  <c r="E2804" i="3"/>
  <c r="E3858" i="3"/>
  <c r="E1029" i="3"/>
  <c r="E1746" i="3"/>
  <c r="E862" i="3"/>
  <c r="E1155" i="3"/>
  <c r="E2666" i="3"/>
  <c r="E1240" i="3"/>
  <c r="E3937" i="3"/>
  <c r="E418" i="3"/>
  <c r="E1302" i="3"/>
  <c r="E2916" i="3"/>
  <c r="E1693" i="3"/>
  <c r="E1535" i="3"/>
  <c r="E1257" i="3"/>
  <c r="E910" i="3"/>
  <c r="E3559" i="3"/>
  <c r="E1350" i="3"/>
  <c r="E667" i="3"/>
  <c r="E959" i="3"/>
  <c r="E2147" i="3"/>
  <c r="E1044" i="3"/>
  <c r="E165" i="3"/>
  <c r="E1841" i="3"/>
  <c r="E2518" i="3"/>
  <c r="E390" i="3"/>
  <c r="E3658" i="3"/>
  <c r="E997" i="3"/>
  <c r="E1184" i="3"/>
  <c r="E1766" i="3"/>
  <c r="E147" i="3"/>
  <c r="E2631" i="3"/>
  <c r="E2682" i="3"/>
  <c r="E2362" i="3"/>
  <c r="E2062" i="3"/>
  <c r="E3335" i="3"/>
  <c r="E1566" i="3"/>
  <c r="E989" i="3"/>
  <c r="E1669" i="3"/>
  <c r="E1343" i="3"/>
  <c r="E341" i="3"/>
  <c r="E2227" i="3"/>
  <c r="E1552" i="3"/>
  <c r="E1397" i="3"/>
  <c r="E846" i="3"/>
  <c r="E1479" i="3"/>
  <c r="E201" i="3"/>
  <c r="E2035" i="3"/>
  <c r="E2627" i="3"/>
  <c r="E759" i="3"/>
  <c r="E2496" i="3"/>
  <c r="E1968" i="3"/>
  <c r="E3618" i="3"/>
  <c r="E462" i="3"/>
  <c r="E831" i="3"/>
  <c r="E3558" i="3"/>
  <c r="E356" i="3"/>
  <c r="E119" i="3"/>
  <c r="E686" i="3"/>
  <c r="E3954" i="3"/>
  <c r="E702" i="3"/>
  <c r="E2467" i="3"/>
  <c r="E1415" i="3"/>
  <c r="E1705" i="3"/>
  <c r="E1401" i="3"/>
  <c r="E1596" i="3"/>
  <c r="E2724" i="3"/>
  <c r="E706" i="3"/>
  <c r="E725" i="3"/>
  <c r="E190" i="3"/>
  <c r="E1403" i="3"/>
  <c r="E444" i="3"/>
  <c r="E2983" i="3"/>
  <c r="E1522" i="3"/>
  <c r="E1923" i="3"/>
  <c r="E1390" i="3"/>
  <c r="E488" i="3"/>
  <c r="E320" i="3"/>
  <c r="E3211" i="3"/>
  <c r="E169" i="3"/>
  <c r="E1437" i="3"/>
  <c r="E810" i="3"/>
  <c r="E1762" i="3"/>
  <c r="E3510" i="3"/>
  <c r="E1992" i="3"/>
  <c r="E1910" i="3"/>
  <c r="E1994" i="3"/>
  <c r="E396" i="3"/>
  <c r="E2339" i="3"/>
  <c r="E1384" i="3"/>
  <c r="E674" i="3"/>
  <c r="E3783" i="3"/>
  <c r="E83" i="3"/>
  <c r="E2120" i="3"/>
  <c r="E410" i="3"/>
  <c r="E2425" i="3"/>
  <c r="E3562" i="3"/>
  <c r="E1969" i="3"/>
  <c r="E998" i="3"/>
  <c r="E2129" i="3"/>
  <c r="E3154" i="3"/>
  <c r="E1785" i="3"/>
  <c r="E3637" i="3"/>
  <c r="E517" i="3"/>
  <c r="E685" i="3"/>
  <c r="E282" i="3"/>
  <c r="E2290" i="3"/>
  <c r="E1007" i="3"/>
  <c r="E2352" i="3"/>
  <c r="E2773" i="3"/>
  <c r="E1140" i="3"/>
  <c r="E479" i="3"/>
  <c r="E699" i="3"/>
  <c r="E2776" i="3"/>
  <c r="E238" i="3"/>
  <c r="E155" i="3"/>
  <c r="E1164" i="3"/>
  <c r="E3272" i="3"/>
  <c r="E3354" i="3"/>
  <c r="E2209" i="3"/>
  <c r="E2632" i="3"/>
  <c r="E3280" i="3"/>
  <c r="E422" i="3"/>
  <c r="E1126" i="3"/>
  <c r="E1609" i="3"/>
  <c r="E839" i="3"/>
  <c r="E1363" i="3"/>
  <c r="E3786" i="3"/>
  <c r="E1123" i="3"/>
  <c r="E2219" i="3"/>
  <c r="E1472" i="3"/>
  <c r="E7" i="3"/>
  <c r="E594" i="3"/>
  <c r="E2274" i="3"/>
  <c r="E3373" i="3"/>
  <c r="E3863" i="3"/>
  <c r="E104" i="3"/>
  <c r="E1704" i="3"/>
  <c r="E724" i="3"/>
  <c r="E3782" i="3"/>
  <c r="E3557" i="3"/>
  <c r="E1471" i="3"/>
  <c r="E2291" i="3"/>
  <c r="E3625" i="3"/>
  <c r="E2310" i="3"/>
  <c r="E1724" i="3"/>
  <c r="E2951" i="3"/>
  <c r="E975" i="3"/>
  <c r="E1325" i="3"/>
  <c r="E1192" i="3"/>
  <c r="E2881" i="3"/>
  <c r="E2040" i="3"/>
  <c r="E2332" i="3"/>
  <c r="E248" i="3"/>
  <c r="E1878" i="3"/>
  <c r="E80" i="3"/>
  <c r="E19" i="3"/>
  <c r="E95" i="3"/>
  <c r="E3477" i="3"/>
  <c r="E2948" i="3"/>
  <c r="E1571" i="3"/>
  <c r="E1811" i="3"/>
  <c r="E654" i="3"/>
  <c r="E458" i="3"/>
  <c r="E723" i="3"/>
  <c r="E672" i="3"/>
  <c r="E2188" i="3"/>
  <c r="E2780" i="3"/>
  <c r="E191" i="3"/>
  <c r="E1434" i="3"/>
  <c r="E3405" i="3"/>
  <c r="E799" i="3"/>
  <c r="E1963" i="3"/>
  <c r="E3656" i="3"/>
  <c r="E853" i="3"/>
  <c r="E3512" i="3"/>
  <c r="E1052" i="3"/>
  <c r="E1005" i="3"/>
  <c r="E972" i="3"/>
  <c r="E1193" i="3"/>
  <c r="E938" i="3"/>
  <c r="E3627" i="3"/>
  <c r="E1109" i="3"/>
  <c r="E571" i="3"/>
  <c r="E2437" i="3"/>
  <c r="E2373" i="3"/>
  <c r="E3124" i="3"/>
  <c r="E2521" i="3"/>
  <c r="E2402" i="3"/>
  <c r="E135" i="3"/>
  <c r="E2" i="3"/>
  <c r="E1934" i="3"/>
  <c r="E884" i="3"/>
  <c r="E1165" i="3"/>
  <c r="E775" i="3"/>
  <c r="E2138" i="3"/>
  <c r="E3582" i="3"/>
  <c r="E1114" i="3"/>
  <c r="E409" i="3"/>
  <c r="E3683" i="3"/>
  <c r="E3916" i="3"/>
  <c r="E3630" i="3"/>
  <c r="E2935" i="3"/>
  <c r="E3602" i="3"/>
  <c r="E1660" i="3"/>
  <c r="E1033" i="3"/>
  <c r="E2446" i="3"/>
  <c r="E3295" i="3"/>
  <c r="E3470" i="3"/>
  <c r="E2729" i="3"/>
  <c r="E3947" i="3"/>
  <c r="E3524" i="3"/>
  <c r="E3548" i="3"/>
  <c r="E2304" i="3"/>
  <c r="E3029" i="3"/>
  <c r="E1835" i="3"/>
  <c r="E2323" i="3"/>
  <c r="E2617" i="3"/>
  <c r="E441" i="3"/>
  <c r="E2697" i="3"/>
  <c r="E3207" i="3"/>
  <c r="E2436" i="3"/>
  <c r="E357" i="3"/>
  <c r="E3201" i="3"/>
  <c r="E1335" i="3"/>
  <c r="E900" i="3"/>
  <c r="E1303" i="3"/>
  <c r="E2822" i="3"/>
  <c r="E1071" i="3"/>
  <c r="E3666" i="3"/>
  <c r="E2266" i="3"/>
  <c r="E2019" i="3"/>
  <c r="E1470" i="3"/>
  <c r="E1284" i="3"/>
  <c r="E354" i="3"/>
  <c r="E2772" i="3"/>
  <c r="E2499" i="3"/>
  <c r="E1072" i="3"/>
  <c r="E3237" i="3"/>
  <c r="E943" i="3"/>
  <c r="E3417" i="3"/>
  <c r="E1369" i="3"/>
  <c r="E3544" i="3"/>
  <c r="E2189" i="3"/>
  <c r="E3891" i="3"/>
  <c r="E1784" i="3"/>
  <c r="E397" i="3"/>
  <c r="E2005" i="3"/>
  <c r="E2816" i="3"/>
  <c r="E3960" i="3"/>
  <c r="E889" i="3"/>
  <c r="E73" i="3"/>
  <c r="E103" i="3"/>
  <c r="E1879" i="3"/>
  <c r="E2937" i="3"/>
  <c r="E1266" i="3"/>
  <c r="E3310" i="3"/>
  <c r="E1268" i="3"/>
  <c r="E518" i="3"/>
  <c r="E91" i="3"/>
  <c r="E2566" i="3"/>
  <c r="E3216" i="3"/>
  <c r="E6" i="3"/>
  <c r="E3823" i="3"/>
  <c r="E1606" i="3"/>
  <c r="E2006" i="3"/>
  <c r="E2687" i="3"/>
  <c r="E306" i="3"/>
  <c r="E2161" i="3"/>
  <c r="E3196" i="3"/>
  <c r="E3711" i="3"/>
  <c r="E3876" i="3"/>
  <c r="E3799" i="3"/>
  <c r="E380" i="3"/>
  <c r="E2066" i="3"/>
  <c r="E2550" i="3"/>
  <c r="E1004" i="3"/>
  <c r="E675" i="3"/>
  <c r="E45" i="3"/>
  <c r="E1286" i="3"/>
  <c r="E2503" i="3"/>
  <c r="E3525" i="3"/>
  <c r="E3526" i="3"/>
  <c r="E3364" i="3"/>
  <c r="E2887" i="3"/>
  <c r="E2605" i="3"/>
  <c r="E256" i="3"/>
  <c r="E2055" i="3"/>
  <c r="E1064" i="3"/>
  <c r="E1102" i="3"/>
  <c r="E1805" i="3"/>
  <c r="E2252" i="3"/>
  <c r="E2502" i="3"/>
  <c r="E1265" i="3"/>
  <c r="E2616" i="3"/>
  <c r="E3601" i="3"/>
  <c r="E1113" i="3"/>
  <c r="E3953" i="3"/>
  <c r="E1478" i="3"/>
  <c r="E344" i="3"/>
  <c r="E941" i="3"/>
  <c r="E964" i="3"/>
  <c r="E1818" i="3"/>
  <c r="E337" i="3"/>
  <c r="E3040" i="3"/>
  <c r="E231" i="3"/>
  <c r="E300" i="3"/>
  <c r="E1821" i="3"/>
  <c r="E1883" i="3"/>
  <c r="E94" i="3"/>
  <c r="E3894" i="3"/>
  <c r="E2865" i="3"/>
  <c r="E183" i="3"/>
  <c r="E150" i="3"/>
  <c r="E2771" i="3"/>
  <c r="E596" i="3"/>
  <c r="E2572" i="3"/>
  <c r="E868" i="3"/>
  <c r="E2065" i="3"/>
  <c r="E1318" i="3"/>
  <c r="E2069" i="3"/>
  <c r="E2543" i="3"/>
  <c r="E2626" i="3"/>
  <c r="E3073" i="3"/>
  <c r="E2432" i="3"/>
  <c r="E3292" i="3"/>
  <c r="E2768" i="3"/>
  <c r="E992" i="3"/>
  <c r="E3545" i="3"/>
  <c r="E2401" i="3"/>
  <c r="E1680" i="3"/>
  <c r="E130" i="3"/>
  <c r="E1551" i="3"/>
  <c r="E728" i="3"/>
  <c r="E2890" i="3"/>
  <c r="E2696" i="3"/>
  <c r="E72" i="3"/>
  <c r="E2805" i="3"/>
  <c r="E153" i="3"/>
  <c r="E3733" i="3"/>
  <c r="E2126" i="3"/>
  <c r="E299" i="3"/>
  <c r="E524" i="3"/>
  <c r="E151" i="3"/>
  <c r="E2420" i="3"/>
  <c r="E1367" i="3"/>
  <c r="E1565" i="3"/>
  <c r="E3291" i="3"/>
  <c r="E779" i="3"/>
  <c r="E3021" i="3"/>
  <c r="E1093" i="3"/>
  <c r="E2553" i="3"/>
  <c r="E3794" i="3"/>
  <c r="E732" i="3"/>
  <c r="E3922" i="3"/>
  <c r="E2781" i="3"/>
  <c r="E934" i="3"/>
  <c r="E1346" i="3"/>
  <c r="E1138" i="3"/>
  <c r="E2376" i="3"/>
  <c r="E1323" i="3"/>
  <c r="E370" i="3"/>
  <c r="E3822" i="3"/>
  <c r="E3874" i="3"/>
  <c r="E601" i="3"/>
  <c r="E1260" i="3"/>
  <c r="E2305" i="3"/>
  <c r="E395" i="3"/>
  <c r="E3674" i="3"/>
  <c r="E2469" i="3"/>
  <c r="E2202" i="3"/>
  <c r="E1206" i="3"/>
  <c r="E1360" i="3"/>
  <c r="E2928" i="3"/>
  <c r="E3728" i="3"/>
  <c r="E2390" i="3"/>
  <c r="E1870" i="3"/>
  <c r="E971" i="3"/>
  <c r="E3542" i="3"/>
  <c r="E53" i="3"/>
  <c r="E3614" i="3"/>
  <c r="E1562" i="3"/>
  <c r="E2642" i="3"/>
  <c r="E2688" i="3"/>
  <c r="E3271" i="3"/>
  <c r="E475" i="3"/>
  <c r="E437" i="3"/>
  <c r="E1986" i="3"/>
  <c r="E2241" i="3"/>
  <c r="E2581" i="3"/>
  <c r="E2206" i="3"/>
  <c r="E2067" i="3"/>
  <c r="E3677" i="3"/>
  <c r="E945" i="3"/>
  <c r="E3732" i="3"/>
  <c r="E2181" i="3"/>
  <c r="E966" i="3"/>
  <c r="E2989" i="3"/>
  <c r="E1872" i="3"/>
  <c r="E2660" i="3"/>
  <c r="E2484" i="3"/>
  <c r="E2491" i="3"/>
  <c r="E3435" i="3"/>
  <c r="E41" i="3"/>
  <c r="E3481" i="3"/>
  <c r="E1962" i="3"/>
  <c r="E3325" i="3"/>
  <c r="E3638" i="3"/>
  <c r="E298" i="3"/>
  <c r="E991" i="3"/>
  <c r="E3451" i="3"/>
  <c r="E2122" i="3"/>
  <c r="E3935" i="3"/>
  <c r="E1485" i="3"/>
  <c r="E588" i="3"/>
  <c r="E1673" i="3"/>
  <c r="E1780" i="3"/>
  <c r="E2798" i="3"/>
  <c r="E714" i="3"/>
  <c r="E634" i="3"/>
  <c r="E149" i="3"/>
  <c r="E783" i="3"/>
  <c r="E812" i="3"/>
  <c r="E110" i="3"/>
  <c r="E990" i="3"/>
  <c r="E1560" i="3"/>
  <c r="E2611" i="3"/>
  <c r="E176" i="3"/>
  <c r="E627" i="3"/>
  <c r="E1207" i="3"/>
  <c r="E2374" i="3"/>
  <c r="E933" i="3"/>
  <c r="E1163" i="3"/>
  <c r="E1373" i="3"/>
  <c r="E167" i="3"/>
  <c r="E1740" i="3"/>
  <c r="E2387" i="3"/>
  <c r="E2175" i="3"/>
  <c r="E3079" i="3"/>
  <c r="E3058" i="3"/>
  <c r="E3394" i="3"/>
  <c r="E327" i="3"/>
  <c r="E2520" i="3"/>
  <c r="E2594" i="3"/>
  <c r="E2419" i="3"/>
  <c r="E3598" i="3"/>
  <c r="E3273" i="3"/>
  <c r="E122" i="3"/>
  <c r="E3355" i="3"/>
  <c r="E3214" i="3"/>
  <c r="E805" i="3"/>
  <c r="E533" i="3"/>
  <c r="E1842" i="3"/>
  <c r="E3867" i="3"/>
  <c r="E3610" i="3"/>
  <c r="E892" i="3"/>
  <c r="E1892" i="3"/>
  <c r="E220" i="3"/>
  <c r="E1499" i="3"/>
  <c r="E3037" i="3"/>
  <c r="E736" i="3"/>
  <c r="E2673" i="3"/>
  <c r="E3800" i="3"/>
  <c r="E1466" i="3"/>
  <c r="E1999" i="3"/>
  <c r="E353" i="3"/>
  <c r="E1096" i="3"/>
  <c r="E2395" i="3"/>
  <c r="E2294" i="3"/>
  <c r="E2298" i="3"/>
  <c r="E2912" i="3"/>
  <c r="E766" i="3"/>
  <c r="E2866" i="3"/>
  <c r="E2858" i="3"/>
  <c r="E965" i="3"/>
  <c r="E967" i="3"/>
  <c r="E3643" i="3"/>
  <c r="E371" i="3"/>
  <c r="E827" i="3"/>
  <c r="E2172" i="3"/>
  <c r="E593" i="3"/>
  <c r="E977" i="3"/>
  <c r="E1402" i="3"/>
  <c r="E913" i="3"/>
  <c r="E408" i="3"/>
  <c r="E96" i="3"/>
  <c r="E44" i="3"/>
  <c r="E2431" i="3"/>
  <c r="E3024" i="3"/>
  <c r="E2662" i="3"/>
  <c r="E3938" i="3"/>
  <c r="E313" i="3"/>
  <c r="E705" i="3"/>
  <c r="E1065" i="3"/>
  <c r="E1953" i="3"/>
  <c r="E888" i="3"/>
  <c r="E2251" i="3"/>
  <c r="E2720" i="3"/>
  <c r="E3789" i="3"/>
  <c r="E1251" i="3"/>
  <c r="E1259" i="3"/>
  <c r="E467" i="3"/>
  <c r="E1256" i="3"/>
  <c r="E3351" i="3"/>
  <c r="E2197" i="3"/>
  <c r="E440" i="3"/>
  <c r="E2278" i="3"/>
  <c r="E2101" i="3"/>
  <c r="E1309" i="3"/>
  <c r="E314" i="3"/>
  <c r="E1326" i="3"/>
  <c r="E184" i="3"/>
  <c r="E403" i="3"/>
  <c r="E129" i="3"/>
  <c r="E52" i="3"/>
  <c r="E1398" i="3"/>
  <c r="E1267" i="3"/>
  <c r="E507" i="3"/>
  <c r="E774" i="3"/>
  <c r="E66" i="3"/>
  <c r="E369" i="3"/>
  <c r="E385" i="3"/>
  <c r="E598" i="3"/>
  <c r="E455" i="3"/>
  <c r="E3790" i="3"/>
  <c r="E1099" i="3"/>
  <c r="E1223" i="3"/>
  <c r="E1725" i="3"/>
  <c r="E1314" i="3"/>
  <c r="E3290" i="3"/>
  <c r="E681" i="3"/>
  <c r="E2689" i="3"/>
  <c r="E1512" i="3"/>
  <c r="E970" i="3"/>
  <c r="E1932" i="3"/>
  <c r="E2716" i="3"/>
  <c r="E516" i="3"/>
  <c r="E2671" i="3"/>
  <c r="E713" i="3"/>
  <c r="E1679" i="3"/>
  <c r="E373" i="3"/>
  <c r="E76" i="3"/>
  <c r="E1759" i="3"/>
  <c r="E803" i="3"/>
  <c r="E1124" i="3"/>
  <c r="E1382" i="3"/>
  <c r="E2000" i="3"/>
  <c r="E3739" i="3"/>
  <c r="E1348" i="3"/>
  <c r="E2565" i="3"/>
  <c r="E2173" i="3"/>
  <c r="E1035" i="3"/>
  <c r="E1716" i="3"/>
  <c r="E673" i="3"/>
  <c r="E3093" i="3"/>
  <c r="E2174" i="3"/>
  <c r="E526" i="3"/>
  <c r="E3697" i="3"/>
  <c r="E1237" i="3"/>
  <c r="E813" i="3"/>
  <c r="E2456" i="3"/>
  <c r="E901" i="3"/>
  <c r="E3645" i="3"/>
  <c r="E1387" i="3"/>
  <c r="E2927" i="3"/>
  <c r="E364" i="3"/>
  <c r="E1873" i="3"/>
  <c r="E2275" i="3"/>
  <c r="E3750" i="3"/>
  <c r="E3513" i="3"/>
  <c r="E102" i="3"/>
  <c r="E2131" i="3"/>
  <c r="E1189" i="3"/>
  <c r="E1531" i="3"/>
  <c r="E2906" i="3"/>
  <c r="E2723" i="3"/>
  <c r="E2507" i="3"/>
  <c r="E2986" i="3"/>
  <c r="E1425" i="3"/>
  <c r="E459" i="3"/>
  <c r="E2900" i="3"/>
  <c r="E2609" i="3"/>
  <c r="E2124" i="3"/>
  <c r="E2051" i="3"/>
  <c r="E379" i="3"/>
  <c r="E461" i="3"/>
  <c r="E329" i="3"/>
  <c r="E1500" i="3"/>
  <c r="E554" i="3"/>
  <c r="E1238" i="3"/>
  <c r="E47" i="3"/>
  <c r="E2655" i="3"/>
  <c r="E3552" i="3"/>
  <c r="E1450" i="3"/>
  <c r="E3675" i="3"/>
  <c r="E3012" i="3"/>
  <c r="E216" i="3"/>
  <c r="E2396" i="3"/>
  <c r="E2519" i="3"/>
  <c r="E2178" i="3"/>
  <c r="E2016" i="3"/>
  <c r="E3397" i="3"/>
  <c r="E54" i="3"/>
  <c r="E2479" i="3"/>
  <c r="E2314" i="3"/>
  <c r="E1361" i="3"/>
  <c r="E1414" i="3"/>
  <c r="E3478" i="3"/>
  <c r="E292" i="3"/>
  <c r="E3781" i="3"/>
  <c r="E2719" i="3"/>
  <c r="E2417" i="3"/>
  <c r="E154" i="3"/>
  <c r="E2418" i="3"/>
  <c r="E659" i="3"/>
  <c r="E1182" i="3"/>
  <c r="E1526" i="3"/>
  <c r="E3636" i="3"/>
  <c r="E586" i="3"/>
  <c r="E1075" i="3"/>
  <c r="E2455" i="3"/>
  <c r="E2340" i="3"/>
  <c r="E1006" i="3"/>
  <c r="E602" i="3"/>
  <c r="E1031" i="3"/>
  <c r="E1871" i="3"/>
  <c r="E90" i="3"/>
  <c r="E821" i="3"/>
  <c r="E1691" i="3"/>
  <c r="E2198" i="3"/>
  <c r="E801" i="3"/>
  <c r="E651" i="3"/>
  <c r="E448" i="3"/>
  <c r="E1224" i="3"/>
  <c r="E3538" i="3"/>
  <c r="E1261" i="3"/>
  <c r="E3210" i="3"/>
  <c r="E3123" i="3"/>
  <c r="E3495" i="3"/>
  <c r="E2123" i="3"/>
  <c r="E3560" i="3"/>
  <c r="E1558" i="3"/>
  <c r="E3857" i="3"/>
  <c r="E1066" i="3"/>
  <c r="E968" i="3"/>
  <c r="E1868" i="3"/>
  <c r="E3596" i="3"/>
  <c r="E829" i="3"/>
  <c r="E1634" i="3"/>
  <c r="E1021" i="3"/>
  <c r="E1408" i="3"/>
  <c r="E134" i="3"/>
  <c r="E1857" i="3"/>
  <c r="E2423" i="3"/>
  <c r="E1495" i="3"/>
  <c r="E3694" i="3"/>
  <c r="E1127" i="3"/>
  <c r="E224" i="3"/>
  <c r="E847" i="3"/>
  <c r="E2403" i="3"/>
  <c r="E3119" i="3"/>
  <c r="E1893" i="3"/>
  <c r="E916" i="3"/>
  <c r="E2136" i="3"/>
  <c r="E3539" i="3"/>
  <c r="E2364" i="3"/>
  <c r="E265" i="3"/>
  <c r="E2691" i="3"/>
  <c r="E3841" i="3"/>
  <c r="E861" i="3"/>
  <c r="E545" i="3"/>
  <c r="E3642" i="3"/>
  <c r="E2262" i="3"/>
  <c r="E3908" i="3"/>
  <c r="E145" i="3"/>
  <c r="E213" i="3"/>
  <c r="E3188" i="3"/>
  <c r="E3433" i="3"/>
  <c r="E3287" i="3"/>
  <c r="E710" i="3"/>
  <c r="E3595" i="3"/>
  <c r="E2145" i="3"/>
  <c r="E2542" i="3"/>
  <c r="E2350" i="3"/>
  <c r="E3070" i="3"/>
  <c r="E474" i="3"/>
  <c r="E3422" i="3"/>
  <c r="E182" i="3"/>
  <c r="E1098" i="3"/>
  <c r="E946" i="3"/>
  <c r="E3971" i="3"/>
  <c r="E539" i="3"/>
  <c r="E1608" i="3"/>
  <c r="E2545" i="3"/>
  <c r="E3190" i="3"/>
  <c r="E3817" i="3"/>
  <c r="E2075" i="3"/>
  <c r="E1734" i="3"/>
  <c r="E75" i="3"/>
  <c r="E1975" i="3"/>
  <c r="E1379" i="3"/>
  <c r="E1852" i="3"/>
  <c r="E350" i="3"/>
  <c r="E2160" i="3"/>
  <c r="E1912" i="3"/>
  <c r="E873" i="3"/>
  <c r="E2466" i="3"/>
  <c r="E3258" i="3"/>
  <c r="E229" i="3"/>
  <c r="E3152" i="3"/>
  <c r="E3421" i="3"/>
  <c r="E2383" i="3"/>
  <c r="E3409" i="3"/>
  <c r="E28" i="3"/>
  <c r="E1337" i="3"/>
  <c r="E3074" i="3"/>
  <c r="E1509" i="3"/>
  <c r="E1837" i="3"/>
  <c r="E2591" i="3"/>
  <c r="E3663" i="3"/>
  <c r="E218" i="3"/>
  <c r="E2653" i="3"/>
  <c r="E2330" i="3"/>
  <c r="E3215" i="3"/>
  <c r="E1532" i="3"/>
  <c r="E55" i="3"/>
  <c r="E3241" i="3"/>
  <c r="E3902" i="3"/>
  <c r="E1252" i="3"/>
  <c r="E720" i="3"/>
  <c r="E1808" i="3"/>
  <c r="E2992" i="3"/>
  <c r="E923" i="3"/>
  <c r="E2600" i="3"/>
  <c r="E1459" i="3"/>
  <c r="E2391" i="3"/>
  <c r="E2847" i="3"/>
  <c r="E1197" i="3"/>
  <c r="E2047" i="3"/>
  <c r="E234" i="3"/>
  <c r="E2633" i="3"/>
  <c r="E3473" i="3"/>
  <c r="E1030" i="3"/>
  <c r="E3826" i="3"/>
  <c r="E3632" i="3"/>
  <c r="E3452" i="3"/>
  <c r="E3398" i="3"/>
  <c r="E1980" i="3"/>
  <c r="E1269" i="3"/>
  <c r="E240" i="3"/>
  <c r="E3700" i="3"/>
  <c r="E960" i="3"/>
  <c r="E2544" i="3"/>
  <c r="E1559" i="3"/>
  <c r="E430" i="3"/>
  <c r="E1210" i="3"/>
  <c r="E3446" i="3"/>
  <c r="E3095" i="3"/>
  <c r="E3316" i="3"/>
  <c r="E2375" i="3"/>
  <c r="E3701" i="3"/>
  <c r="E497" i="3"/>
  <c r="E942" i="3"/>
  <c r="E2767" i="3"/>
  <c r="E3594" i="3"/>
  <c r="E2349" i="3"/>
  <c r="E1413" i="3"/>
  <c r="E2991" i="3"/>
  <c r="E1865" i="3"/>
  <c r="E1111" i="3"/>
  <c r="E1283" i="3"/>
  <c r="E1933" i="3"/>
  <c r="E3104" i="3"/>
  <c r="E2086" i="3"/>
  <c r="E3948" i="3"/>
  <c r="E3515" i="3"/>
  <c r="E2709" i="3"/>
  <c r="E1641" i="3"/>
  <c r="E3003" i="3"/>
  <c r="E2452" i="3"/>
  <c r="E1670" i="3"/>
  <c r="E3338" i="3"/>
  <c r="E3561" i="3"/>
  <c r="E1424" i="3"/>
  <c r="E1769" i="3"/>
  <c r="E1423" i="3"/>
  <c r="E3801" i="3"/>
  <c r="E2433" i="3"/>
  <c r="E1416" i="3"/>
  <c r="E3376" i="3"/>
  <c r="E3" i="3"/>
  <c r="E2267" i="3"/>
  <c r="E788" i="3"/>
  <c r="E2913" i="3"/>
  <c r="E1958" i="3"/>
  <c r="E2498" i="3"/>
  <c r="E2859" i="3"/>
  <c r="E1561" i="3"/>
  <c r="E318" i="3"/>
  <c r="E2220" i="3"/>
  <c r="E1276" i="3"/>
  <c r="E274" i="3"/>
  <c r="E2749" i="3"/>
  <c r="E3624" i="3"/>
  <c r="E3503" i="3"/>
  <c r="E3551" i="3"/>
  <c r="E23" i="3"/>
  <c r="E1122" i="3"/>
  <c r="E3371" i="3"/>
  <c r="E2146" i="3"/>
  <c r="E266" i="3"/>
  <c r="E664" i="3"/>
  <c r="E2961" i="3"/>
  <c r="E3248" i="3"/>
  <c r="E689" i="3"/>
  <c r="E1239" i="3"/>
  <c r="E547" i="3"/>
  <c r="E304" i="3"/>
  <c r="E3907" i="3"/>
  <c r="E2254" i="3"/>
  <c r="E3671" i="3"/>
  <c r="E34" i="3"/>
  <c r="E534" i="3"/>
  <c r="E935" i="3"/>
  <c r="E1991" i="3"/>
  <c r="E1270" i="3"/>
  <c r="E1253" i="3"/>
  <c r="E1236" i="3"/>
  <c r="E1537" i="3"/>
  <c r="E1845" i="3"/>
  <c r="E2889" i="3"/>
  <c r="E3071" i="3"/>
  <c r="E2210" i="3"/>
  <c r="E3816" i="3"/>
  <c r="E2665" i="3"/>
  <c r="E894" i="3"/>
  <c r="E3802" i="3"/>
  <c r="E3308" i="3"/>
  <c r="E709" i="3"/>
  <c r="E2743" i="3"/>
  <c r="E2244" i="3"/>
  <c r="E3094" i="3"/>
  <c r="E3072" i="3"/>
  <c r="E1338" i="3"/>
  <c r="E3721" i="3"/>
  <c r="E3631" i="3"/>
  <c r="E2708" i="3"/>
  <c r="E3194" i="3"/>
  <c r="E1536" i="3"/>
  <c r="E493" i="3"/>
  <c r="E449" i="3"/>
  <c r="E658" i="3"/>
  <c r="E3080" i="3"/>
  <c r="E2370" i="3"/>
  <c r="E3860" i="3"/>
  <c r="E986" i="3"/>
  <c r="E3828" i="3"/>
  <c r="E323" i="3"/>
  <c r="E3812" i="3"/>
  <c r="E756" i="3"/>
  <c r="E319" i="3"/>
  <c r="E2371" i="3"/>
  <c r="E787" i="3"/>
  <c r="E212" i="3"/>
  <c r="E3635" i="3"/>
  <c r="E445" i="3"/>
  <c r="E340" i="3"/>
  <c r="E1405" i="3"/>
  <c r="E1332" i="3"/>
  <c r="E348" i="3"/>
  <c r="E1473" i="3"/>
  <c r="E406" i="3"/>
  <c r="E2329" i="3"/>
  <c r="E3143" i="3"/>
  <c r="E2044" i="3"/>
  <c r="E495" i="3"/>
  <c r="E1041" i="3"/>
  <c r="E394" i="3"/>
  <c r="E850" i="3"/>
  <c r="E1185" i="3"/>
  <c r="E2114" i="3"/>
  <c r="E3236" i="3"/>
  <c r="E3651" i="3"/>
  <c r="E618" i="3"/>
  <c r="E2031" i="3"/>
  <c r="E271" i="3"/>
  <c r="E629" i="3"/>
  <c r="E1692" i="3"/>
  <c r="E2020" i="3"/>
  <c r="E202" i="3"/>
  <c r="E249" i="3"/>
  <c r="E660" i="3"/>
  <c r="E1988" i="3"/>
  <c r="E286" i="3"/>
  <c r="E3388" i="3"/>
  <c r="E2490" i="3"/>
  <c r="E2661" i="3"/>
  <c r="E2863" i="3"/>
  <c r="E2320" i="3"/>
  <c r="E3304" i="3"/>
  <c r="E595" i="3"/>
  <c r="E2109" i="3"/>
  <c r="E1706" i="3"/>
  <c r="E74" i="3"/>
  <c r="E1188" i="3"/>
  <c r="E2826" i="3"/>
  <c r="E3187" i="3"/>
  <c r="E1777" i="3"/>
  <c r="E131" i="3"/>
  <c r="E279" i="3"/>
  <c r="E1167" i="3"/>
  <c r="E1911" i="3"/>
  <c r="E2766" i="3"/>
  <c r="E46" i="3"/>
  <c r="E3676" i="3"/>
  <c r="E3195" i="3"/>
  <c r="E1553" i="3"/>
  <c r="E2039" i="3"/>
  <c r="E1997" i="3"/>
  <c r="E735" i="3"/>
  <c r="E2159" i="3"/>
  <c r="E1635" i="3"/>
  <c r="E1255" i="3"/>
  <c r="E2300" i="3"/>
  <c r="E1869" i="3"/>
  <c r="E417" i="3"/>
  <c r="E549" i="3"/>
  <c r="E1824" i="3"/>
  <c r="E2017" i="3"/>
  <c r="E2158" i="3"/>
  <c r="E3712" i="3"/>
  <c r="E3740" i="3"/>
  <c r="E132" i="3"/>
  <c r="E3015" i="3"/>
  <c r="E2465" i="3"/>
  <c r="E1678" i="3"/>
  <c r="E2586" i="3"/>
  <c r="E1121" i="3"/>
  <c r="E2451" i="3"/>
  <c r="E3416" i="3"/>
  <c r="E152" i="3"/>
  <c r="E597" i="3"/>
  <c r="E1333" i="3"/>
  <c r="E2817" i="3"/>
  <c r="E466" i="3"/>
  <c r="E3774" i="3"/>
  <c r="E1987" i="3"/>
  <c r="E3230" i="3"/>
  <c r="E1040" i="3"/>
  <c r="E3427" i="3"/>
  <c r="E3859" i="3"/>
  <c r="E1097" i="3"/>
  <c r="E3622" i="3"/>
  <c r="E1120" i="3"/>
  <c r="E2106" i="3"/>
  <c r="E1597" i="3"/>
  <c r="E3735" i="3"/>
  <c r="E1826" i="3"/>
  <c r="E661" i="3"/>
  <c r="E551" i="3"/>
  <c r="E684" i="3"/>
  <c r="E1974" i="3"/>
  <c r="E896" i="3"/>
  <c r="E1817" i="3"/>
  <c r="E1924" i="3"/>
  <c r="E2140" i="3"/>
  <c r="E1233" i="3"/>
  <c r="E2234" i="3"/>
  <c r="E3383" i="3"/>
  <c r="E2072" i="3"/>
  <c r="E3568" i="3"/>
  <c r="E3738" i="3"/>
  <c r="E1025" i="3"/>
  <c r="E85" i="3"/>
  <c r="E3906" i="3"/>
  <c r="E3827" i="3"/>
  <c r="E465" i="3"/>
  <c r="E2011" i="3"/>
  <c r="E2494" i="3"/>
  <c r="E1162" i="3"/>
  <c r="E3424" i="3"/>
  <c r="E3242" i="3"/>
  <c r="E2358" i="3"/>
  <c r="E469" i="3"/>
  <c r="E583" i="3"/>
  <c r="E3381" i="3"/>
  <c r="E3139" i="3"/>
  <c r="E233" i="3"/>
  <c r="E49" i="3"/>
  <c r="E2495" i="3"/>
  <c r="E2888" i="3"/>
  <c r="E778" i="3"/>
  <c r="E2782" i="3"/>
  <c r="E3856" i="3"/>
  <c r="E1799" i="3"/>
  <c r="E3059" i="3"/>
  <c r="E250" i="3"/>
  <c r="E3172" i="3"/>
  <c r="E1480" i="3"/>
  <c r="E1410" i="3"/>
  <c r="E2281" i="3"/>
  <c r="E3434" i="3"/>
  <c r="E3401" i="3"/>
  <c r="E1112" i="3"/>
  <c r="E1703" i="3"/>
  <c r="E2333" i="3"/>
  <c r="E1229" i="3"/>
  <c r="E950" i="3"/>
  <c r="E3480" i="3"/>
  <c r="E3479" i="3"/>
  <c r="E97" i="3"/>
  <c r="E762" i="3"/>
  <c r="E2424" i="3"/>
  <c r="E1469" i="3"/>
  <c r="E1955" i="3"/>
  <c r="E2659" i="3"/>
  <c r="E2255" i="3"/>
  <c r="E1659" i="3"/>
  <c r="E2876" i="3"/>
  <c r="E2508" i="3"/>
  <c r="E2936" i="3"/>
  <c r="E48" i="3"/>
  <c r="E2827" i="3"/>
  <c r="E3404" i="3"/>
  <c r="E1929" i="3"/>
  <c r="E339" i="3"/>
  <c r="E1316" i="3"/>
  <c r="E1960" i="3"/>
  <c r="E2728" i="3"/>
  <c r="E1538" i="3"/>
  <c r="E3704" i="3"/>
  <c r="E2211" i="3"/>
  <c r="E11" i="3"/>
  <c r="E10" i="3"/>
  <c r="E638" i="3"/>
  <c r="E540" i="3"/>
  <c r="E2799" i="3"/>
  <c r="E863" i="3"/>
  <c r="E1521" i="3"/>
  <c r="E743" i="3"/>
  <c r="E30" i="3"/>
  <c r="E2480" i="3"/>
  <c r="E2669" i="3"/>
  <c r="E3875" i="3"/>
  <c r="E3323" i="3"/>
  <c r="E1404" i="3"/>
  <c r="E3411" i="3"/>
  <c r="E1598" i="3"/>
  <c r="E222" i="3"/>
  <c r="E2792" i="3"/>
  <c r="E2121" i="3"/>
  <c r="E3716" i="3"/>
  <c r="E2474" i="3"/>
  <c r="E790" i="3"/>
  <c r="E2142" i="3"/>
  <c r="E1812" i="3"/>
  <c r="E168" i="3"/>
  <c r="E1882" i="3"/>
  <c r="E2907" i="3"/>
  <c r="E3963" i="3"/>
  <c r="E2873" i="3"/>
  <c r="E2718" i="3"/>
  <c r="E3780" i="3"/>
  <c r="E2795" i="3"/>
  <c r="E2249" i="3"/>
  <c r="E2705" i="3"/>
  <c r="E2704" i="3"/>
  <c r="E3382" i="3"/>
  <c r="E3300" i="3"/>
  <c r="E3309" i="3"/>
  <c r="E2166" i="3"/>
  <c r="E3793" i="3"/>
  <c r="E2319" i="3"/>
  <c r="E755" i="3"/>
  <c r="E642" i="3"/>
  <c r="E2037" i="3"/>
  <c r="E1282" i="3"/>
  <c r="E2681" i="3"/>
  <c r="E1836" i="3"/>
  <c r="E3393" i="3"/>
  <c r="E1317" i="3"/>
  <c r="E1103" i="3"/>
  <c r="E2214" i="3"/>
  <c r="E1523" i="3"/>
  <c r="E2707" i="3"/>
  <c r="E623" i="3"/>
  <c r="E1758" i="3"/>
  <c r="E535" i="3"/>
  <c r="E2706" i="3"/>
  <c r="E2157" i="3"/>
  <c r="E219" i="3"/>
  <c r="E573" i="3"/>
  <c r="E3484" i="3"/>
  <c r="E1087" i="3"/>
  <c r="E2312" i="3"/>
  <c r="E3621" i="3"/>
  <c r="E332" i="3"/>
  <c r="E2779" i="3"/>
  <c r="E786" i="3"/>
  <c r="E3322" i="3"/>
  <c r="E1143" i="3"/>
  <c r="E56" i="3"/>
  <c r="E133" i="3"/>
  <c r="E160" i="3"/>
  <c r="E1723" i="3"/>
  <c r="E294" i="3"/>
  <c r="E1391" i="3"/>
  <c r="E2732" i="3"/>
  <c r="E40" i="3"/>
  <c r="E560" i="3"/>
  <c r="E211" i="3"/>
  <c r="E587" i="3"/>
  <c r="E1823" i="3"/>
  <c r="E65" i="3"/>
  <c r="E1919" i="3"/>
  <c r="E785" i="3"/>
  <c r="E2513" i="3"/>
  <c r="E2618" i="3"/>
  <c r="E3022" i="3"/>
  <c r="E2895" i="3"/>
  <c r="E3028" i="3"/>
  <c r="E1218" i="3"/>
  <c r="E3633" i="3"/>
  <c r="E1755" i="3"/>
  <c r="E64" i="3"/>
  <c r="E1901" i="3"/>
  <c r="E1110" i="3"/>
  <c r="E2196" i="3"/>
  <c r="E1977" i="3"/>
  <c r="E2922" i="3"/>
  <c r="E1139" i="3"/>
  <c r="E1741" i="3"/>
  <c r="E1620" i="3"/>
  <c r="E480" i="3"/>
  <c r="E2025" i="3"/>
  <c r="E1653" i="3"/>
  <c r="E2303" i="3"/>
  <c r="E1374" i="3"/>
  <c r="E3044" i="3"/>
  <c r="E1481" i="3"/>
  <c r="E1383" i="3"/>
  <c r="E2950" i="3"/>
  <c r="E1656" i="3"/>
  <c r="E3626" i="3"/>
  <c r="E1726" i="3"/>
  <c r="E3004" i="3"/>
  <c r="E908" i="3"/>
  <c r="E1825" i="3"/>
  <c r="E1032" i="3"/>
  <c r="E3520" i="3"/>
  <c r="E3657" i="3"/>
  <c r="E3121" i="3"/>
  <c r="E1832" i="3"/>
  <c r="E2919" i="3"/>
  <c r="E2289" i="3"/>
  <c r="E84" i="3"/>
  <c r="E1089" i="3"/>
  <c r="E845" i="3"/>
  <c r="E3729" i="3"/>
  <c r="E2103" i="3"/>
  <c r="E2026" i="3"/>
  <c r="E3611" i="3"/>
  <c r="E3458" i="3"/>
  <c r="E1976" i="3"/>
  <c r="E1362" i="3"/>
  <c r="E1372" i="3"/>
  <c r="E2958" i="3"/>
  <c r="E3777" i="3"/>
  <c r="E3438" i="3"/>
  <c r="E3553" i="3"/>
  <c r="E1804" i="3"/>
  <c r="E3007" i="3"/>
  <c r="E1941" i="3"/>
  <c r="E1171" i="3"/>
  <c r="E2964" i="3"/>
  <c r="E2137" i="3"/>
  <c r="E3757" i="3"/>
  <c r="E1570" i="3"/>
  <c r="E365" i="3"/>
  <c r="E1356" i="3"/>
  <c r="E3053" i="3"/>
  <c r="E2717" i="3"/>
  <c r="E1905" i="3"/>
  <c r="E561" i="3"/>
  <c r="E3905" i="3"/>
  <c r="E3623" i="3"/>
  <c r="E2468" i="3"/>
  <c r="E944" i="3"/>
  <c r="E2087" i="3"/>
  <c r="E3805" i="3"/>
  <c r="E3049" i="3"/>
  <c r="E2223" i="3"/>
  <c r="E1928" i="3"/>
  <c r="E603" i="3"/>
  <c r="E1827" i="3"/>
  <c r="E921" i="3"/>
  <c r="E922" i="3"/>
  <c r="E2924" i="3"/>
  <c r="E3880" i="3"/>
  <c r="E3052" i="3"/>
  <c r="E874" i="3"/>
  <c r="E3660" i="3"/>
  <c r="E307" i="3"/>
  <c r="E3127" i="3"/>
  <c r="E2485" i="3"/>
  <c r="E562" i="3"/>
  <c r="E2832" i="3"/>
  <c r="E1085" i="3"/>
  <c r="E3734" i="3"/>
  <c r="E2911" i="3"/>
  <c r="E1012" i="3"/>
  <c r="E338" i="3"/>
  <c r="E1887" i="3"/>
  <c r="E565" i="3"/>
  <c r="E2564" i="3"/>
  <c r="E3467" i="3"/>
  <c r="E1775" i="3"/>
  <c r="E611" i="3"/>
  <c r="E751" i="3"/>
  <c r="E301" i="3"/>
  <c r="E2394" i="3"/>
  <c r="E609" i="3"/>
  <c r="E3105" i="3"/>
  <c r="E1024" i="3"/>
  <c r="E3853" i="3"/>
  <c r="E1047" i="3"/>
  <c r="E920" i="3"/>
  <c r="E2784" i="3"/>
  <c r="E3235" i="3"/>
  <c r="E2615" i="3"/>
  <c r="E2783" i="3"/>
  <c r="E1657" i="3"/>
  <c r="E2554" i="3"/>
  <c r="E3148" i="3"/>
  <c r="E217" i="3"/>
  <c r="E3350" i="3"/>
  <c r="E2563" i="3"/>
  <c r="E521" i="3"/>
  <c r="E3057" i="3"/>
  <c r="E2180" i="3"/>
  <c r="E1181" i="3"/>
  <c r="E2541" i="3"/>
  <c r="E267" i="3"/>
  <c r="E3664" i="3"/>
  <c r="E1249" i="3"/>
  <c r="E1894" i="3"/>
  <c r="E802" i="3"/>
  <c r="E1745" i="3"/>
  <c r="E1765" i="3"/>
  <c r="E2071" i="3"/>
  <c r="E494" i="3"/>
  <c r="E1107" i="3"/>
  <c r="E18" i="3"/>
  <c r="E3186" i="3"/>
  <c r="E3597" i="3"/>
  <c r="E1854" i="3"/>
  <c r="E3613" i="3"/>
  <c r="E3488" i="3"/>
  <c r="E2412" i="3"/>
  <c r="E478" i="3"/>
  <c r="E3593" i="3"/>
  <c r="E3274" i="3"/>
  <c r="E1200" i="3"/>
  <c r="E3682" i="3"/>
  <c r="E3372" i="3"/>
  <c r="E1661" i="3"/>
  <c r="E1245" i="3"/>
  <c r="E1699" i="3"/>
  <c r="E670" i="3"/>
  <c r="E3659" i="3"/>
  <c r="E2074" i="3"/>
  <c r="E2923" i="3"/>
  <c r="E2934" i="3"/>
  <c r="E3923" i="3"/>
  <c r="E1088" i="3"/>
  <c r="E3821" i="3"/>
  <c r="E181" i="3"/>
  <c r="E2526" i="3"/>
  <c r="E3408" i="3"/>
  <c r="E312" i="3"/>
  <c r="E2690" i="3"/>
  <c r="E2085" i="3"/>
  <c r="E3861" i="3"/>
  <c r="E378" i="3"/>
  <c r="E2758" i="3"/>
  <c r="E2725" i="3"/>
  <c r="E2271" i="3"/>
  <c r="E1049" i="3"/>
  <c r="E508" i="3"/>
  <c r="E407" i="3"/>
  <c r="E3703" i="3"/>
  <c r="E1925" i="3"/>
  <c r="E3710" i="3"/>
  <c r="E232" i="3"/>
  <c r="E688" i="3"/>
  <c r="E2973" i="3"/>
  <c r="E3437" i="3"/>
  <c r="E858" i="3"/>
  <c r="E2301" i="3"/>
  <c r="E2970" i="3"/>
  <c r="E427" i="3"/>
  <c r="E2852" i="3"/>
  <c r="E1579" i="3"/>
  <c r="E1082" i="3"/>
  <c r="E3086" i="3"/>
  <c r="E809" i="3"/>
  <c r="E2886" i="3"/>
  <c r="E1621" i="3"/>
  <c r="E1090" i="3"/>
  <c r="E3423" i="3"/>
  <c r="E3189" i="3"/>
  <c r="E2036" i="3"/>
  <c r="E1853" i="3"/>
  <c r="E2750" i="3"/>
  <c r="E671" i="3"/>
  <c r="E2670" i="3"/>
  <c r="E2815" i="3"/>
  <c r="E750" i="3"/>
  <c r="E557" i="3"/>
  <c r="E3307" i="3"/>
  <c r="E1378" i="3"/>
  <c r="E3250" i="3"/>
  <c r="E1501" i="3"/>
  <c r="E3064" i="3"/>
  <c r="E3169" i="3"/>
  <c r="E3707" i="3"/>
  <c r="E1172" i="3"/>
  <c r="E1048" i="3"/>
  <c r="E838" i="3"/>
  <c r="E784" i="3"/>
  <c r="E3718" i="3"/>
  <c r="E3665" i="3"/>
  <c r="E1490" i="3"/>
  <c r="E2567" i="3"/>
  <c r="E837" i="3"/>
  <c r="E3848" i="3"/>
  <c r="E1271" i="3"/>
  <c r="E1062" i="3"/>
  <c r="E2253" i="3"/>
  <c r="E628" i="3"/>
  <c r="E244" i="3"/>
  <c r="E297" i="3"/>
  <c r="E3178" i="3"/>
  <c r="E3010" i="3"/>
  <c r="E1648" i="3"/>
  <c r="E3714" i="3"/>
  <c r="E384" i="3"/>
  <c r="E2949" i="3"/>
  <c r="E1938" i="3"/>
  <c r="E3315" i="3"/>
  <c r="E3041" i="3"/>
  <c r="E3760" i="3"/>
  <c r="E2908" i="3"/>
  <c r="E317" i="3"/>
  <c r="E268" i="3"/>
  <c r="E1119" i="3"/>
  <c r="E2562" i="3"/>
  <c r="E1168" i="3"/>
  <c r="E840" i="3"/>
  <c r="E1061" i="3"/>
  <c r="E515" i="3"/>
  <c r="E669" i="3"/>
  <c r="E953" i="3"/>
  <c r="E1491" i="3"/>
  <c r="E2187" i="3"/>
  <c r="E734" i="3"/>
  <c r="E2977" i="3"/>
  <c r="E1798" i="3"/>
  <c r="E2141" i="3"/>
  <c r="E3603" i="3"/>
  <c r="E2018" i="3"/>
  <c r="E3617" i="3"/>
  <c r="E2203" i="3"/>
  <c r="E668" i="3"/>
  <c r="E2905" i="3"/>
  <c r="E2599" i="3"/>
  <c r="E742" i="3"/>
  <c r="E355" i="3"/>
  <c r="E446" i="3"/>
  <c r="E1460" i="3"/>
  <c r="E2473" i="3"/>
  <c r="E509" i="3"/>
  <c r="E1508" i="3"/>
  <c r="E919" i="3"/>
  <c r="E346" i="3"/>
  <c r="E3504" i="3"/>
  <c r="E2636" i="3"/>
  <c r="E2941" i="3"/>
  <c r="E3266" i="3"/>
  <c r="E3929" i="3"/>
  <c r="E1203" i="3"/>
  <c r="E2215" i="3"/>
  <c r="E1498" i="3"/>
  <c r="E2470" i="3"/>
  <c r="E615" i="3"/>
  <c r="E1658" i="3"/>
  <c r="E2338" i="3"/>
  <c r="E3921" i="3"/>
  <c r="E2643" i="3"/>
  <c r="E260" i="3"/>
  <c r="E3961" i="3"/>
  <c r="E343" i="3"/>
  <c r="E3962" i="3"/>
  <c r="E460" i="3"/>
  <c r="E3153" i="3"/>
  <c r="E2346" i="3"/>
  <c r="E2619" i="3"/>
  <c r="E143" i="3"/>
  <c r="E816" i="3"/>
  <c r="E804" i="3"/>
  <c r="E39" i="3"/>
  <c r="E3920" i="3"/>
  <c r="E733" i="3"/>
  <c r="E2400" i="3"/>
  <c r="E2052" i="3"/>
  <c r="E2112" i="3"/>
  <c r="E1273" i="3"/>
  <c r="E2874" i="3"/>
  <c r="E687" i="3"/>
  <c r="E2797" i="3"/>
  <c r="E2113" i="3"/>
  <c r="E347" i="3"/>
  <c r="E3487" i="3"/>
  <c r="E2058" i="3"/>
  <c r="E305" i="3"/>
  <c r="E3924" i="3"/>
  <c r="E2199" i="3"/>
  <c r="E120" i="3"/>
  <c r="E3428" i="3"/>
  <c r="E2351" i="3"/>
  <c r="E2288" i="3"/>
  <c r="E1106" i="3"/>
  <c r="E3185" i="3"/>
  <c r="E808" i="3"/>
  <c r="E2270" i="3"/>
  <c r="E3249" i="3"/>
  <c r="E3713" i="3"/>
  <c r="E1368" i="3"/>
  <c r="E1947" i="3"/>
  <c r="E3591" i="3"/>
  <c r="E1555" i="3"/>
  <c r="E782" i="3"/>
  <c r="E3745" i="3"/>
  <c r="E3122" i="3"/>
  <c r="E470" i="3"/>
  <c r="E2365" i="3"/>
  <c r="E1020" i="3"/>
  <c r="E2765" i="3"/>
  <c r="E678" i="3"/>
  <c r="E2737" i="3"/>
  <c r="E1774" i="3"/>
  <c r="E429" i="3"/>
  <c r="E136" i="3"/>
  <c r="E3886" i="3"/>
  <c r="E315" i="3"/>
  <c r="E1465" i="3"/>
  <c r="E148" i="3"/>
  <c r="E2363" i="3"/>
  <c r="E3294" i="3"/>
  <c r="E3952" i="3"/>
  <c r="E3715" i="3"/>
  <c r="E383" i="3"/>
  <c r="E961" i="3"/>
  <c r="E1277" i="3"/>
  <c r="E1443" i="3"/>
  <c r="E1250" i="3"/>
  <c r="E3815" i="3"/>
  <c r="E3709" i="3"/>
  <c r="E3096" i="3"/>
  <c r="E3065" i="3"/>
  <c r="E2978" i="3"/>
  <c r="E3011" i="3"/>
  <c r="E2796" i="3"/>
  <c r="E548" i="3"/>
  <c r="E2372" i="3"/>
  <c r="E1359" i="3"/>
  <c r="E2652" i="3"/>
  <c r="E1014" i="3"/>
  <c r="E1492" i="3"/>
  <c r="E2192" i="3"/>
  <c r="E1715" i="3"/>
  <c r="E2205" i="3"/>
  <c r="E904" i="3"/>
  <c r="E2744" i="3"/>
  <c r="E1422" i="3"/>
  <c r="E2628" i="3"/>
  <c r="E316" i="3"/>
  <c r="E2658" i="3"/>
  <c r="E1463" i="3"/>
  <c r="E2331" i="3"/>
  <c r="E3818" i="3"/>
  <c r="E791" i="3"/>
  <c r="E1086" i="3"/>
  <c r="E3023" i="3"/>
  <c r="E2038" i="3"/>
  <c r="E3917" i="3"/>
  <c r="E1993" i="3"/>
  <c r="E328" i="3"/>
  <c r="E2102" i="3"/>
  <c r="E3765" i="3"/>
  <c r="E1601" i="3"/>
  <c r="E3482" i="3"/>
  <c r="E2870" i="3"/>
  <c r="E2397" i="3"/>
  <c r="E3281" i="3"/>
  <c r="E3092" i="3"/>
  <c r="E237" i="3"/>
  <c r="E1682" i="3"/>
  <c r="E1334" i="3"/>
  <c r="E2938" i="3"/>
  <c r="E614" i="3"/>
  <c r="E1442" i="3"/>
  <c r="E1290" i="3"/>
  <c r="E2130" i="3"/>
  <c r="E2416" i="3"/>
  <c r="E999" i="3"/>
  <c r="E2606" i="3"/>
  <c r="E2990" i="3"/>
  <c r="E3202" i="3"/>
  <c r="E428" i="3"/>
  <c r="E359" i="3"/>
  <c r="E2654" i="3"/>
  <c r="E1776" i="3"/>
  <c r="E1819" i="3"/>
  <c r="E1707" i="3"/>
  <c r="E326" i="3"/>
  <c r="E639" i="3"/>
  <c r="E576" i="3"/>
  <c r="E789" i="3"/>
  <c r="E2204" i="3"/>
  <c r="E1942" i="3"/>
  <c r="E3543" i="3"/>
  <c r="E3641" i="3"/>
  <c r="E3588" i="3"/>
  <c r="E3282" i="3"/>
  <c r="E349" i="3"/>
  <c r="E1981" i="3"/>
  <c r="E1324" i="3"/>
  <c r="E1464" i="3"/>
  <c r="E3279" i="3"/>
  <c r="E2073" i="3"/>
  <c r="E3679" i="3"/>
  <c r="E3436" i="3"/>
  <c r="E1727" i="3"/>
  <c r="E2787" i="3"/>
  <c r="E3166" i="3"/>
  <c r="E3457" i="3"/>
  <c r="E2793" i="3"/>
  <c r="E289" i="3"/>
  <c r="E137" i="3"/>
  <c r="E3368" i="3"/>
  <c r="E3054" i="3"/>
  <c r="E2614" i="3"/>
  <c r="E3017" i="3"/>
  <c r="E2794" i="3"/>
  <c r="E1907" i="3"/>
  <c r="E2974" i="3"/>
  <c r="E1321" i="3"/>
  <c r="E767" i="3"/>
  <c r="E3087" i="3"/>
  <c r="E2139" i="3"/>
  <c r="E3128" i="3"/>
  <c r="E1681" i="3"/>
  <c r="E374" i="3"/>
  <c r="E765" i="3"/>
  <c r="E1902" i="3"/>
  <c r="E3708" i="3"/>
  <c r="E3324" i="3"/>
  <c r="E819" i="3"/>
  <c r="E2672" i="3"/>
  <c r="E1959" i="3"/>
  <c r="E2415" i="3"/>
  <c r="E1610" i="3"/>
  <c r="E1587" i="3"/>
  <c r="E3846" i="3"/>
  <c r="E2760" i="3"/>
  <c r="E980" i="3"/>
  <c r="E3440" i="3"/>
  <c r="E3016" i="3"/>
  <c r="E2540" i="3"/>
  <c r="E3137" i="3"/>
  <c r="E2193" i="3"/>
  <c r="E3234" i="3"/>
  <c r="E3678" i="3"/>
  <c r="E2034" i="3"/>
  <c r="E2297" i="3"/>
  <c r="E3293" i="3"/>
  <c r="E2191" i="3"/>
  <c r="E578" i="3"/>
  <c r="E2460" i="3"/>
  <c r="E907" i="3"/>
  <c r="E544" i="3"/>
  <c r="E3687" i="3"/>
  <c r="E1101" i="3"/>
  <c r="E173" i="3"/>
  <c r="E2840" i="3"/>
  <c r="E1074" i="3"/>
  <c r="E570" i="3"/>
  <c r="E1195" i="3"/>
  <c r="E795" i="3"/>
  <c r="E608" i="3"/>
  <c r="E1136" i="3"/>
  <c r="E2910" i="3"/>
  <c r="E680" i="3"/>
  <c r="E1365" i="3"/>
  <c r="E1212" i="3"/>
  <c r="E2675" i="3"/>
  <c r="E1299" i="3"/>
  <c r="E3535" i="3"/>
  <c r="E2293" i="3"/>
  <c r="E657" i="3"/>
  <c r="E2004" i="3"/>
  <c r="E82" i="3"/>
  <c r="E194" i="3"/>
  <c r="E3494" i="3"/>
  <c r="E87" i="3"/>
  <c r="E1927" i="3"/>
  <c r="E1814" i="3"/>
  <c r="E1244" i="3"/>
  <c r="E644" i="3"/>
  <c r="E1733" i="3"/>
  <c r="E3773" i="3"/>
  <c r="E1957" i="3"/>
  <c r="E2010" i="3"/>
  <c r="E2348" i="3"/>
  <c r="E1503" i="3"/>
  <c r="E1199" i="3"/>
  <c r="E836" i="3"/>
  <c r="E43" i="3"/>
  <c r="E1017" i="3"/>
  <c r="E2915" i="3"/>
  <c r="E1080" i="3"/>
  <c r="E3158" i="3"/>
  <c r="E2985" i="3"/>
  <c r="E3171" i="3"/>
  <c r="E3833" i="3"/>
  <c r="E164" i="3"/>
  <c r="E2821" i="3"/>
  <c r="E2240" i="3"/>
  <c r="E2715" i="3"/>
  <c r="E2008" i="3"/>
  <c r="E3831" i="3"/>
  <c r="E1152" i="3"/>
  <c r="E3056" i="3"/>
  <c r="E930" i="3"/>
  <c r="E1586" i="3"/>
  <c r="E189" i="3"/>
  <c r="E2722" i="3"/>
  <c r="E2248" i="3"/>
  <c r="E3256" i="3"/>
  <c r="E3499" i="3"/>
  <c r="E940" i="3"/>
  <c r="E22" i="3"/>
  <c r="E3689" i="3"/>
  <c r="E3360" i="3"/>
  <c r="E1174" i="3"/>
  <c r="E1605" i="3"/>
  <c r="E1009" i="3"/>
  <c r="E1736" i="3"/>
  <c r="E2836" i="3"/>
  <c r="E1054" i="3"/>
  <c r="E2809" i="3"/>
  <c r="E2028" i="3"/>
  <c r="E2337" i="3"/>
  <c r="E3497" i="3"/>
  <c r="E3403" i="3"/>
  <c r="E704" i="3"/>
  <c r="E3696" i="3"/>
  <c r="E1731" i="3"/>
  <c r="E932" i="3"/>
  <c r="E25" i="3"/>
  <c r="E1220" i="3"/>
  <c r="E3490" i="3"/>
  <c r="E2711" i="3"/>
  <c r="E2894" i="3"/>
  <c r="E2229" i="3"/>
  <c r="E1051" i="3"/>
  <c r="E1672" i="3"/>
  <c r="E2342" i="3"/>
  <c r="E3769" i="3"/>
  <c r="E773" i="3"/>
  <c r="E1803" i="3"/>
  <c r="E712" i="3"/>
  <c r="E3845" i="3"/>
  <c r="E3844" i="3"/>
  <c r="E641" i="3"/>
  <c r="E15" i="3"/>
  <c r="E2972" i="3"/>
  <c r="E2945" i="3"/>
  <c r="E3413" i="3"/>
  <c r="E1591" i="3"/>
  <c r="E2360" i="3"/>
  <c r="E2703" i="3"/>
  <c r="E236" i="3"/>
  <c r="E3788" i="3"/>
  <c r="E1352" i="3"/>
  <c r="E3931" i="3"/>
  <c r="E389" i="3"/>
  <c r="E3085" i="3"/>
  <c r="E3209" i="3"/>
  <c r="E2740" i="3"/>
  <c r="E1807" i="3"/>
  <c r="E2930" i="3"/>
  <c r="E1764" i="3"/>
  <c r="E2150" i="3"/>
  <c r="E1264" i="3"/>
  <c r="E264" i="3"/>
  <c r="E2556" i="3"/>
  <c r="E2345" i="3"/>
  <c r="E985" i="3"/>
  <c r="E382" i="3"/>
  <c r="E3027" i="3"/>
  <c r="E63" i="3"/>
  <c r="E180" i="3"/>
  <c r="E3885" i="3"/>
  <c r="E2539" i="3"/>
  <c r="E3136" i="3"/>
  <c r="E1604" i="3"/>
  <c r="E3396" i="3"/>
  <c r="E1178" i="3"/>
  <c r="E405" i="3"/>
  <c r="E1289" i="3"/>
  <c r="E1133" i="3"/>
  <c r="E487" i="3"/>
  <c r="E1209" i="3"/>
  <c r="E1170" i="3"/>
  <c r="E492" i="3"/>
  <c r="E1145" i="3"/>
  <c r="E117" i="3"/>
  <c r="E3899" i="3"/>
  <c r="E89" i="3"/>
  <c r="E2957" i="3"/>
  <c r="E2699" i="3"/>
  <c r="E3517" i="3"/>
  <c r="E2824" i="3"/>
  <c r="E276" i="3"/>
  <c r="E1752" i="3"/>
  <c r="E1180" i="3"/>
  <c r="E79" i="3"/>
  <c r="E215" i="3"/>
  <c r="E1068" i="3"/>
  <c r="E1652" i="3"/>
  <c r="E1574" i="3"/>
  <c r="E416" i="3"/>
  <c r="E3165" i="3"/>
  <c r="E1744" i="3"/>
  <c r="E1358" i="3"/>
  <c r="E3898" i="3"/>
  <c r="E3164" i="3"/>
  <c r="E9" i="3"/>
  <c r="E2996" i="3"/>
  <c r="E2953" i="3"/>
  <c r="E1904" i="3"/>
  <c r="E3156" i="3"/>
  <c r="E285" i="3"/>
  <c r="E3946" i="3"/>
  <c r="E2093" i="3"/>
  <c r="E2742" i="3"/>
  <c r="E575" i="3"/>
  <c r="E2602" i="3"/>
  <c r="E1686" i="3"/>
  <c r="E693" i="3"/>
  <c r="E2098" i="3"/>
  <c r="E2091" i="3"/>
  <c r="E424" i="3"/>
  <c r="E1505" i="3"/>
  <c r="E99" i="3"/>
  <c r="E2657" i="3"/>
  <c r="E3576" i="3"/>
  <c r="E2547" i="3"/>
  <c r="E336" i="3"/>
  <c r="E592" i="3"/>
  <c r="E3838" i="3"/>
  <c r="E1441" i="3"/>
  <c r="E1320" i="3"/>
  <c r="E2801" i="3"/>
  <c r="E1292" i="3"/>
  <c r="E1655" i="3"/>
  <c r="E3840" i="3"/>
  <c r="E2590" i="3"/>
  <c r="E3329" i="3"/>
  <c r="E2030" i="3"/>
  <c r="E891" i="3"/>
  <c r="E3444" i="3"/>
  <c r="E528" i="3"/>
  <c r="E3168" i="3"/>
  <c r="E1308" i="3"/>
  <c r="E243" i="3"/>
  <c r="E2668" i="3"/>
  <c r="E3456" i="3"/>
  <c r="E2105" i="3"/>
  <c r="E210" i="3"/>
  <c r="E2135" i="3"/>
  <c r="E663" i="3"/>
  <c r="E227" i="3"/>
  <c r="E708" i="3"/>
  <c r="E3871" i="3"/>
  <c r="E1645" i="3"/>
  <c r="E1070" i="3"/>
  <c r="E1330" i="3"/>
  <c r="E1564" i="3"/>
  <c r="E3132" i="3"/>
  <c r="E2369" i="3"/>
  <c r="E1092" i="3"/>
  <c r="E3380" i="3"/>
  <c r="E208" i="3"/>
  <c r="E1916" i="3"/>
  <c r="E262" i="3"/>
  <c r="E2222" i="3"/>
  <c r="E204" i="3"/>
  <c r="E3463" i="3"/>
  <c r="E585" i="3"/>
  <c r="E3033" i="3"/>
  <c r="E3113" i="3"/>
  <c r="E1650" i="3"/>
  <c r="E3581" i="3"/>
  <c r="E2969" i="3"/>
  <c r="E3245" i="3"/>
  <c r="E58" i="3"/>
  <c r="E3252" i="3"/>
  <c r="E3731" i="3"/>
  <c r="E3779" i="3"/>
  <c r="E3043" i="3"/>
  <c r="E2393" i="3"/>
  <c r="E3928" i="3"/>
  <c r="E2169" i="3"/>
  <c r="E3685" i="3"/>
  <c r="E3811" i="3"/>
  <c r="E617" i="3"/>
  <c r="E927" i="3"/>
  <c r="E1554" i="3"/>
  <c r="E3814" i="3"/>
  <c r="E3640" i="3"/>
  <c r="E2296" i="3"/>
  <c r="E1518" i="3"/>
  <c r="E3843" i="3"/>
  <c r="E3221" i="3"/>
  <c r="E582" i="3"/>
  <c r="E3448" i="3"/>
  <c r="E984" i="3"/>
  <c r="E1205" i="3"/>
  <c r="E857" i="3"/>
  <c r="E2414" i="3"/>
  <c r="E112" i="3"/>
  <c r="E2097" i="3"/>
  <c r="E2285" i="3"/>
  <c r="E2448" i="3"/>
  <c r="E1834" i="3"/>
  <c r="E1816" i="3"/>
  <c r="E3318" i="3"/>
  <c r="E1583" i="3"/>
  <c r="E1688" i="3"/>
  <c r="E818" i="3"/>
  <c r="E2639" i="3"/>
  <c r="E3218" i="3"/>
  <c r="E2748" i="3"/>
  <c r="E439" i="3"/>
  <c r="E2478" i="3"/>
  <c r="E865" i="3"/>
  <c r="E2043" i="3"/>
  <c r="E27" i="3"/>
  <c r="E2119" i="3"/>
  <c r="E2872" i="3"/>
  <c r="E3890" i="3"/>
  <c r="E2727" i="3"/>
  <c r="E2608" i="3"/>
  <c r="E2177" i="3"/>
  <c r="E457" i="3"/>
  <c r="E1295" i="3"/>
  <c r="E3358" i="3"/>
  <c r="E273" i="3"/>
  <c r="E2752" i="3"/>
  <c r="E2057" i="3"/>
  <c r="E2623" i="3"/>
  <c r="E1475" i="3"/>
  <c r="E1840" i="3"/>
  <c r="E1078" i="3"/>
  <c r="E3268" i="3"/>
  <c r="E3670" i="3"/>
  <c r="E2024" i="3"/>
  <c r="E309" i="3"/>
  <c r="E2015" i="3"/>
  <c r="E3754" i="3"/>
  <c r="E1279" i="3"/>
  <c r="E296" i="3"/>
  <c r="E844" i="3"/>
  <c r="E2116" i="3"/>
  <c r="E2231" i="3"/>
  <c r="E2736" i="3"/>
  <c r="E3919" i="3"/>
  <c r="E1951" i="3"/>
  <c r="E3347" i="3"/>
  <c r="E3430" i="3"/>
  <c r="E3147" i="3"/>
  <c r="E1376" i="3"/>
  <c r="E880" i="3"/>
  <c r="E3820" i="3"/>
  <c r="E2569" i="3"/>
  <c r="E412" i="3"/>
  <c r="E2264" i="3"/>
  <c r="E2641" i="3"/>
  <c r="E3873" i="3"/>
  <c r="E2309" i="3"/>
  <c r="E2868" i="3"/>
  <c r="E1631" i="3"/>
  <c r="E3942" i="3"/>
  <c r="E559" i="3"/>
  <c r="E1603" i="3"/>
  <c r="E1263" i="3"/>
  <c r="E1307" i="3"/>
  <c r="E3220" i="3"/>
  <c r="E581" i="3"/>
  <c r="E368" i="3"/>
  <c r="E1600" i="3"/>
  <c r="E2855" i="3"/>
  <c r="E1342" i="3"/>
  <c r="E2625" i="3"/>
  <c r="E2756" i="3"/>
  <c r="E3836" i="3"/>
  <c r="E1867" i="3"/>
  <c r="E3465" i="3"/>
  <c r="E1971" i="3"/>
  <c r="E3320" i="3"/>
  <c r="E1428" i="3"/>
  <c r="E2531" i="3"/>
  <c r="E1046" i="3"/>
  <c r="E2982" i="3"/>
  <c r="E1831" i="3"/>
  <c r="E3724" i="3"/>
  <c r="E2897" i="3"/>
  <c r="E3469" i="3"/>
  <c r="E3051" i="3"/>
  <c r="E1946" i="3"/>
  <c r="E876" i="3"/>
  <c r="E3600" i="3"/>
  <c r="E2630" i="3"/>
  <c r="E3492" i="3"/>
  <c r="E3570" i="3"/>
  <c r="E1851" i="3"/>
  <c r="E3668" i="3"/>
  <c r="E3200" i="3"/>
  <c r="E3349" i="3"/>
  <c r="E3182" i="3"/>
  <c r="E1714" i="3"/>
  <c r="E2269" i="3"/>
  <c r="E622" i="3"/>
  <c r="E1877" i="3"/>
  <c r="E807" i="3"/>
  <c r="E3888" i="3"/>
  <c r="E3278" i="3"/>
  <c r="E3254" i="3"/>
  <c r="E2163" i="3"/>
  <c r="E1783" i="3"/>
  <c r="E974" i="3"/>
  <c r="E1709" i="3"/>
  <c r="E1400" i="3"/>
  <c r="E485" i="3"/>
  <c r="E1900" i="3"/>
  <c r="E3002" i="3"/>
  <c r="E159" i="3"/>
  <c r="E325" i="3"/>
  <c r="E1886" i="3"/>
  <c r="E2552" i="3"/>
  <c r="E3353" i="3"/>
  <c r="E1242" i="3"/>
  <c r="E1421" i="3"/>
  <c r="E2851" i="3"/>
  <c r="E2236" i="3"/>
  <c r="E3882" i="3"/>
  <c r="E3332" i="3"/>
  <c r="E2933" i="3"/>
  <c r="E631" i="3"/>
  <c r="E3076" i="3"/>
  <c r="E157" i="3"/>
  <c r="E3263" i="3"/>
  <c r="E1541" i="3"/>
  <c r="E2549" i="3"/>
  <c r="E3531" i="3"/>
  <c r="E392" i="3"/>
  <c r="E2677" i="3"/>
  <c r="E3968" i="3"/>
  <c r="E2422" i="3"/>
  <c r="E206" i="3"/>
  <c r="E1313" i="3"/>
  <c r="E2450" i="3"/>
  <c r="E2472" i="3"/>
  <c r="E1157" i="3"/>
  <c r="E1990" i="3"/>
  <c r="E530" i="3"/>
  <c r="E823" i="3"/>
  <c r="E1056" i="3"/>
  <c r="E3454" i="3"/>
  <c r="E2165" i="3"/>
  <c r="E2327" i="3"/>
  <c r="E532" i="3"/>
  <c r="E3378" i="3"/>
  <c r="E3426" i="3"/>
  <c r="E1771" i="3"/>
  <c r="E3550" i="3"/>
  <c r="E925" i="3"/>
  <c r="E849" i="3"/>
  <c r="E3026" i="3"/>
  <c r="E781" i="3"/>
  <c r="E983" i="3"/>
  <c r="E226" i="3"/>
  <c r="E1427" i="3"/>
  <c r="E1782" i="3"/>
  <c r="E186" i="3"/>
  <c r="E162" i="3"/>
  <c r="E2464" i="3"/>
  <c r="E2819" i="3"/>
  <c r="E918" i="3"/>
  <c r="E107" i="3"/>
  <c r="E3956" i="3"/>
  <c r="E883" i="3"/>
  <c r="E2842" i="3"/>
  <c r="E3261" i="3"/>
  <c r="E3363" i="3"/>
  <c r="E3762" i="3"/>
  <c r="E1898" i="3"/>
  <c r="E1407" i="3"/>
  <c r="E1628" i="3"/>
  <c r="E2435" i="3"/>
  <c r="E842" i="3"/>
  <c r="E749" i="3"/>
  <c r="E3574" i="3"/>
  <c r="E1589" i="3"/>
  <c r="E3370" i="3"/>
  <c r="E1497" i="3"/>
  <c r="E855" i="3"/>
  <c r="E3227" i="3"/>
  <c r="E3752" i="3"/>
  <c r="E3620" i="3"/>
  <c r="E3912" i="3"/>
  <c r="E1940" i="3"/>
  <c r="E2171" i="3"/>
  <c r="E490" i="3"/>
  <c r="E3107" i="3"/>
  <c r="E2156" i="3"/>
  <c r="E3176" i="3"/>
  <c r="E2259" i="3"/>
  <c r="E1043" i="3"/>
  <c r="E1847" i="3"/>
  <c r="E1619" i="3"/>
  <c r="E722" i="3"/>
  <c r="E1801" i="3"/>
  <c r="E2734" i="3"/>
  <c r="E1019" i="3"/>
  <c r="E2807" i="3"/>
  <c r="E633" i="3"/>
  <c r="E1668" i="3"/>
  <c r="E3537" i="3"/>
  <c r="E2841" i="3"/>
  <c r="E2218" i="3"/>
  <c r="E701" i="3"/>
  <c r="E748" i="3"/>
  <c r="E3297" i="3"/>
  <c r="E1116" i="3"/>
  <c r="E3547" i="3"/>
  <c r="E1458" i="3"/>
  <c r="E2770" i="3"/>
  <c r="E2257" i="3"/>
  <c r="E2316" i="3"/>
  <c r="E2493" i="3"/>
  <c r="E3130" i="3"/>
  <c r="E716" i="3"/>
  <c r="E2095" i="3"/>
  <c r="E1787" i="3"/>
  <c r="E3904" i="3"/>
  <c r="E731" i="3"/>
  <c r="E1214" i="3"/>
  <c r="E2429" i="3"/>
  <c r="E834" i="3"/>
  <c r="E2763" i="3"/>
  <c r="E1487" i="3"/>
  <c r="E1891" i="3"/>
  <c r="E3506" i="3"/>
  <c r="E1793" i="3"/>
  <c r="E3020" i="3"/>
  <c r="E3653" i="3"/>
  <c r="E2940" i="3"/>
  <c r="E3541" i="3"/>
  <c r="E3461" i="3"/>
  <c r="E352" i="3"/>
  <c r="E3655" i="3"/>
  <c r="E553" i="3"/>
  <c r="E3940" i="3"/>
  <c r="E1084" i="3"/>
  <c r="E537" i="3"/>
  <c r="E1011" i="3"/>
  <c r="E979" i="3"/>
  <c r="E387" i="3"/>
  <c r="E1698" i="3"/>
  <c r="E3265" i="3"/>
  <c r="E1394" i="3"/>
  <c r="E3476" i="3"/>
  <c r="E2510" i="3"/>
  <c r="E3808" i="3"/>
  <c r="E2559" i="3"/>
  <c r="E2382" i="3"/>
  <c r="E1003" i="3"/>
  <c r="E2512" i="3"/>
  <c r="E860" i="3"/>
  <c r="E2046" i="3"/>
  <c r="E3607" i="3"/>
  <c r="E3223" i="3"/>
  <c r="E1456" i="3"/>
  <c r="E2108" i="3"/>
  <c r="E3619" i="3"/>
  <c r="E3306" i="3"/>
  <c r="E3605" i="3"/>
  <c r="E1525" i="3"/>
  <c r="E2277" i="3"/>
  <c r="E3337" i="3"/>
  <c r="E1695" i="3"/>
  <c r="E3767" i="3"/>
  <c r="E2588" i="3"/>
  <c r="E2686" i="3"/>
  <c r="E3737" i="3"/>
  <c r="E2378" i="3"/>
  <c r="E3966" i="3"/>
  <c r="E2831" i="3"/>
  <c r="E3776" i="3"/>
  <c r="E1967" i="3"/>
  <c r="E2921" i="3"/>
  <c r="E3533" i="3"/>
  <c r="E1684" i="3"/>
  <c r="E3556" i="3"/>
  <c r="E1371" i="3"/>
  <c r="E3756" i="3"/>
  <c r="E3247" i="3"/>
  <c r="E852" i="3"/>
  <c r="E1275" i="3"/>
  <c r="E258" i="3"/>
  <c r="E1354" i="3"/>
  <c r="E1534" i="3"/>
  <c r="E719" i="3"/>
  <c r="E2635" i="3"/>
  <c r="E3134" i="3"/>
  <c r="E1217" i="3"/>
  <c r="E1665" i="3"/>
  <c r="E109" i="3"/>
  <c r="E3804" i="3"/>
  <c r="E2459" i="3"/>
  <c r="E2674" i="3"/>
  <c r="E2839" i="3"/>
  <c r="E2909" i="3"/>
  <c r="E3493" i="3"/>
  <c r="E3534" i="3"/>
  <c r="E3686" i="3"/>
  <c r="E81" i="3"/>
  <c r="E86" i="3"/>
  <c r="E172" i="3"/>
  <c r="E193" i="3"/>
  <c r="E543" i="3"/>
  <c r="E569" i="3"/>
  <c r="E577" i="3"/>
  <c r="E607" i="3"/>
  <c r="E656" i="3"/>
  <c r="E794" i="3"/>
  <c r="E906" i="3"/>
  <c r="E1073" i="3"/>
  <c r="E1100" i="3"/>
  <c r="E1135" i="3"/>
  <c r="E1194" i="3"/>
  <c r="E1211" i="3"/>
  <c r="E1298" i="3"/>
  <c r="E1364" i="3"/>
  <c r="E1926" i="3"/>
  <c r="E2003" i="3"/>
  <c r="E2966" i="3"/>
  <c r="E2225" i="3"/>
  <c r="E2578" i="3"/>
  <c r="E2857" i="3"/>
  <c r="E2190" i="3"/>
  <c r="E2292" i="3"/>
  <c r="E2914" i="3"/>
  <c r="E3566" i="3"/>
  <c r="E2984" i="3"/>
  <c r="E3157" i="3"/>
  <c r="E3772" i="3"/>
  <c r="E1569" i="3"/>
  <c r="E42" i="3"/>
  <c r="E643" i="3"/>
  <c r="E835" i="3"/>
  <c r="E1016" i="3"/>
  <c r="E1079" i="3"/>
  <c r="E1198" i="3"/>
  <c r="E1243" i="3"/>
  <c r="E1502" i="3"/>
  <c r="E1732" i="3"/>
  <c r="E1813" i="3"/>
  <c r="E1956" i="3"/>
  <c r="E2009" i="3"/>
  <c r="E2347" i="3"/>
  <c r="E3255" i="3"/>
  <c r="E2714" i="3"/>
  <c r="E2721" i="3"/>
  <c r="E2820" i="3"/>
  <c r="E2835" i="3"/>
  <c r="E3055" i="3"/>
  <c r="E2022" i="3"/>
  <c r="E3170" i="3"/>
  <c r="E3359" i="3"/>
  <c r="E2918" i="3"/>
  <c r="E3498" i="3"/>
  <c r="E3688" i="3"/>
  <c r="E3830" i="3"/>
  <c r="E3832" i="3"/>
  <c r="E21" i="3"/>
  <c r="E163" i="3"/>
  <c r="E188" i="3"/>
  <c r="E929" i="3"/>
  <c r="E939" i="3"/>
  <c r="E1008" i="3"/>
  <c r="E3009" i="3"/>
  <c r="E1053" i="3"/>
  <c r="E1151" i="3"/>
  <c r="E2926" i="3"/>
  <c r="E1173" i="3"/>
  <c r="E1585" i="3"/>
  <c r="E3160" i="3"/>
  <c r="E1735" i="3"/>
  <c r="E2604" i="3"/>
  <c r="E2007" i="3"/>
  <c r="E2239" i="3"/>
  <c r="E2247" i="3"/>
  <c r="E2808" i="3"/>
  <c r="E2082" i="3"/>
  <c r="E3402" i="3"/>
  <c r="E772" i="3"/>
  <c r="E1936" i="3"/>
  <c r="E2710" i="3"/>
  <c r="E2893" i="3"/>
  <c r="E867" i="3"/>
  <c r="E2307" i="3"/>
  <c r="E3489" i="3"/>
  <c r="E3496" i="3"/>
  <c r="E2621" i="3"/>
  <c r="E3695" i="3"/>
  <c r="E3768" i="3"/>
  <c r="E24" i="3"/>
  <c r="E640" i="3"/>
  <c r="E703" i="3"/>
  <c r="E711" i="3"/>
  <c r="E931" i="3"/>
  <c r="E1050" i="3"/>
  <c r="E1219" i="3"/>
  <c r="E1671" i="3"/>
  <c r="E1730" i="3"/>
  <c r="E1802" i="3"/>
  <c r="E2027" i="3"/>
  <c r="E2228" i="3"/>
  <c r="E2336" i="3"/>
  <c r="E2341" i="3"/>
  <c r="E3787" i="3"/>
  <c r="E2538" i="3"/>
  <c r="E2555" i="3"/>
  <c r="E2702" i="3"/>
  <c r="E2739" i="3"/>
  <c r="E2929" i="3"/>
  <c r="E2944" i="3"/>
  <c r="E2971" i="3"/>
  <c r="E3084" i="3"/>
  <c r="E3135" i="3"/>
  <c r="E3208" i="3"/>
  <c r="E3412" i="3"/>
  <c r="E3884" i="3"/>
  <c r="E3930" i="3"/>
  <c r="E14" i="3"/>
  <c r="E62" i="3"/>
  <c r="E179" i="3"/>
  <c r="E235" i="3"/>
  <c r="E263" i="3"/>
  <c r="E381" i="3"/>
  <c r="E388" i="3"/>
  <c r="E1351" i="3"/>
  <c r="E1590" i="3"/>
  <c r="E1763" i="3"/>
  <c r="E1806" i="3"/>
  <c r="E2149" i="3"/>
  <c r="E2344" i="3"/>
  <c r="E2359" i="3"/>
  <c r="E78" i="3"/>
  <c r="E2698" i="3"/>
  <c r="E2823" i="3"/>
  <c r="E2956" i="3"/>
  <c r="E3395" i="3"/>
  <c r="E3516" i="3"/>
  <c r="E88" i="3"/>
  <c r="E116" i="3"/>
  <c r="E214" i="3"/>
  <c r="E275" i="3"/>
  <c r="E404" i="3"/>
  <c r="E415" i="3"/>
  <c r="E815" i="3"/>
  <c r="E486" i="3"/>
  <c r="E491" i="3"/>
  <c r="E1067" i="3"/>
  <c r="E1132" i="3"/>
  <c r="E1144" i="3"/>
  <c r="E1169" i="3"/>
  <c r="E1177" i="3"/>
  <c r="E2580" i="3"/>
  <c r="E1179" i="3"/>
  <c r="E1208" i="3"/>
  <c r="E1288" i="3"/>
  <c r="E1573" i="3"/>
  <c r="E1651" i="3"/>
  <c r="E1751" i="3"/>
  <c r="E1357" i="3"/>
  <c r="E3163" i="3"/>
  <c r="E3897" i="3"/>
  <c r="E1743" i="3"/>
  <c r="E1903" i="3"/>
  <c r="E2601" i="3"/>
  <c r="E2741" i="3"/>
  <c r="E2952" i="3"/>
  <c r="E2995" i="3"/>
  <c r="E3155" i="3"/>
  <c r="E3945" i="3"/>
  <c r="E8" i="3"/>
  <c r="E284" i="3"/>
  <c r="E423" i="3"/>
  <c r="E574" i="3"/>
  <c r="E692" i="3"/>
  <c r="E1685" i="3"/>
  <c r="E2090" i="3"/>
  <c r="E2092" i="3"/>
  <c r="E2546" i="3"/>
  <c r="E2589" i="3"/>
  <c r="E2656" i="3"/>
  <c r="E2800" i="3"/>
  <c r="E3575" i="3"/>
  <c r="E3837" i="3"/>
  <c r="E3839" i="3"/>
  <c r="E98" i="3"/>
  <c r="E335" i="3"/>
  <c r="E591" i="3"/>
  <c r="E1291" i="3"/>
  <c r="E1319" i="3"/>
  <c r="E1440" i="3"/>
  <c r="E1504" i="3"/>
  <c r="E1654" i="3"/>
  <c r="E3251" i="3"/>
  <c r="E3810" i="3"/>
  <c r="E242" i="3"/>
  <c r="E890" i="3"/>
  <c r="E2667" i="3"/>
  <c r="E3042" i="3"/>
  <c r="E3167" i="3"/>
  <c r="E3244" i="3"/>
  <c r="E3083" i="3"/>
  <c r="E2283" i="3"/>
  <c r="E2318" i="3"/>
  <c r="E556" i="3"/>
  <c r="E51" i="3"/>
  <c r="E3415" i="3"/>
  <c r="E2409" i="3"/>
  <c r="E3334" i="3"/>
  <c r="E1381" i="3"/>
  <c r="E3284" i="3"/>
  <c r="E3206" i="3"/>
  <c r="E698" i="3"/>
  <c r="E777" i="3"/>
  <c r="E3443" i="3"/>
  <c r="E3455" i="3"/>
  <c r="E3684" i="3"/>
  <c r="E3730" i="3"/>
  <c r="E3778" i="3"/>
  <c r="E2883" i="3"/>
  <c r="E3927" i="3"/>
  <c r="E57" i="3"/>
  <c r="E209" i="3"/>
  <c r="E527" i="3"/>
  <c r="E662" i="3"/>
  <c r="E707" i="3"/>
  <c r="E2029" i="3"/>
  <c r="E2104" i="3"/>
  <c r="E2380" i="3"/>
  <c r="E1161" i="3"/>
  <c r="E2134" i="3"/>
  <c r="E2168" i="3"/>
  <c r="E2392" i="3"/>
  <c r="E650" i="3"/>
  <c r="E2968" i="3"/>
  <c r="E3032" i="3"/>
  <c r="E2880" i="3"/>
  <c r="E281" i="3"/>
  <c r="E3303" i="3"/>
  <c r="E2947" i="3"/>
  <c r="E3112" i="3"/>
  <c r="E3131" i="3"/>
  <c r="E3379" i="3"/>
  <c r="E331" i="3"/>
  <c r="E3462" i="3"/>
  <c r="E3580" i="3"/>
  <c r="E3870" i="3"/>
  <c r="E207" i="3"/>
  <c r="E261" i="3"/>
  <c r="E584" i="3"/>
  <c r="E1069" i="3"/>
  <c r="E1091" i="3"/>
  <c r="E1329" i="3"/>
  <c r="E1563" i="3"/>
  <c r="E1644" i="3"/>
  <c r="E1649" i="3"/>
  <c r="E1915" i="3"/>
  <c r="E2221" i="3"/>
  <c r="E2368" i="3"/>
  <c r="E3813" i="3"/>
  <c r="E3639" i="3"/>
  <c r="E3842" i="3"/>
  <c r="E616" i="3"/>
  <c r="E2096" i="3"/>
  <c r="E2295" i="3"/>
  <c r="E3447" i="3"/>
  <c r="E111" i="3"/>
  <c r="E856" i="3"/>
  <c r="E926" i="3"/>
  <c r="E1204" i="3"/>
  <c r="E1517" i="3"/>
  <c r="E2413" i="3"/>
  <c r="E2477" i="3"/>
  <c r="E2638" i="3"/>
  <c r="E2726" i="3"/>
  <c r="E3317" i="3"/>
  <c r="E3357" i="3"/>
  <c r="E26" i="3"/>
  <c r="E438" i="3"/>
  <c r="E456" i="3"/>
  <c r="E817" i="3"/>
  <c r="E864" i="3"/>
  <c r="E1294" i="3"/>
  <c r="E1582" i="3"/>
  <c r="E1815" i="3"/>
  <c r="E2118" i="3"/>
  <c r="E1833" i="3"/>
  <c r="E2284" i="3"/>
  <c r="E2447" i="3"/>
  <c r="E2607" i="3"/>
  <c r="E2747" i="3"/>
  <c r="E2751" i="3"/>
  <c r="E2871" i="3"/>
  <c r="E3217" i="3"/>
  <c r="E3889" i="3"/>
  <c r="E272" i="3"/>
  <c r="E1687" i="3"/>
  <c r="E2056" i="3"/>
  <c r="E2176" i="3"/>
  <c r="E3669" i="3"/>
  <c r="E3918" i="3"/>
  <c r="E1474" i="3"/>
  <c r="E2622" i="3"/>
  <c r="E2735" i="3"/>
  <c r="E3267" i="3"/>
  <c r="E3346" i="3"/>
  <c r="E3753" i="3"/>
  <c r="E295" i="3"/>
  <c r="E308" i="3"/>
  <c r="E843" i="3"/>
  <c r="E1077" i="3"/>
  <c r="E1278" i="3"/>
  <c r="E1839" i="3"/>
  <c r="E1950" i="3"/>
  <c r="E2064" i="3"/>
  <c r="E377" i="3"/>
  <c r="E1856" i="3"/>
  <c r="E793" i="3"/>
  <c r="E2014" i="3"/>
  <c r="E2023" i="3"/>
  <c r="E2115" i="3"/>
  <c r="E2230" i="3"/>
  <c r="E3146" i="3"/>
  <c r="E2568" i="3"/>
  <c r="E2640" i="3"/>
  <c r="E2867" i="3"/>
  <c r="E1370" i="3"/>
  <c r="E3609" i="3"/>
  <c r="E1037" i="3"/>
  <c r="E3681" i="3"/>
  <c r="E2335" i="3"/>
  <c r="E613" i="3"/>
  <c r="E605" i="3"/>
  <c r="E1965" i="3"/>
  <c r="E1647" i="3"/>
  <c r="E252" i="3"/>
  <c r="E1738" i="3"/>
  <c r="E1191" i="3"/>
  <c r="E3792" i="3"/>
  <c r="E2899" i="3"/>
  <c r="E2537" i="3"/>
  <c r="E3590" i="3"/>
  <c r="E3650" i="3"/>
  <c r="E2273" i="3"/>
  <c r="E278" i="3"/>
  <c r="E2693" i="3"/>
  <c r="E1729" i="3"/>
  <c r="E3048" i="3"/>
  <c r="E1949" i="3"/>
  <c r="E2489" i="3"/>
  <c r="E1528" i="3"/>
  <c r="E443" i="3"/>
  <c r="E2846" i="3"/>
  <c r="E903" i="3"/>
  <c r="E1430" i="3"/>
  <c r="E2233" i="3"/>
  <c r="E994" i="3"/>
  <c r="E1439" i="3"/>
  <c r="E1494" i="3"/>
  <c r="E3933" i="3"/>
  <c r="E1477" i="3"/>
  <c r="E666" i="3"/>
  <c r="E1483" i="3"/>
  <c r="E32" i="3"/>
  <c r="E3014" i="3"/>
  <c r="E1297" i="3"/>
  <c r="E3926" i="3"/>
  <c r="E3747" i="3"/>
  <c r="E1345" i="3"/>
  <c r="E1159" i="3"/>
  <c r="E436" i="3"/>
  <c r="E361" i="3"/>
  <c r="E1305" i="3"/>
  <c r="E3145" i="3"/>
  <c r="E3771" i="3"/>
  <c r="E2261" i="3"/>
  <c r="E2411" i="3"/>
  <c r="E2061" i="3"/>
  <c r="E1617" i="3"/>
  <c r="E2322" i="3"/>
  <c r="E3103" i="3"/>
  <c r="E3764" i="3"/>
  <c r="E3229" i="3"/>
  <c r="E2049" i="3"/>
  <c r="E3806" i="3"/>
  <c r="E1612" i="3"/>
  <c r="E1979" i="3"/>
  <c r="E2786" i="3"/>
  <c r="E3429" i="3"/>
  <c r="E3819" i="3"/>
  <c r="E3872" i="3"/>
  <c r="E3941" i="3"/>
  <c r="E411" i="3"/>
  <c r="E879" i="3"/>
  <c r="E1375" i="3"/>
  <c r="E1630" i="3"/>
  <c r="E2263" i="3"/>
  <c r="E2308" i="3"/>
  <c r="E558" i="3"/>
  <c r="E1262" i="3"/>
  <c r="E1306" i="3"/>
  <c r="E1602" i="3"/>
  <c r="E3219" i="3"/>
  <c r="E580" i="3"/>
  <c r="E3277" i="3"/>
  <c r="E3967" i="3"/>
  <c r="E2548" i="3"/>
  <c r="E2551" i="3"/>
  <c r="E2624" i="3"/>
  <c r="E2755" i="3"/>
  <c r="E2850" i="3"/>
  <c r="E2854" i="3"/>
  <c r="E3001" i="3"/>
  <c r="E3199" i="3"/>
  <c r="E3348" i="3"/>
  <c r="E3464" i="3"/>
  <c r="E3468" i="3"/>
  <c r="E3530" i="3"/>
  <c r="E3835" i="3"/>
  <c r="E3887" i="3"/>
  <c r="E367" i="3"/>
  <c r="E391" i="3"/>
  <c r="E806" i="3"/>
  <c r="E1045" i="3"/>
  <c r="E1241" i="3"/>
  <c r="E1341" i="3"/>
  <c r="E1399" i="3"/>
  <c r="E1420" i="3"/>
  <c r="E1599" i="3"/>
  <c r="E1713" i="3"/>
  <c r="E1850" i="3"/>
  <c r="E1866" i="3"/>
  <c r="E1876" i="3"/>
  <c r="E1945" i="3"/>
  <c r="E1970" i="3"/>
  <c r="E2235" i="3"/>
  <c r="E2268" i="3"/>
  <c r="E3881" i="3"/>
  <c r="E1708" i="3"/>
  <c r="E2530" i="3"/>
  <c r="E2629" i="3"/>
  <c r="E2896" i="3"/>
  <c r="E2932" i="3"/>
  <c r="E2981" i="3"/>
  <c r="E3050" i="3"/>
  <c r="E3075" i="3"/>
  <c r="E3181" i="3"/>
  <c r="E3253" i="3"/>
  <c r="E3262" i="3"/>
  <c r="E3319" i="3"/>
  <c r="E3331" i="3"/>
  <c r="E3352" i="3"/>
  <c r="E3491" i="3"/>
  <c r="E3569" i="3"/>
  <c r="E3599" i="3"/>
  <c r="E3667" i="3"/>
  <c r="E3723" i="3"/>
  <c r="E156" i="3"/>
  <c r="E158" i="3"/>
  <c r="E324" i="3"/>
  <c r="E484" i="3"/>
  <c r="E621" i="3"/>
  <c r="E630" i="3"/>
  <c r="E875" i="3"/>
  <c r="E973" i="3"/>
  <c r="E1540" i="3"/>
  <c r="E1830" i="3"/>
  <c r="E1885" i="3"/>
  <c r="E1899" i="3"/>
  <c r="E2162" i="3"/>
  <c r="E2421" i="3"/>
  <c r="E529" i="3"/>
  <c r="E822" i="3"/>
  <c r="E1055" i="3"/>
  <c r="E1156" i="3"/>
  <c r="E1312" i="3"/>
  <c r="E1989" i="3"/>
  <c r="E2449" i="3"/>
  <c r="E2471" i="3"/>
  <c r="E3377" i="3"/>
  <c r="E3425" i="3"/>
  <c r="E3453" i="3"/>
  <c r="E531" i="3"/>
  <c r="E1770" i="3"/>
  <c r="E2164" i="3"/>
  <c r="E2326" i="3"/>
  <c r="E2463" i="3"/>
  <c r="E2818" i="3"/>
  <c r="E3025" i="3"/>
  <c r="E3549" i="3"/>
  <c r="E161" i="3"/>
  <c r="E185" i="3"/>
  <c r="E780" i="3"/>
  <c r="E848" i="3"/>
  <c r="E917" i="3"/>
  <c r="E924" i="3"/>
  <c r="E982" i="3"/>
  <c r="E225" i="3"/>
  <c r="E1426" i="3"/>
  <c r="E1781" i="3"/>
  <c r="E203" i="3"/>
  <c r="E2042" i="3"/>
  <c r="E2676" i="3"/>
  <c r="E205" i="3"/>
  <c r="E2829" i="3"/>
  <c r="E1544" i="3"/>
  <c r="E1134" i="3"/>
  <c r="E1083" i="3"/>
  <c r="E814" i="3"/>
  <c r="E3763" i="3"/>
  <c r="E3228" i="3"/>
  <c r="E1978" i="3"/>
  <c r="E1611" i="3"/>
  <c r="E2785" i="3"/>
  <c r="E2343" i="3"/>
  <c r="E283" i="3"/>
  <c r="E3243" i="3"/>
  <c r="E3579" i="3"/>
  <c r="E1838" i="3"/>
  <c r="E727" i="3"/>
  <c r="E3893" i="3"/>
  <c r="E3312" i="3"/>
  <c r="E3958" i="3"/>
  <c r="E2828" i="3"/>
  <c r="E3892" i="3"/>
  <c r="E2967" i="3"/>
  <c r="E451" i="3"/>
  <c r="E2077" i="3"/>
  <c r="E3957" i="3"/>
  <c r="E2154" i="3"/>
  <c r="E3915" i="3"/>
  <c r="E501" i="3"/>
  <c r="E3744" i="3"/>
  <c r="E1578" i="3"/>
  <c r="E2535" i="3"/>
  <c r="E3914" i="3"/>
  <c r="E3743" i="3"/>
  <c r="E3311" i="3"/>
  <c r="E3302" i="3"/>
  <c r="E2153" i="3"/>
  <c r="E1577" i="3"/>
  <c r="E2561" i="3"/>
  <c r="E3673" i="3"/>
  <c r="E3340" i="3"/>
  <c r="E2649" i="3"/>
  <c r="E36" i="3"/>
  <c r="E3878" i="3"/>
  <c r="E3442" i="3"/>
  <c r="E3825" i="3"/>
  <c r="E2838" i="3"/>
  <c r="E3578" i="3"/>
  <c r="E2483" i="3"/>
  <c r="E1446" i="3"/>
  <c r="E1340" i="3"/>
  <c r="E2002" i="3"/>
  <c r="E401" i="3"/>
  <c r="E1001" i="3"/>
  <c r="E3616" i="3"/>
  <c r="E2183" i="3"/>
  <c r="E3063" i="3"/>
  <c r="E291" i="3"/>
  <c r="E1761" i="3"/>
  <c r="E679" i="3"/>
  <c r="E3328" i="3"/>
  <c r="E3260" i="3"/>
  <c r="E3362" i="3"/>
  <c r="E3761" i="3"/>
  <c r="E3955" i="3"/>
  <c r="E882" i="3"/>
  <c r="E1897" i="3"/>
  <c r="E841" i="3"/>
  <c r="E1627" i="3"/>
  <c r="E2434" i="3"/>
  <c r="E3226" i="3"/>
  <c r="E3573" i="3"/>
  <c r="E854" i="3"/>
  <c r="E1496" i="3"/>
  <c r="E1588" i="3"/>
  <c r="E3751" i="3"/>
  <c r="E3911" i="3"/>
  <c r="E1939" i="3"/>
  <c r="E3106" i="3"/>
  <c r="E3175" i="3"/>
  <c r="E489" i="3"/>
  <c r="E721" i="3"/>
  <c r="E1042" i="3"/>
  <c r="E1618" i="3"/>
  <c r="E1846" i="3"/>
  <c r="E2155" i="3"/>
  <c r="E2170" i="3"/>
  <c r="E2258" i="3"/>
  <c r="E2733" i="3"/>
  <c r="E2762" i="3"/>
  <c r="E2769" i="3"/>
  <c r="E2806" i="3"/>
  <c r="E3129" i="3"/>
  <c r="E3296" i="3"/>
  <c r="E3536" i="3"/>
  <c r="E3546" i="3"/>
  <c r="E3903" i="3"/>
  <c r="E632" i="3"/>
  <c r="E700" i="3"/>
  <c r="E715" i="3"/>
  <c r="E730" i="3"/>
  <c r="E833" i="3"/>
  <c r="E1018" i="3"/>
  <c r="E1115" i="3"/>
  <c r="E1213" i="3"/>
  <c r="E1457" i="3"/>
  <c r="E1667" i="3"/>
  <c r="E3259" i="3"/>
  <c r="E1786" i="3"/>
  <c r="E1800" i="3"/>
  <c r="E2094" i="3"/>
  <c r="E2217" i="3"/>
  <c r="E2256" i="3"/>
  <c r="E2315" i="3"/>
  <c r="E2428" i="3"/>
  <c r="E2492" i="3"/>
  <c r="E2509" i="3"/>
  <c r="E2511" i="3"/>
  <c r="E2558" i="3"/>
  <c r="E2939" i="3"/>
  <c r="E3019" i="3"/>
  <c r="E3264" i="3"/>
  <c r="E3460" i="3"/>
  <c r="E3475" i="3"/>
  <c r="E3505" i="3"/>
  <c r="E3540" i="3"/>
  <c r="E3652" i="3"/>
  <c r="E3654" i="3"/>
  <c r="E3198" i="3"/>
  <c r="E3213" i="3"/>
  <c r="E3807" i="3"/>
  <c r="E2960" i="3"/>
  <c r="E1039" i="3"/>
  <c r="E3939" i="3"/>
  <c r="E351" i="3"/>
  <c r="E334" i="3"/>
  <c r="E386" i="3"/>
  <c r="E536" i="3"/>
  <c r="E1468" i="3"/>
  <c r="E2501" i="3"/>
  <c r="E552" i="3"/>
  <c r="E2186" i="3"/>
  <c r="E978" i="3"/>
  <c r="E683" i="3"/>
  <c r="E1002" i="3"/>
  <c r="E1452" i="3"/>
  <c r="E1010" i="3"/>
  <c r="E1514" i="3"/>
  <c r="E1393" i="3"/>
  <c r="E3078" i="3"/>
  <c r="E512" i="3"/>
  <c r="E2246" i="3"/>
  <c r="E1187" i="3"/>
  <c r="E1486" i="3"/>
  <c r="E2943" i="3"/>
  <c r="E1697" i="3"/>
  <c r="E1792" i="3"/>
  <c r="E1890" i="3"/>
  <c r="E2381" i="3"/>
  <c r="E68" i="3"/>
  <c r="E3222" i="3"/>
  <c r="E3606" i="3"/>
  <c r="E859" i="3"/>
  <c r="E1455" i="3"/>
  <c r="E2045" i="3"/>
  <c r="E2107" i="3"/>
  <c r="E3736" i="3"/>
  <c r="E3965" i="3"/>
  <c r="E2377" i="3"/>
  <c r="E2587" i="3"/>
  <c r="E2685" i="3"/>
  <c r="E2830" i="3"/>
  <c r="E2920" i="3"/>
  <c r="E3246" i="3"/>
  <c r="E3305" i="3"/>
  <c r="E3336" i="3"/>
  <c r="E3532" i="3"/>
  <c r="E3555" i="3"/>
  <c r="E3604" i="3"/>
  <c r="E3755" i="3"/>
  <c r="E3766" i="3"/>
  <c r="E3775" i="3"/>
  <c r="E851" i="3"/>
  <c r="E1524" i="3"/>
  <c r="E1683" i="3"/>
  <c r="E1694" i="3"/>
  <c r="E1966" i="3"/>
  <c r="E2276" i="3"/>
  <c r="E2634" i="3"/>
  <c r="E3133" i="3"/>
  <c r="E3803" i="3"/>
  <c r="E108" i="3"/>
  <c r="E257" i="3"/>
  <c r="E718" i="3"/>
  <c r="E1216" i="3"/>
  <c r="E1274" i="3"/>
  <c r="E1533" i="3"/>
  <c r="E1664" i="3"/>
  <c r="E2917" i="3"/>
  <c r="E2925" i="3"/>
  <c r="E2577" i="3"/>
  <c r="E2579" i="3"/>
  <c r="E2603" i="3"/>
  <c r="E2620" i="3"/>
  <c r="E2856" i="3"/>
  <c r="E2965" i="3"/>
  <c r="E3008" i="3"/>
  <c r="E3159" i="3"/>
  <c r="E3565" i="3"/>
  <c r="E866" i="3"/>
  <c r="E1568" i="3"/>
  <c r="E1935" i="3"/>
  <c r="E2021" i="3"/>
  <c r="E2081" i="3"/>
  <c r="E2224" i="3"/>
  <c r="E2306" i="3"/>
  <c r="E2882" i="3"/>
  <c r="E3414" i="3"/>
  <c r="E2379" i="3"/>
  <c r="E2879" i="3"/>
  <c r="E2946" i="3"/>
  <c r="E3082" i="3"/>
  <c r="E3205" i="3"/>
  <c r="E3283" i="3"/>
  <c r="E3333" i="3"/>
  <c r="E50" i="3"/>
  <c r="E280" i="3"/>
  <c r="E330" i="3"/>
  <c r="E376" i="3"/>
  <c r="E555" i="3"/>
  <c r="E649" i="3"/>
  <c r="E697" i="3"/>
  <c r="E776" i="3"/>
  <c r="E792" i="3"/>
  <c r="E1160" i="3"/>
  <c r="E1380" i="3"/>
  <c r="E1855" i="3"/>
  <c r="E2063" i="3"/>
  <c r="E2282" i="3"/>
  <c r="E2317" i="3"/>
  <c r="E2408" i="3"/>
  <c r="E3791" i="3"/>
  <c r="E3608" i="3"/>
  <c r="E3680" i="3"/>
  <c r="E251" i="3"/>
  <c r="E604" i="3"/>
  <c r="E612" i="3"/>
  <c r="E1036" i="3"/>
  <c r="E1190" i="3"/>
  <c r="E1646" i="3"/>
  <c r="E1737" i="3"/>
  <c r="E1964" i="3"/>
  <c r="E2334" i="3"/>
  <c r="E3144" i="3"/>
  <c r="E1476" i="3"/>
  <c r="E2536" i="3"/>
  <c r="E2692" i="3"/>
  <c r="E2845" i="3"/>
  <c r="E2898" i="3"/>
  <c r="E3013" i="3"/>
  <c r="E3047" i="3"/>
  <c r="E3102" i="3"/>
  <c r="E3589" i="3"/>
  <c r="E3649" i="3"/>
  <c r="E3746" i="3"/>
  <c r="E3770" i="3"/>
  <c r="E3925" i="3"/>
  <c r="E3932" i="3"/>
  <c r="E31" i="3"/>
  <c r="E277" i="3"/>
  <c r="E360" i="3"/>
  <c r="E435" i="3"/>
  <c r="E442" i="3"/>
  <c r="E665" i="3"/>
  <c r="E902" i="3"/>
  <c r="E993" i="3"/>
  <c r="E1158" i="3"/>
  <c r="E1296" i="3"/>
  <c r="E1304" i="3"/>
  <c r="E1344" i="3"/>
  <c r="E1429" i="3"/>
  <c r="E1438" i="3"/>
  <c r="E1482" i="3"/>
  <c r="E1493" i="3"/>
  <c r="E1527" i="3"/>
  <c r="E1616" i="3"/>
  <c r="E1728" i="3"/>
  <c r="R2" i="1" l="1"/>
  <c r="R3" i="1"/>
  <c r="R4" i="1"/>
  <c r="R5" i="1"/>
  <c r="R6" i="1"/>
  <c r="R7" i="1"/>
  <c r="R8" i="1"/>
  <c r="R9" i="1"/>
  <c r="S2" i="1"/>
  <c r="S3" i="1"/>
  <c r="S4" i="1"/>
  <c r="S5" i="1"/>
  <c r="S6" i="1"/>
  <c r="S7" i="1"/>
  <c r="S8" i="1"/>
  <c r="S9" i="1"/>
  <c r="U2" i="1"/>
  <c r="U3" i="1"/>
  <c r="U4" i="1"/>
  <c r="U5" i="1"/>
  <c r="U6" i="1"/>
  <c r="U7" i="1"/>
  <c r="U8" i="1"/>
  <c r="U9" i="1"/>
  <c r="V2" i="1"/>
  <c r="V3" i="1"/>
  <c r="V4" i="1"/>
  <c r="V5" i="1"/>
  <c r="V6" i="1"/>
  <c r="V7" i="1"/>
  <c r="V8" i="1"/>
  <c r="V9" i="1"/>
  <c r="W2" i="1"/>
  <c r="AB7" i="1" l="1"/>
  <c r="X7" i="1"/>
  <c r="Y7" i="1" s="1"/>
  <c r="X5" i="1"/>
  <c r="Y5" i="1" s="1"/>
  <c r="AB3" i="1"/>
  <c r="X3" i="1"/>
  <c r="Y3" i="1" s="1"/>
  <c r="AB9" i="1"/>
  <c r="X9" i="1"/>
  <c r="Y9" i="1" s="1"/>
  <c r="AB8" i="1"/>
  <c r="X8" i="1"/>
  <c r="Y8" i="1" s="1"/>
  <c r="AB6" i="1"/>
  <c r="X6" i="1"/>
  <c r="Y6" i="1" s="1"/>
  <c r="AB4" i="1"/>
  <c r="X4" i="1"/>
  <c r="Y4" i="1" s="1"/>
  <c r="AB2" i="1"/>
  <c r="X2" i="1"/>
  <c r="Y2" i="1" s="1"/>
  <c r="AB5" i="1"/>
  <c r="W3" i="4"/>
  <c r="V3" i="4"/>
  <c r="U3" i="4"/>
  <c r="T3" i="4"/>
  <c r="S3" i="4"/>
  <c r="R3" i="4"/>
  <c r="X3" i="4" s="1"/>
  <c r="W2" i="4"/>
  <c r="V2" i="4"/>
  <c r="U2" i="4"/>
  <c r="T2" i="4"/>
  <c r="S2" i="4"/>
  <c r="R2" i="4"/>
  <c r="X2" i="4" s="1"/>
  <c r="E572" i="3"/>
  <c r="AC2" i="4" l="1"/>
  <c r="Z2" i="4"/>
  <c r="AB2" i="4" s="1"/>
  <c r="AC3" i="4"/>
  <c r="Z3" i="4"/>
  <c r="AB3" i="4" s="1"/>
  <c r="Y3" i="4"/>
  <c r="Y2" i="4"/>
</calcChain>
</file>

<file path=xl/sharedStrings.xml><?xml version="1.0" encoding="utf-8"?>
<sst xmlns="http://schemas.openxmlformats.org/spreadsheetml/2006/main" count="7888" uniqueCount="4556">
  <si>
    <t>Gestor de tramite</t>
  </si>
  <si>
    <t>Razón para el estado</t>
  </si>
  <si>
    <t>Observaciones</t>
  </si>
  <si>
    <t>Recordatorio</t>
  </si>
  <si>
    <t>Fecha de creación</t>
  </si>
  <si>
    <t>Número de documento del contacto</t>
  </si>
  <si>
    <t>Contacto</t>
  </si>
  <si>
    <t>Correo electrónico (Contacto)</t>
  </si>
  <si>
    <t>Tipo trámite</t>
  </si>
  <si>
    <t>Eliminar Dupl.</t>
  </si>
  <si>
    <t>Dias. Dif</t>
  </si>
  <si>
    <t>Mas de 1 Reque.</t>
  </si>
  <si>
    <t>Mayor a 30 días</t>
  </si>
  <si>
    <t>Tipo de documento del contacto</t>
  </si>
  <si>
    <t>Duvan Fabian Sanchez Vargas</t>
  </si>
  <si>
    <t>Requerido por documentación incompleta</t>
  </si>
  <si>
    <t>Posible Archivo</t>
  </si>
  <si>
    <t>Archivar</t>
  </si>
  <si>
    <t>WILLIAM RESTREPO NARANJO</t>
  </si>
  <si>
    <t>CONSULTORPROCESOSJUDICIALES@GMAIL.COM</t>
  </si>
  <si>
    <t>Tarjeta Profesional Digital</t>
  </si>
  <si>
    <t>Único</t>
  </si>
  <si>
    <t>SI</t>
  </si>
  <si>
    <t>Cédula de ciudadanía</t>
  </si>
  <si>
    <t>JONATHAN SEBASTIAN LUNA BLANCO</t>
  </si>
  <si>
    <t>JONLUNA.DER@HOTMAIL.COM</t>
  </si>
  <si>
    <t>Consecutivo radicación (Trámite)</t>
  </si>
  <si>
    <t>Número de documento del contacto (Trámite)</t>
  </si>
  <si>
    <t>Código</t>
  </si>
  <si>
    <t>Fecha de radicación (Trámite)</t>
  </si>
  <si>
    <t>Consecutivo radicación (Núm. Trámite)</t>
  </si>
  <si>
    <t>Fecha de creación (Fecha último requerimiento)</t>
  </si>
  <si>
    <t>Fecha (Fecha de archivo)</t>
  </si>
  <si>
    <t>Número de resolución de archivo</t>
  </si>
  <si>
    <t>Fecha de resolución de archivo</t>
  </si>
  <si>
    <t>Número de documento</t>
  </si>
  <si>
    <t>Número de resolución</t>
  </si>
  <si>
    <t>Número de requerimento</t>
  </si>
  <si>
    <t>Duplicado</t>
  </si>
  <si>
    <t>Texto Fecha de creación (Fecha último requerimiento)</t>
  </si>
  <si>
    <t>Texto Fecha de radicación (Trámite)</t>
  </si>
  <si>
    <t>Num. Automatico de pdf</t>
  </si>
  <si>
    <t>Nombre del archivo de resolución</t>
  </si>
  <si>
    <t>Archivo de resolución</t>
  </si>
  <si>
    <t>Licencia Temporal Digital</t>
  </si>
  <si>
    <t>Nombre PDF / cedula + num resolucion</t>
  </si>
  <si>
    <t>instructivo</t>
  </si>
  <si>
    <t>Resolucion + instrucctivo separado de ;</t>
  </si>
  <si>
    <t>Nombre carpeta</t>
  </si>
  <si>
    <t>10. Instructivo_Radicar_Activación_Credencial_DIGITAL_SIRNA.pdf</t>
  </si>
  <si>
    <t>ANDRES FERNANDO SALGADO AREVALO</t>
  </si>
  <si>
    <t>ANDRES.SALGADO.AREVALO@GMAIL.COM</t>
  </si>
  <si>
    <t>LUIS ALBERTO MORALES RIOS</t>
  </si>
  <si>
    <t>ABOGADOALBERTOMORALES@GMAIL.COM</t>
  </si>
  <si>
    <t>DANIELA ALEJANDRA PINILLOS MORENO</t>
  </si>
  <si>
    <t>DANIELAPINILLOSM@GMAIL.COM</t>
  </si>
  <si>
    <t>CARLOS ANDRES PEREZ RUIZ</t>
  </si>
  <si>
    <t>PEREZANDRES78@YAHOO.ES</t>
  </si>
  <si>
    <t>JUAN MANUEL VANEGAS ACEVEDO</t>
  </si>
  <si>
    <t>VANEGAS_ABOGADO@HOTMAIL.COM</t>
  </si>
  <si>
    <t>PEDRO LUIS ORTIZ CARRILLO</t>
  </si>
  <si>
    <t>PELORTIZ2010@GMAIL.COM</t>
  </si>
  <si>
    <t>JOSE ALEJANDRO PELAEZ ROMERO</t>
  </si>
  <si>
    <t>JOSPELROM@HOTMAIL.COM</t>
  </si>
  <si>
    <t>YOVANY ALONSO GOEZ</t>
  </si>
  <si>
    <t>YOVAGOEZ@HOTMAIL.COM</t>
  </si>
  <si>
    <t>OLMES PAEZ PERILLA</t>
  </si>
  <si>
    <t>OLMESPERILLA@GMAIL.COM</t>
  </si>
  <si>
    <t>GILBERTO SERNA GIRALDO</t>
  </si>
  <si>
    <t>GSERNAG@HOTMAIL.COM</t>
  </si>
  <si>
    <t>RODRIGO ANTONIO BELTRAN ANGULO</t>
  </si>
  <si>
    <t>BELTRANRODRIGO@GMAIL.COM</t>
  </si>
  <si>
    <t>SANDRA MILENA GONZALEZ VESGA</t>
  </si>
  <si>
    <t>GONZALEZSANDRA28@HOTMAIL.COM</t>
  </si>
  <si>
    <t>VIVIAN LORENA MONDRAGON ROMO</t>
  </si>
  <si>
    <t>VIVIMON22@GMAIL.COM</t>
  </si>
  <si>
    <t>PAOLA ANDREA DIAZ PEÑA</t>
  </si>
  <si>
    <t>POLADIPE@HOTMAIL.COM</t>
  </si>
  <si>
    <t>LILIANA RUIZ GARCES</t>
  </si>
  <si>
    <t>LILIANA.RUIZ@BPOJURIDICO.COM</t>
  </si>
  <si>
    <t>ADRIANA DEL ROCIO NIÑO GIRALDO</t>
  </si>
  <si>
    <t>ADNINO@DEFENSORIA.EDU.CO</t>
  </si>
  <si>
    <t>CLAUDIA PATRICIA CASTAÑEDA BENITES</t>
  </si>
  <si>
    <t>CCASTANEDB@CENDOJ.RAMAJUDICIAL.GOV.CO</t>
  </si>
  <si>
    <t>ANA PATRICIA CARRILLO RUEDA</t>
  </si>
  <si>
    <t>ANITAP_80@HOTMAIL.COM</t>
  </si>
  <si>
    <t>MYRIAM EDITH MICHELLE MUÑOZ ALTAMAR</t>
  </si>
  <si>
    <t>MIMUMAR35@HOTMAIL.COM</t>
  </si>
  <si>
    <t>DIANA PATRICIA MUÑOZ MUÑOZ</t>
  </si>
  <si>
    <t>DIANAPAT9@HOTMAIL.COM</t>
  </si>
  <si>
    <t>ALEXANDRA MARIA TOBON MORALES</t>
  </si>
  <si>
    <t>AXTOBON@HOTMAIL.COM</t>
  </si>
  <si>
    <t>MARIA ISABEL CASTAÑEDA PATIÑO</t>
  </si>
  <si>
    <t>ISABELA.01@LIVE.COM</t>
  </si>
  <si>
    <t>CARLOTA KALEENA MERCADO MENDOZA</t>
  </si>
  <si>
    <t>CARLOTAMERCADOM@GMAIL.COM</t>
  </si>
  <si>
    <t>DIANA MERCEDES RODRIGUEZ CIFUENTES</t>
  </si>
  <si>
    <t>SMARTPRODUCTION468@GMAIL.COM</t>
  </si>
  <si>
    <t>CLAUDIA PATRICIA QUINTERO SUAREZ</t>
  </si>
  <si>
    <t>CLAUDIAQUINTEROSABOGADA@GMAIL.COM</t>
  </si>
  <si>
    <t>EMMA PAOLA ANGULO JIMENEZ</t>
  </si>
  <si>
    <t>EMMA.PAOLA7@GMAIL.COM</t>
  </si>
  <si>
    <t>DEICY LONDOÑO ROJAS</t>
  </si>
  <si>
    <t>DLONDONO.ABOGADA@GMAIL.COM</t>
  </si>
  <si>
    <t>MARGOTH DE LA PAZ ARANGO MOLESTINA</t>
  </si>
  <si>
    <t>PAZAMOL77@GMAIL.COM</t>
  </si>
  <si>
    <t>ANDREA CAROLINA GUTIERREZ RODRIGUEZ</t>
  </si>
  <si>
    <t>ABOGADA_ANDREAGUTIERREZ@HOTMAIL.COM</t>
  </si>
  <si>
    <t>YULY CAROLINA BERMUDEZ MENDEZ</t>
  </si>
  <si>
    <t>CAROBER1@GMAIL.COM</t>
  </si>
  <si>
    <t>KATHERINE YIGETH FERNANDEZ FERNANDEZ</t>
  </si>
  <si>
    <t>KATHYIGETH@GMAIL.COM</t>
  </si>
  <si>
    <t>JENIFFER JOHANA BERNAL ALDANA</t>
  </si>
  <si>
    <t>JENBERNAL17@GMAIL.COM</t>
  </si>
  <si>
    <t>OSCAR JAIME AGUILAR ARISMENDY</t>
  </si>
  <si>
    <t>AARISMENDY566@GMAIL.COM</t>
  </si>
  <si>
    <t>CARLOS ANTONIO SAÑUDO CORREA</t>
  </si>
  <si>
    <t>CARLOSANUDO@YAHOO.ES</t>
  </si>
  <si>
    <t>EDIER ADOLFO GIRALDO JIMENEZ</t>
  </si>
  <si>
    <t>EDIERGIRALDO814@HOTMAIL.COM</t>
  </si>
  <si>
    <t>GIOVANNI MANUEL OTERO OME</t>
  </si>
  <si>
    <t>GMANUELO72@HOTMAIL.COM</t>
  </si>
  <si>
    <t>DAYRO JOSE CASTILLA MOLINA</t>
  </si>
  <si>
    <t>DAYROJOSE1985@GMAIL.COM</t>
  </si>
  <si>
    <t>JUAN PABLO VALLEJO NOREÑA</t>
  </si>
  <si>
    <t>ABOGADOJUANPVALLEJO@GMAIL.COM</t>
  </si>
  <si>
    <t>GUIDO FERNANDO OVIEDO PERDOMO</t>
  </si>
  <si>
    <t>GUFEOV35@GMAIL.COM</t>
  </si>
  <si>
    <t>OSCAR MIGUEL RODRIGUEZ LOPEZ</t>
  </si>
  <si>
    <t>ORODRIGUEZ04@GMAIL.COM</t>
  </si>
  <si>
    <t>DAGOBERTO MENDOZA ZAMORA</t>
  </si>
  <si>
    <t>DAMZ38@HOTMAIL.COM</t>
  </si>
  <si>
    <t>FRANKLIN DANILO LAITON ROJAS</t>
  </si>
  <si>
    <t>FRANKLINLAITON@HOTMAIL.COM</t>
  </si>
  <si>
    <t>EDGAR WILSON COY FLOREZ</t>
  </si>
  <si>
    <t>ESCRIBESDRAS@GMAIL.COM</t>
  </si>
  <si>
    <t>LUIS ALBERTO RODRIGUEZ PARRA</t>
  </si>
  <si>
    <t>SAIDSHARMA57@HOTMAIL.COM</t>
  </si>
  <si>
    <t>JOSE DAVID CORDOBA PEDREROS</t>
  </si>
  <si>
    <t>CORPE77@HOTMAIL.COM</t>
  </si>
  <si>
    <t>JAVIER ENRIQUE CABRERA BARON</t>
  </si>
  <si>
    <t>KAFIR1123@HOTMAIL.COM</t>
  </si>
  <si>
    <t>JOHN NELSON BARRIOS ESLAVA</t>
  </si>
  <si>
    <t>JHONB2004@GMAIL.COM</t>
  </si>
  <si>
    <t>FABIAN ANDRES ROA CHIQUIZA</t>
  </si>
  <si>
    <t>FABIANROALAW@GMAIL.COM</t>
  </si>
  <si>
    <t>DEYBI ANDERSON ORDOÑEZ GOMEZ</t>
  </si>
  <si>
    <t>SERJURIDICA@GMAIL.COM</t>
  </si>
  <si>
    <t>JUAN DIEGO MANCIPE GALVIS</t>
  </si>
  <si>
    <t>JUAN.MANCIPE@HOTMAIL.COM</t>
  </si>
  <si>
    <t>CARLOS ALBERTO CANTILLO CAMAÑO</t>
  </si>
  <si>
    <t>CARCANTI@YAHOO.ES</t>
  </si>
  <si>
    <t>MIGUEL ANDERSON BELTRAN PRADA</t>
  </si>
  <si>
    <t>MIGUELANDERSONBELTRAN@GMAIL.COM</t>
  </si>
  <si>
    <t>MAURICIO MOISES ALFONSO MORA DIAZ</t>
  </si>
  <si>
    <t>MAOMORA16@HOTMAIL.COM</t>
  </si>
  <si>
    <t>GUILLERMO ANDRES RIVERA YANGUAS</t>
  </si>
  <si>
    <t>GUILLERMOARIVERAY@HOTMAIL.COM</t>
  </si>
  <si>
    <t>JOHN EDWIN GARCIA VILLA</t>
  </si>
  <si>
    <t>EDWINGARCIAVILLA@HOTMAIL.COM</t>
  </si>
  <si>
    <t>PAULA ANDREA RODRIGUEZ ROMERO</t>
  </si>
  <si>
    <t>PAITO.ANRO@GMAIL.COM</t>
  </si>
  <si>
    <t>JOSE DANIEL ROJAS SANDOVAL</t>
  </si>
  <si>
    <t>JOSEDANIEL.R0400@GMAIL.COM</t>
  </si>
  <si>
    <t>MANUELA ARREDONDO GUTIERREZ</t>
  </si>
  <si>
    <t>MANUAG28@HOTMAIL.COM</t>
  </si>
  <si>
    <t>DIEGO ANDRES PEREZ MONTES</t>
  </si>
  <si>
    <t>DIANPEMO27@GMAIL.COM</t>
  </si>
  <si>
    <t>JUAN JOSE PAJARO MERCADO</t>
  </si>
  <si>
    <t>JJMERCA@GMAIL.COM</t>
  </si>
  <si>
    <t>DANNA VALENTINA RAMIREZ RINCON</t>
  </si>
  <si>
    <t>DANNARR2001@GMAIL.COM</t>
  </si>
  <si>
    <t>JUNIOR JAVIER ARIZA PUERTO</t>
  </si>
  <si>
    <t>JUNIORARPU@GMAIL.COM</t>
  </si>
  <si>
    <t>ANDREA CAROLINA HERNANDEZ MEDINA</t>
  </si>
  <si>
    <t>ANDREA.HERNANDEZ.M@HOTMAIL.COM</t>
  </si>
  <si>
    <t>JUAN PABLO DIAZ TRUJILLO</t>
  </si>
  <si>
    <t>JUANDIAZ_TRUJILLO@HOTMAIL.COM</t>
  </si>
  <si>
    <t>JOSE ALEJANDRO CHAPARRO TOVAR</t>
  </si>
  <si>
    <t>JOSEA1030@GMAIL.COM</t>
  </si>
  <si>
    <t>INGRIT KARINA VILLABON CORREDOR</t>
  </si>
  <si>
    <t>IKVC21@GMAIL.COM</t>
  </si>
  <si>
    <t>MILENA ANDREA ALDANA ARIAS</t>
  </si>
  <si>
    <t>MILEKKA0910@GMAIL.COM</t>
  </si>
  <si>
    <t>TITO ARCADIO PERILLA ESTRADA</t>
  </si>
  <si>
    <t>TPERILLA@GMAIL.COM</t>
  </si>
  <si>
    <t>JUAN PABLO GOMEZ RAMIREZ</t>
  </si>
  <si>
    <t>JPGOMEZRA@UNAL.EDU.CO</t>
  </si>
  <si>
    <t>JUAN NICOLAS ACERO CAICEDO</t>
  </si>
  <si>
    <t>NICOACERO19@GMAIL.COM</t>
  </si>
  <si>
    <t>JOSE CARLOS GARCIA AVILA</t>
  </si>
  <si>
    <t>UNAULAJOSE@HOTMAIL.COM</t>
  </si>
  <si>
    <t>JORGE ANDRES BENAVIDES CONTRERAS</t>
  </si>
  <si>
    <t>JORGEANDRESBC30@GMAIL.COM</t>
  </si>
  <si>
    <t>MARYURY VANESSA JIMENEZ BELTRAN</t>
  </si>
  <si>
    <t>VANE.JB05@HOTMAIL.COM</t>
  </si>
  <si>
    <t>STEFANY LANCHEROS MUÑOZ</t>
  </si>
  <si>
    <t>STEFANYLANM@GMAIL.COM</t>
  </si>
  <si>
    <t>YENNY PAOLA BUITRAGO RODRIGUEZ</t>
  </si>
  <si>
    <t>YENNY_PAOLA92@HOTMAIL.COM</t>
  </si>
  <si>
    <t>MARY ESTHER RODRIGUEZ ZAPATA</t>
  </si>
  <si>
    <t>MARY.RODZ315@GMAIL.COM</t>
  </si>
  <si>
    <t>WILSON DANIEL CASTAÑO RODRIGUEZ</t>
  </si>
  <si>
    <t>WD.CASTANO@HOTMAIL.COM</t>
  </si>
  <si>
    <t>BRAHIAM SANTIAGO OCAMPO PARIAS</t>
  </si>
  <si>
    <t>BRAHIAM.OCAMPO@UDEA.EDU.CO</t>
  </si>
  <si>
    <t>FEDERICO GOMEZ MURIEL</t>
  </si>
  <si>
    <t>FGM178@PROTONMAIL.COM</t>
  </si>
  <si>
    <t>CRISTIAN CAMILO RODRIGUEZ ARREDONDO</t>
  </si>
  <si>
    <t>CAMILORODRIGUEZARREDONDO@GMAIL.COM</t>
  </si>
  <si>
    <t>ANA CECILIA ALBA RUIZ</t>
  </si>
  <si>
    <t>ANAALBA28.AA@GMAIL.COM</t>
  </si>
  <si>
    <t>GUSTAVO ADOLFO BOADA CORCHO</t>
  </si>
  <si>
    <t>GUSTEGNOLOGICO@HOTMAIL.COM</t>
  </si>
  <si>
    <t>ANGELICA MAYERLI MOZO GONZALEZ</t>
  </si>
  <si>
    <t>ANGELICA.MOZO.GONZALEZ@GMAIL.COM</t>
  </si>
  <si>
    <t>ADALBERTO HERNANDEZ SOLIS</t>
  </si>
  <si>
    <t>ADALBERTO.31@HOTMAIL.ES</t>
  </si>
  <si>
    <t>JORGE ISRAEL CARO TARRIBA</t>
  </si>
  <si>
    <t>JORGEISRAELCAROT@GMAIL.COM</t>
  </si>
  <si>
    <t>ERNESTO ANTONIO CAICEDO MUÑOZ</t>
  </si>
  <si>
    <t>EANTONIO.CAICEDOMUOZ41@GMAIL.COM</t>
  </si>
  <si>
    <t>INGRID JOHANA GONZALEZ SANTACRUZ</t>
  </si>
  <si>
    <t>GIORGIGONZALEZ@HOTMAIL.COM</t>
  </si>
  <si>
    <t>DUMAR BAYARDO GONZALEZ CASTAÑEDA</t>
  </si>
  <si>
    <t>ARLEYGONZA@HOTMAIL.COM</t>
  </si>
  <si>
    <t>RAUL FERNANDO VALENCIA GALLEGO</t>
  </si>
  <si>
    <t>RAUL.VALENCIAG@CAMPUSUCC.EDU.CO</t>
  </si>
  <si>
    <t>CARLOS ALFONSO GARCIA ARGEL</t>
  </si>
  <si>
    <t>CARLOSALFONSOGA@HOTMAIL.COM</t>
  </si>
  <si>
    <t>JUSTO OTONIEL NUÑEZ CAUSIL</t>
  </si>
  <si>
    <t>NUNEZGUILLEN.ABOGADOS@OUTLOOK.COM</t>
  </si>
  <si>
    <t>JOSE JAVIER RINCON TAPIA</t>
  </si>
  <si>
    <t>ABOGADODJC@HOTMAIL.COM</t>
  </si>
  <si>
    <t>OMAR LEANDRO PEREZ CASTRO</t>
  </si>
  <si>
    <t>RAZATOXE1@GMAIL.COM</t>
  </si>
  <si>
    <t>ARGEMIRO PERDOMO CUELLAR</t>
  </si>
  <si>
    <t>ARGE_89@HOTMAIL.COM</t>
  </si>
  <si>
    <t>NATALIA PENAGOS LUGO</t>
  </si>
  <si>
    <t>NATAPENAGOS4@OUTLOOK.COM</t>
  </si>
  <si>
    <t>CAROL STEFANY GUZMAN PEÑA</t>
  </si>
  <si>
    <t>GUZMANP@CNDJ.GOV.CO</t>
  </si>
  <si>
    <t>EIDER MIGUEL GUERRERO MENA</t>
  </si>
  <si>
    <t>EIDERGUERREROMENA@GMAIL.COM</t>
  </si>
  <si>
    <t>JOHN OLIVERIO ROMERO RIVEROS</t>
  </si>
  <si>
    <t>JHONSILLO01@HOTMAIL.COM</t>
  </si>
  <si>
    <t>ALMA KARINE BRITO BROCHERO</t>
  </si>
  <si>
    <t>ALMABRITOB@GMAIL.COM</t>
  </si>
  <si>
    <t>WENDIS JOHANNA MIRANDA DE LA CRUZ</t>
  </si>
  <si>
    <t>DELACRUZMIRANDA.27@GMAIL.COM</t>
  </si>
  <si>
    <t>ALEJANDRO RAMIREZ LOPEZ</t>
  </si>
  <si>
    <t>ALEJO.LOPEZ.21@HOTMAIL.COM</t>
  </si>
  <si>
    <t>OSCAR HERNANDO VELASQUEZ CAMARGO</t>
  </si>
  <si>
    <t>OSCARHVC@GMAIL.COM</t>
  </si>
  <si>
    <t>CHRISTIAN ANDRES BEDOYA OSORNO</t>
  </si>
  <si>
    <t>NOTIFICACIONESJUDICIALES@SOLUCIONESLEGALESYCONTABLES.COM</t>
  </si>
  <si>
    <t>JULIAN FELIPE RUIZ SIERRA</t>
  </si>
  <si>
    <t>JULIANF-RUIZS@UNILIBRE.EDU.CO</t>
  </si>
  <si>
    <t>JOSE MANUEL MEDRANO HERNANDEZ</t>
  </si>
  <si>
    <t>JOSEM_MEDRANO@OUTLOOK.COM</t>
  </si>
  <si>
    <t>LAURA LUCIA PLATA GUTIERREZ</t>
  </si>
  <si>
    <t>LAURITA0995.LG@GMAIL.COM</t>
  </si>
  <si>
    <t>ADY ROCIO CENTENO CHINCHILLA</t>
  </si>
  <si>
    <t>ADYCENTENOCHINCHILLA@GMAIL.COM</t>
  </si>
  <si>
    <t>LEYDER AUGUSTO QUIJANO SARMIENTO</t>
  </si>
  <si>
    <t>LEYDER.QUIJANOS@GMAIL.COM</t>
  </si>
  <si>
    <t>OSCAR GARCIA LEON</t>
  </si>
  <si>
    <t>OSCARGARCIALEON@HOTMAIL.COM</t>
  </si>
  <si>
    <t>MIGUEL ERNESTO AMAYA PINZON</t>
  </si>
  <si>
    <t>MIGUELERNESTO1920@GMAIL.COM</t>
  </si>
  <si>
    <t>HAROLD ANDRES BARRERA QUIÑONES</t>
  </si>
  <si>
    <t>HAROLD.BARRERA.2016@OUTLOOK.ES</t>
  </si>
  <si>
    <t>SYLVIA ALEJANDRA NORIEGA SANDOVAL</t>
  </si>
  <si>
    <t>SNSG_17@HOTMAIL.COM</t>
  </si>
  <si>
    <t>EDUAR FABIAN ARIZA BARBOSA</t>
  </si>
  <si>
    <t>EDFAARBA@HOTMAIL.ES</t>
  </si>
  <si>
    <t>JESUS DAVID VEGA MILLAN</t>
  </si>
  <si>
    <t>DAVIDVEGAMILLAN@HOTMAIL.COM</t>
  </si>
  <si>
    <t>MELANYS PATRICIA CARRASCAL MORALES</t>
  </si>
  <si>
    <t>MCARRASCALMORALES19@GMAIL.COM</t>
  </si>
  <si>
    <t>LAURA CRISTINA GAMBOA GONZALEZ</t>
  </si>
  <si>
    <t>LAURACRISTINAGG1@HOTMAIL.COM</t>
  </si>
  <si>
    <t>KAROL DANIELA HERRERA OSORIO</t>
  </si>
  <si>
    <t>KAROLDANIELAHERRERA@GMAIL.COM</t>
  </si>
  <si>
    <t>LEIDY ENERIETH VITONAS CAMAYO</t>
  </si>
  <si>
    <t>LEIDYVIT@UNICAUCA.EDU.CO</t>
  </si>
  <si>
    <t>LUIS CARLOS CEPEDA VILLAR</t>
  </si>
  <si>
    <t>LUIZ_CEPEDA@HOTMAIL.COM</t>
  </si>
  <si>
    <t>DANIELA MARIEL BLANQUICETT PINTO</t>
  </si>
  <si>
    <t>DP82385@GMAIL.COM</t>
  </si>
  <si>
    <t>ROINER LUIS LIÑAN PEREA</t>
  </si>
  <si>
    <t>ROINER9023@GMAIL.COM</t>
  </si>
  <si>
    <t>CARLOS ALBERTO SANCHEZ CAYCEDO</t>
  </si>
  <si>
    <t>CARLOSA.SANCHEZC@CAMPUSUCC.EDU.CO</t>
  </si>
  <si>
    <t>DAHIANA LIZETH ALVAREZ ROZO</t>
  </si>
  <si>
    <t>DALIROGU07@HOTMAIL.COM</t>
  </si>
  <si>
    <t>LUISA MARIA GARCIA ZAPATA</t>
  </si>
  <si>
    <t>LUISITA947@GMAIL.COM</t>
  </si>
  <si>
    <t>LEONARDO GONZALEZ VARGAS</t>
  </si>
  <si>
    <t>LEONARDOGONZALEZV2014@GMAIL.COM</t>
  </si>
  <si>
    <t>PAOLA JOHANNA PATIÑO PASO</t>
  </si>
  <si>
    <t>DRAPAOLAPATINO@GMAIL.COM</t>
  </si>
  <si>
    <t>DANIEL JOSE MENDOZA ORCASITAS</t>
  </si>
  <si>
    <t>DANIELMENDOZAO@HOTMAIL.COM</t>
  </si>
  <si>
    <t>JHOAN ALEXANDER PLAZA MONTOYA</t>
  </si>
  <si>
    <t>JOAN-ALEXANDER2815@HOTMAIL.COM</t>
  </si>
  <si>
    <t>MARGYE JOVANNA GARCIA CORDOBA</t>
  </si>
  <si>
    <t>JOVANNAGC32@GMAIL.COM</t>
  </si>
  <si>
    <t>DAVID FELIPE RODRIGUEZ POVEDA</t>
  </si>
  <si>
    <t>DAVIDFELIPE_95@HOTMAIL.COM</t>
  </si>
  <si>
    <t>LIZA MARIA BALLESTEROS LOPEZ</t>
  </si>
  <si>
    <t>LIZABALLESTEROS96@GMAIL.COM</t>
  </si>
  <si>
    <t>VALENTINA VASCO VANEGAS</t>
  </si>
  <si>
    <t>ABOGADA3V@GMAIL.COM</t>
  </si>
  <si>
    <t>DANIEL QUINTERO RAMIREZ</t>
  </si>
  <si>
    <t>DANIQR17@GMAIL.COM</t>
  </si>
  <si>
    <t>VALERIA RINCON MATEUS</t>
  </si>
  <si>
    <t>VRINCON822525@CUE.EDU.CO</t>
  </si>
  <si>
    <t>MARIA ISABEL GOMEZ MAYA</t>
  </si>
  <si>
    <t>MARIAISABELGOMEZ802@GMAIL.COM</t>
  </si>
  <si>
    <t>BRAYAN JAVIER BRAVO SOLARTE</t>
  </si>
  <si>
    <t>L.JBB@HOTMAIL.COM</t>
  </si>
  <si>
    <t>LUIS ALONSO ALVAREZ CANTILLO</t>
  </si>
  <si>
    <t>LUISALVAREZCANTILLO@GMAIL.COM</t>
  </si>
  <si>
    <t>TULIA ELENA HERNANDEZ BURBANO</t>
  </si>
  <si>
    <t>TULIAELENA.HERNANDEZBURBANO@GMAIL.COM</t>
  </si>
  <si>
    <t>DAVID FERNANDO MENDOZA CONEO</t>
  </si>
  <si>
    <t>DAVIDFERNANDOMC@GMAIL.COM</t>
  </si>
  <si>
    <t>LUIS DANIEL RODRIGUEZ LUNA</t>
  </si>
  <si>
    <t>DANYLUNAR86@HOTMAIL.COM</t>
  </si>
  <si>
    <t>LUIS FRANCISCO ORTIZ FLOREZ</t>
  </si>
  <si>
    <t>LUISORT0254@GMAIL.COM</t>
  </si>
  <si>
    <t>EDWARD ALBERTO VILLEGAS CRUZ</t>
  </si>
  <si>
    <t>EDUVILLE1@HOTMAIL.COM</t>
  </si>
  <si>
    <t>VANESSA MEDINA MOLINARES</t>
  </si>
  <si>
    <t>VMEDINAM1620@HOTMAIL.COM</t>
  </si>
  <si>
    <t>CARLOS ANDRES RIOS GARCIA</t>
  </si>
  <si>
    <t>CARLOSRIOS315@HOTMAIL.COM</t>
  </si>
  <si>
    <t>JORGE ANDRES CHAVES PIÑEROS</t>
  </si>
  <si>
    <t>ANDRESCHAVEZ1990@HOTMAIL.COM</t>
  </si>
  <si>
    <t>TULIA SORAYA RIASCOS GOMEZ</t>
  </si>
  <si>
    <t>SORAYARIASCOS@GMAIL.COM</t>
  </si>
  <si>
    <t>JOHN ALEXANDER FERNANDEZ CESPEDES</t>
  </si>
  <si>
    <t>SERVICIOSJURIDICOSAFC@GMAIL.COM</t>
  </si>
  <si>
    <t>HECTOR GABRIEL VARGAS GUEVARA</t>
  </si>
  <si>
    <t>HV.CONTROLLEGALSAS@GMAIL.COM</t>
  </si>
  <si>
    <t>HENRY OSWALDO DELGADO BURBANO</t>
  </si>
  <si>
    <t>HENRYODELGADO@GMAIL.COM</t>
  </si>
  <si>
    <t>JAIRO ALBERTO HERNANDEZ WILCHES</t>
  </si>
  <si>
    <t>JAIROHERNANDEZWILCHES@GMAIL.COM</t>
  </si>
  <si>
    <t>CARLOS ANDRES REY DURAN</t>
  </si>
  <si>
    <t>CARLOSREYDURAN@HOTMAIL.COM</t>
  </si>
  <si>
    <t>JOSE FERNANDO VARGAS VELASCO</t>
  </si>
  <si>
    <t>JFVARGAS82@GMAIL.COM</t>
  </si>
  <si>
    <t>FABIO ANTONIO LOPEZ AGUDELO</t>
  </si>
  <si>
    <t>FABIOLOPEZABOGADO@HOTMAIL.ES</t>
  </si>
  <si>
    <t>CESAR AUGUSTO PORTELA BROCHERO</t>
  </si>
  <si>
    <t>CESARPORTELA03@GMAIL.COM</t>
  </si>
  <si>
    <t>ANDRES ESTEBAN RIOS FLOREZ</t>
  </si>
  <si>
    <t>RIOS2101@HOTMAIL.ES</t>
  </si>
  <si>
    <t>CESAR AUGUSTO HERNANDEZ CARDENAS</t>
  </si>
  <si>
    <t>ABOGADOCESARHERNANDEZ@HOTMAIL.COM</t>
  </si>
  <si>
    <t>ELIBERTO AREVALO ANTONIO</t>
  </si>
  <si>
    <t>ABOGADOELIBERTOAREVALOANT@YAHOO.ES</t>
  </si>
  <si>
    <t>MARIA ROSAURINA RINCON FERRIN</t>
  </si>
  <si>
    <t>ROSA-RINCON@HOTMAIL.COM</t>
  </si>
  <si>
    <t>LUCERO AREIZA VASQUEZ</t>
  </si>
  <si>
    <t>LUCEROAREIZA@HOTMAIL.COM</t>
  </si>
  <si>
    <t>EUGENIA ARANGO TINJACA</t>
  </si>
  <si>
    <t>MAITO.0763@GMAIL.COM</t>
  </si>
  <si>
    <t>KARINA PATRICIA PATERNINA NEGRETTE</t>
  </si>
  <si>
    <t>KARYAMOR-10@HOTMAIL.COM</t>
  </si>
  <si>
    <t>SANDRA ORTIZ</t>
  </si>
  <si>
    <t>ASEJURIDICASO@GMAIL.COM</t>
  </si>
  <si>
    <t>ANGELICA CABEZA MORA</t>
  </si>
  <si>
    <t>CABEZA.MORA@HOTMAIL.COM</t>
  </si>
  <si>
    <t>GLORIA EUGENIA MEJIA VALLEJO</t>
  </si>
  <si>
    <t>GLOMEJ@HOTMAIL.COM</t>
  </si>
  <si>
    <t>VIVIAN LILIANA LOPEZ SIERRA</t>
  </si>
  <si>
    <t>VLLOPEZ@HOTMAIL.COM</t>
  </si>
  <si>
    <t>LAURA ROCIO VELANDIA GOMEZ</t>
  </si>
  <si>
    <t>LAURA.VELANDIA83@GMAIL.COM</t>
  </si>
  <si>
    <t>CATALINA OLAYA MURCIA</t>
  </si>
  <si>
    <t>OLAYAMURCIACATA@HOTMAIL.COM</t>
  </si>
  <si>
    <t>ANDREA JOHANNA GIRALDO CARDENAS</t>
  </si>
  <si>
    <t>NANAJGC@GMAIL.COM</t>
  </si>
  <si>
    <t>KAREN SOFIA VARGAS HERNANDEZ</t>
  </si>
  <si>
    <t>KARENSOFIA@CHALAVARGAS.COM.CO</t>
  </si>
  <si>
    <t>STEFANIA DIAZ GRANADOS RIVERA</t>
  </si>
  <si>
    <t>ARKINOVA.ESTUDIO@GMAIL.COM</t>
  </si>
  <si>
    <t>VANESSA CASTILLO VELASQUEZ</t>
  </si>
  <si>
    <t>VCASTILLOVELASQUEZ@GMAIL.COM</t>
  </si>
  <si>
    <t>ALVARO VALLEJO LOPEZ</t>
  </si>
  <si>
    <t>ALVAROVALLEJOABOGADO@GMAIL.COM</t>
  </si>
  <si>
    <t>RAUL ENRIQUE CANO JIMENEZ</t>
  </si>
  <si>
    <t>RAULCANO@GRUPOGECE.COM</t>
  </si>
  <si>
    <t>MAURICIO TORO GONZALEZ</t>
  </si>
  <si>
    <t>MTOROABOGADO@GMAIL.COM</t>
  </si>
  <si>
    <t>MARIO HUMBERTO CEBALLOS SILVA</t>
  </si>
  <si>
    <t>MHCEBALLOSS@GMAIL.COM</t>
  </si>
  <si>
    <t>GERONIMO ARIAS GONZALEZ</t>
  </si>
  <si>
    <t>GERONIMOARIASGONZALEZ@GMAIL.COM</t>
  </si>
  <si>
    <t>JULIO CESAR VARGAS CANTILLO</t>
  </si>
  <si>
    <t>JULIOCESARVARGASABOGADO@GMAIL.COM</t>
  </si>
  <si>
    <t>JAIME ARTURO RODRIGUEZ PEDRAZA</t>
  </si>
  <si>
    <t>JAIME.RODRIGUEZ.PEDRAZA@HOTMAIL.COM</t>
  </si>
  <si>
    <t>PEDRO ALEXANDER ORTIZ DURAN</t>
  </si>
  <si>
    <t>PORTIZJURIDICA@GMAIL.COM</t>
  </si>
  <si>
    <t>FERNANDO FLOREZ PRADA</t>
  </si>
  <si>
    <t>FERNANDO.FLOREZPRADA@GMAIL.COM</t>
  </si>
  <si>
    <t>ALEXANDER RAMOS MESA</t>
  </si>
  <si>
    <t>ARAMES1983@GMAIL.COM</t>
  </si>
  <si>
    <t>HECTOR DANILO PANTOJA ESTRADA</t>
  </si>
  <si>
    <t>DANILOPANTOJA.M17@HOTMAIL.COM</t>
  </si>
  <si>
    <t>JULIAN DAVID RESTREPO CORREA</t>
  </si>
  <si>
    <t>RESTREPO.JULIAN228@HOTMAIL.COM</t>
  </si>
  <si>
    <t>MANUELA ALEJANDRA LACERA PADILLA</t>
  </si>
  <si>
    <t>MANUELA.LACERA@GMAIL.COM</t>
  </si>
  <si>
    <t>NATALIA ANDREA DUQUE VILLALBA</t>
  </si>
  <si>
    <t>NATALIA.DUQUEV@OUTLOOK.ES</t>
  </si>
  <si>
    <t>ELKIN ESTIVEN GARCIA SABOGAL</t>
  </si>
  <si>
    <t>ELKINGARCIA@USTAVILLAVO.EDU.CO</t>
  </si>
  <si>
    <t>DANIELA ACOSTA ACEVEDO</t>
  </si>
  <si>
    <t>BRIDAPAD2019@GMAIL.COM</t>
  </si>
  <si>
    <t>JENNY NATALY PEREA GORDILLO</t>
  </si>
  <si>
    <t>NATALYPEREAABOGADA@GMAIL.COM</t>
  </si>
  <si>
    <t>PAULA ANDREA GRANADOS RENGIFO</t>
  </si>
  <si>
    <t>PAUANDGRAREN@HOTMAIL.COM</t>
  </si>
  <si>
    <t>LINA FERNANDA ROA BECERRA</t>
  </si>
  <si>
    <t>ROAVEGAYASOCIADOS@GMAIL.COM</t>
  </si>
  <si>
    <t>JAVIER ANDRES ARROYO CALDERON</t>
  </si>
  <si>
    <t>JAVIERAC1988@HOTMAIL.COM</t>
  </si>
  <si>
    <t>JOHSEP DAVID GOMEZ MUÑOZ</t>
  </si>
  <si>
    <t>JG.ABOGADO@OUTLOOK.COM</t>
  </si>
  <si>
    <t>CARLOS EDUARDO FERNANDEZ OLAYA</t>
  </si>
  <si>
    <t>CARLOS.FERNANDEZ889@HOTMAIL.COM</t>
  </si>
  <si>
    <t>JULLY ANDREA RUGE RANGEL</t>
  </si>
  <si>
    <t>ANDREARUGE0506@HOTMAIL.COM</t>
  </si>
  <si>
    <t>ZAYRA ALEJANDRA GERALDIN JIMENEZ VEGA</t>
  </si>
  <si>
    <t>ALEJAJIMEVE1@GMAIL.COM</t>
  </si>
  <si>
    <t>PAULA SOFIA BRAVO HIDALGO</t>
  </si>
  <si>
    <t>SOFIABRAVO.0828@GMAIL.COM</t>
  </si>
  <si>
    <t>JOHN CARLOS ZAPATA SALAS</t>
  </si>
  <si>
    <t>JOHNZALAS@HOTMAIL.COM</t>
  </si>
  <si>
    <t>LINA MARCELA RINCON LOAYZA</t>
  </si>
  <si>
    <t>LINARINCONLOAYZA10@GMAIL.COM</t>
  </si>
  <si>
    <t>SANTIAGO GUERRA LONDOÑO</t>
  </si>
  <si>
    <t>SAGUERRA2@POLIGRAN.EDU.CO</t>
  </si>
  <si>
    <t>LILIA IRAIDA BARBOSA PINZON</t>
  </si>
  <si>
    <t>LBARBOSA_10@HOTMAIL.COM</t>
  </si>
  <si>
    <t>CARLOS MARIO CABALLERO MERCADO</t>
  </si>
  <si>
    <t>ABOGADOCABALLEROMERCADO@GMAIL.COM</t>
  </si>
  <si>
    <t>MIGUEL RICARDO GONZALEZ TORO</t>
  </si>
  <si>
    <t>MIGUELRGONZALEZABOGADO@GMAIL.COM</t>
  </si>
  <si>
    <t>DANIELA GRISALES MATEUS</t>
  </si>
  <si>
    <t>DANIGRIMAT@HOTMAIL.COM</t>
  </si>
  <si>
    <t>WILLIAM EUGENE ULRICH ASTAIZA</t>
  </si>
  <si>
    <t>DRULRICHLEGAL@GMAIL.COM</t>
  </si>
  <si>
    <t>JUAN CAMILO ALBERTO RUIZ OVALLE</t>
  </si>
  <si>
    <t>JUANCAMILO.RUIZOVALLE@GMAIL.COM</t>
  </si>
  <si>
    <t>BRAYAN ANDREY RUEDA PINZON</t>
  </si>
  <si>
    <t>BRYANRUEDAPINZON@OUTLOOK.COM</t>
  </si>
  <si>
    <t>OSCAR JHAIR GUZMAN RAMIREZ</t>
  </si>
  <si>
    <t>U0602015@UNIMILITAR.EDU.CO</t>
  </si>
  <si>
    <t>PAOLA ANDREA PEREZ CASTILLA</t>
  </si>
  <si>
    <t>PAOPEREZ0515@GMAIL.COM</t>
  </si>
  <si>
    <t>RICARDO MARIO CAMPO OROZCO</t>
  </si>
  <si>
    <t>RICARDO.CAMPO9.1@GMAIL.COM</t>
  </si>
  <si>
    <t>DIANA MARCELA AGUILAR PEÑA</t>
  </si>
  <si>
    <t>DIANAAGUILARP@HOTMAIL.COM</t>
  </si>
  <si>
    <t>JONATHAN REINERIO RUBIO PEREZ</t>
  </si>
  <si>
    <t>JORERUPE@GMAIL.COM</t>
  </si>
  <si>
    <t>ANDERSSON OSWALDO MAYA CORREA</t>
  </si>
  <si>
    <t>ANDERSSONMAYACORREA@GMAIL.COM</t>
  </si>
  <si>
    <t>MATEO ARENAS MAYA</t>
  </si>
  <si>
    <t>MATEOARENAS9617@GMAIL.COM</t>
  </si>
  <si>
    <t>VIVIANA MARTINEZ PEREZ</t>
  </si>
  <si>
    <t>VIVIANAMARTINEZPZ@GMAIL.COM</t>
  </si>
  <si>
    <t>ANDRES FABIAN BLANDON LOPEZ</t>
  </si>
  <si>
    <t>ANDRESBLANDON664@GMAIL.COM</t>
  </si>
  <si>
    <t>MAROLYN VANESSA PINILLA ECHEVERRY</t>
  </si>
  <si>
    <t>MARODANI0409@GMAIL.COM</t>
  </si>
  <si>
    <t>ANA BIBIANA HERNANDEZ BONILLA</t>
  </si>
  <si>
    <t>BIYIS10@GMAIL.COM</t>
  </si>
  <si>
    <t>YENNY MARCELA LEON MESA</t>
  </si>
  <si>
    <t>YLEONME@CENDOJ.RAMAJUDICIAL.GOV.CO</t>
  </si>
  <si>
    <t>WILMAR ALFREDO OLAYA MENDOZA</t>
  </si>
  <si>
    <t>WILMAROLAYAMENDOZA1989@GMAIL.COM</t>
  </si>
  <si>
    <t>DEICY PAOLA FONTECHA RODRIGUEZ</t>
  </si>
  <si>
    <t>RODRIGUEZDEICY352@GMAIL.COM</t>
  </si>
  <si>
    <t>JUAN CAMILO CAICEDO CHAPARRO</t>
  </si>
  <si>
    <t>JCCAAICEDO@HOTMAIL.COM</t>
  </si>
  <si>
    <t>JUAN ALVARO QUICENO CASTAÑEDA</t>
  </si>
  <si>
    <t>JUALVARO-14@HOTMAIL.COM</t>
  </si>
  <si>
    <t>BLANCA ALICIA RODRIGUEZ RIOS</t>
  </si>
  <si>
    <t>ALICIARODRIGUEZ939@GMAIL.COM</t>
  </si>
  <si>
    <t>JOSE LUIS SOLANO VERGARA</t>
  </si>
  <si>
    <t>SOLANO25.JLSV@GMAIL.COM</t>
  </si>
  <si>
    <t>ELIANA CAROLINA AMADOR LADINO</t>
  </si>
  <si>
    <t>ELIANA-AMADOR@HOTMAIL.COM</t>
  </si>
  <si>
    <t>YONI MAURICIO RODRIGUEZ AROCEMENA</t>
  </si>
  <si>
    <t>RODRIGUEZAROCEMENAY@GMAIL.COM</t>
  </si>
  <si>
    <t>MARIA ALEJANDRA TAMAYO AFANADOR</t>
  </si>
  <si>
    <t>ALETAMAYO1994@HOTMAIL.COM</t>
  </si>
  <si>
    <t>JUAN CARLOS CARDOSO THOLA</t>
  </si>
  <si>
    <t>JUANCTCT@HOTMAIL.COM</t>
  </si>
  <si>
    <t>ANDREA CAROLINA BOLAÑOS DAZA</t>
  </si>
  <si>
    <t>ANDCBODA@GMAIL.COM</t>
  </si>
  <si>
    <t>FELIPE REBELLON PALMEZANO</t>
  </si>
  <si>
    <t>FELIPEPALMEZANO@GMAIL.COM</t>
  </si>
  <si>
    <t>JUAN NICOLAS ROA ROMERO</t>
  </si>
  <si>
    <t>JUANNICOLASROAROMERO@HOTMAIL.COM</t>
  </si>
  <si>
    <t>DEYBI PINSEN MORA MARTINEZ</t>
  </si>
  <si>
    <t>2153MORA@GMAIL.COM</t>
  </si>
  <si>
    <t>GUSTAVO ALBERTO SIERRA FERNANDEZ</t>
  </si>
  <si>
    <t>TAVOSIFER@HOTMAIL.COM</t>
  </si>
  <si>
    <t>LUIS ENRIQUE MADERA HERNANDEZ</t>
  </si>
  <si>
    <t>LUISEMADERA@HOTMAIL.COM</t>
  </si>
  <si>
    <t>JOHN ALEXIS BRAVO URBANO</t>
  </si>
  <si>
    <t>JOHNALEXISBU@HOTMAIL.ES</t>
  </si>
  <si>
    <t>EDGAR OMAR RODRIGUEZ PARADA</t>
  </si>
  <si>
    <t>EDGAROMAR633@HOTMAIL.COM</t>
  </si>
  <si>
    <t>DIEGO ALEJANDRO CASTRILLON ALZATE</t>
  </si>
  <si>
    <t>DIEGOALEJANDROCASTRILLON@GMAIL.COM</t>
  </si>
  <si>
    <t>FERNANDO CALDERON OLAYA</t>
  </si>
  <si>
    <t>FERANDANTE@GMAIL.COM</t>
  </si>
  <si>
    <t>JULIAN ALBERTO RODRIGUEZ GALVIS</t>
  </si>
  <si>
    <t>JULIAN.RODGAL218@HOTMAIL.COM</t>
  </si>
  <si>
    <t>JORGE ENRIQUE SANCHEZ REY</t>
  </si>
  <si>
    <t>JESANCHE@HOTMAIL.COM</t>
  </si>
  <si>
    <t>LUZ MARIA RAMIREZ GARCIA</t>
  </si>
  <si>
    <t>LUZMA2394@HOTMAIL.COM</t>
  </si>
  <si>
    <t>INES LOPEZ PERDOMO</t>
  </si>
  <si>
    <t>INES.LOPEZ00@GMAIL.COM</t>
  </si>
  <si>
    <t>AMALIA ROSA GUTIERREZ DE CARVAJAL</t>
  </si>
  <si>
    <t>AMALIAGUTIERREZ1950@GMAIL.COM</t>
  </si>
  <si>
    <t>KATHIA ISABEL MARGARITA MARIA SAAVEDRA MAC AUSLAND</t>
  </si>
  <si>
    <t>TECNOLOGIA@MSMCABOGADOS.COM</t>
  </si>
  <si>
    <t>LUZ ANGELA SANCHEZ CAÑON</t>
  </si>
  <si>
    <t>ANGELASANCHEZ99@HOTMAIL.COM</t>
  </si>
  <si>
    <t>FLOR MARINA SIERRA SANTANA</t>
  </si>
  <si>
    <t>MARYSIERRASANTAN@OUTLOOK.COM</t>
  </si>
  <si>
    <t>ANGELA MARCELA NIÑO UBATE</t>
  </si>
  <si>
    <t>ANGELANINO2907@HOTMAIL.COM</t>
  </si>
  <si>
    <t>NATALIA JIMENEZ MUÑOZ</t>
  </si>
  <si>
    <t>NATALIAJIMENEZABOGADA@GMAIL.COM</t>
  </si>
  <si>
    <t>ANDREA LILIANA HERRERA MARIN</t>
  </si>
  <si>
    <t>NOTIFICACIONESSOJURIDICA@GMAIL.COM</t>
  </si>
  <si>
    <t>RAQUEL ALDANA ALVAREZ</t>
  </si>
  <si>
    <t>RAQUELALDANA11@GMAIL.COM</t>
  </si>
  <si>
    <t>NORMA CONSTANZA LOZADA ARIAS</t>
  </si>
  <si>
    <t>ABOG.NCLOZADAA@GMAIL.COM</t>
  </si>
  <si>
    <t>LUIS ANIBAL VERGARA OCHOA</t>
  </si>
  <si>
    <t>INSTANCIASJURIDICAS@HOTMAIL.COM</t>
  </si>
  <si>
    <t>HERNAN MAURY SANTIAGO</t>
  </si>
  <si>
    <t>HERNANMAURYSANTIAGO@GMAIL.COM</t>
  </si>
  <si>
    <t>JUAN PABLO BARRAZA LORA</t>
  </si>
  <si>
    <t>JUANBARRAZALORA@GMAIL.COM</t>
  </si>
  <si>
    <t>DALMIRO COTTIZ VERGEL</t>
  </si>
  <si>
    <t>DCOTTIZ@YAHOO.COM</t>
  </si>
  <si>
    <t>LUIS ALFONSO OLMOS MONTALVO</t>
  </si>
  <si>
    <t>ALFONSOOLMOSMONTALVO1948@GMAIL.COM</t>
  </si>
  <si>
    <t>JUAN PABLO PRECIADO CASALLAS</t>
  </si>
  <si>
    <t>JUANPRECIADO978@GMAIL.COM</t>
  </si>
  <si>
    <t>JOHAN RODRIGUEZ ARDILA</t>
  </si>
  <si>
    <t>JOHAN7218@HOTMAIL.COM</t>
  </si>
  <si>
    <t>WILLIAN DARWIN HALABY PALOMEQUE</t>
  </si>
  <si>
    <t>MAXIMOWILL77@GMAIL.COM</t>
  </si>
  <si>
    <t>DIEGO FERNANDO LIZCANO BOHORQUEZ</t>
  </si>
  <si>
    <t>DLIZCANOB@GMAIL.COM</t>
  </si>
  <si>
    <t>ERIK FERNANDO QUIMBAYO ALMARIO</t>
  </si>
  <si>
    <t>ASESORQUIMBAYO@GMAIL.COM</t>
  </si>
  <si>
    <t>DAVID JONATHAN SARCHI ROSERO</t>
  </si>
  <si>
    <t>DAVIDSARCHIROSERO@HOTMAIL.COM</t>
  </si>
  <si>
    <t>EDINSON CUELLAR OLIVEROS</t>
  </si>
  <si>
    <t>EDINSONCUELLAR@GMAIL.COM</t>
  </si>
  <si>
    <t>JOSE GERARDO ESTUPIÑAN RAMIREZ</t>
  </si>
  <si>
    <t>NOTIFICACIONESAVANCEMOS@GMAIL.COM</t>
  </si>
  <si>
    <t>WILLINGTON ORTIZ SANCHEZ</t>
  </si>
  <si>
    <t>WORTIZ_123@HOTMAIL.COM</t>
  </si>
  <si>
    <t>MIGUEL LEANDRO DIAZ SANCHEZ</t>
  </si>
  <si>
    <t>MIGUELDIAZ@DIAZABOGADOS.LEGAL</t>
  </si>
  <si>
    <t>SALIN GONZALEZ PERDOMO</t>
  </si>
  <si>
    <t>SALIN8210@HOTMAIL.COM</t>
  </si>
  <si>
    <t>ESTEBAN RESTREPO URREA</t>
  </si>
  <si>
    <t>ERESTREU@CENDOJ.RAMAJUDICIAL.GOV.CO</t>
  </si>
  <si>
    <t>MARIA PAULA DAVILA ARIZA</t>
  </si>
  <si>
    <t>PAULADAVILA09@GMAIL.COM</t>
  </si>
  <si>
    <t>LEIDY MARIANA ESTUPIÑAN SIERRA</t>
  </si>
  <si>
    <t>LEIDYEST00@GMAIL.COM</t>
  </si>
  <si>
    <t>JOHAN SEBASTIAN MORENO CASTRO</t>
  </si>
  <si>
    <t>CASTROJHS@GMAIL.COM</t>
  </si>
  <si>
    <t>KAREN JOEN MENDOZA GUEVARA</t>
  </si>
  <si>
    <t>KARENJOENMG3017@GMAIL.COM</t>
  </si>
  <si>
    <t>MARIA ALEJANDRA MORA CHICA</t>
  </si>
  <si>
    <t>MALEJANDRA1022@GMAIL.COM</t>
  </si>
  <si>
    <t>JEYSON ANDRES ZARATE CASTAÑEDA</t>
  </si>
  <si>
    <t>NESTARJAZ@GMAIL.COM</t>
  </si>
  <si>
    <t>SANTIAGO BERNAL PALACIOS</t>
  </si>
  <si>
    <t>SANTIAGOBERNALP91@GMAIL.COM</t>
  </si>
  <si>
    <t>MARIA ELIZABETH ECHAVARRIA GARCIA</t>
  </si>
  <si>
    <t>RPCELIZA@GMAIL.COM</t>
  </si>
  <si>
    <t>MARIANA SISQUIARCO TABARES</t>
  </si>
  <si>
    <t>MARIANASSTB.1997@GMAIL.COM</t>
  </si>
  <si>
    <t>MARIA CAMILA RIOS TANGARIFE</t>
  </si>
  <si>
    <t>MARIACAMILA.R21@GMAIL.COM</t>
  </si>
  <si>
    <t>PAULA CAROLINA DURAN GIRALDO</t>
  </si>
  <si>
    <t>PAULA-CDG@HOTMAIL.COM</t>
  </si>
  <si>
    <t>PAULA CASTAÑO GOUBERT</t>
  </si>
  <si>
    <t>PAULACGOUBERT@GMAIL.COM</t>
  </si>
  <si>
    <t>DAVID CAMILO PARRA CARDONA</t>
  </si>
  <si>
    <t>CAMILOPARRA1601@GMAIL.COM</t>
  </si>
  <si>
    <t>DAVID FELIPE ALFONSO MOYANO</t>
  </si>
  <si>
    <t>DAVID.ALFONSO.M@HOTMAIL.COM</t>
  </si>
  <si>
    <t>MAURICIO CASTAÑEDA HERRERA</t>
  </si>
  <si>
    <t>MAURICIOCASTANEDAHERRERA@GMAIL.COM</t>
  </si>
  <si>
    <t>JUAN SEBASTIAN RESTREPO TORRES</t>
  </si>
  <si>
    <t>JSEBASTIAN1690@HOTMAIL.COM</t>
  </si>
  <si>
    <t>DYLAN LIZARAZO RAMOS</t>
  </si>
  <si>
    <t>DYLAN.LIZARAZO@ULAGRANCOLOMBIA.EDU.CO</t>
  </si>
  <si>
    <t>RAMON ANTONIO GUZMAN FLOREZ</t>
  </si>
  <si>
    <t>ANTONIOGUZMANABOGADO@GMAIL.COM</t>
  </si>
  <si>
    <t>LINA MARCELA ANGEL ALVAREZ</t>
  </si>
  <si>
    <t>LINAANGELABOGADA@GMAIL.COM</t>
  </si>
  <si>
    <t>EDGAR EDUARDO TOBON CORREA</t>
  </si>
  <si>
    <t>EDGAREDUARDOTOBONCORREA@GMAIL.COM</t>
  </si>
  <si>
    <t>JUAN CAMILO DEOSSA SIUTA</t>
  </si>
  <si>
    <t>JUAN.DEOSSA.SIUTA@OUTLOOK.COM</t>
  </si>
  <si>
    <t>MARTHA ESNEDA FLOREZ MARTINEZ</t>
  </si>
  <si>
    <t>MARTA_FM08@HOTMAIL.COM</t>
  </si>
  <si>
    <t>OSCAR JULIAN ALVAREZ MESA</t>
  </si>
  <si>
    <t>DERECHOENLINEAON@GMAIL.COM</t>
  </si>
  <si>
    <t>HECTOR JAVIER ALVAREZ WALTEROS</t>
  </si>
  <si>
    <t>JAVIERALVAREZWABOGADO@GMAIL.COM</t>
  </si>
  <si>
    <t>DANIEL EDUARDO DURAN VALENCIA</t>
  </si>
  <si>
    <t>DANIEL11DURAN@HOTMAIL.COM</t>
  </si>
  <si>
    <t>ANGELA CASTRO VELASCO</t>
  </si>
  <si>
    <t>ANGELACASTRO@UNICAUCA.EDU.CO</t>
  </si>
  <si>
    <t>NAIM ANDRES OSMAN VILORIA</t>
  </si>
  <si>
    <t>NAYAN8807@HOTMAIL.COM</t>
  </si>
  <si>
    <t>ANDRES FELIPE MENDOZA ROSERO</t>
  </si>
  <si>
    <t>ANDREWS_FR@HOTMAIL.COM</t>
  </si>
  <si>
    <t>JORDAN GIRALDO TORRES CHAZATAR</t>
  </si>
  <si>
    <t>J_C_HAZATAR@HOTMAIL.COM</t>
  </si>
  <si>
    <t>NAOMI SREHINI DELGADO</t>
  </si>
  <si>
    <t>NAOMISD01@GMAIL.COM</t>
  </si>
  <si>
    <t>NURY YIRDALITH JAIMES PRADA</t>
  </si>
  <si>
    <t>YIRDALITH97@GMAIL.COM</t>
  </si>
  <si>
    <t>DAVID ANDRES DURAN CARVAJAL</t>
  </si>
  <si>
    <t>DAVIDDURANCARV@GMAIL.COM</t>
  </si>
  <si>
    <t>YERLLY XIMENA ARZUZA VILLAMIZAR</t>
  </si>
  <si>
    <t>YEYEVILLA@HOTMAIL.ES</t>
  </si>
  <si>
    <t>LUIS FELIPE VARON PINZON</t>
  </si>
  <si>
    <t>P1P3.2910@GMAIL.COM</t>
  </si>
  <si>
    <t>RAFAEL ENRIQUE PEREZ BALLEN</t>
  </si>
  <si>
    <t>RAFAELPBALLEN@GMAIL.COM</t>
  </si>
  <si>
    <t>LILIANA MARCELA OLIVEROS MANTILLA</t>
  </si>
  <si>
    <t>MARCELA_OLIVEROS@HOTMAIL.COM</t>
  </si>
  <si>
    <t>JORGE ENRIQUE SEGURA CAICEDO</t>
  </si>
  <si>
    <t>SEGURAYASOCIADOS07@GMAIL.COM</t>
  </si>
  <si>
    <t>INDRI ALEJANDRA VALENCIA</t>
  </si>
  <si>
    <t>ESCORALDRA1810@HOTMAIL.COM</t>
  </si>
  <si>
    <t>LUZ ANGELA LOPEZ ROJAS</t>
  </si>
  <si>
    <t>LOROANGI@GMAIL.COM</t>
  </si>
  <si>
    <t>JOHN ALEXANDER SIERRA NIÑO</t>
  </si>
  <si>
    <t>JOHNLEXS03@GMAIL.COM</t>
  </si>
  <si>
    <t>MIGUEL GIL DURAN</t>
  </si>
  <si>
    <t>MGIL037@HOTMAIL.COM</t>
  </si>
  <si>
    <t>ALEJANDRO JAVIER MORILLO COHEN</t>
  </si>
  <si>
    <t>ALEJANDROJHAVIER01@HOTMAIL.COM</t>
  </si>
  <si>
    <t>LAURA LORENA CARDOZO MONTENEGRO</t>
  </si>
  <si>
    <t>LAURA.CARDOZOABOGADA@HOTMAIL.COM</t>
  </si>
  <si>
    <t>CREY PAOLA BLANCO ORTIZ</t>
  </si>
  <si>
    <t>BLANCOGREYS1@GMAIL.COM</t>
  </si>
  <si>
    <t>MICHAEL DAVID STERLING GIRALDO</t>
  </si>
  <si>
    <t>STERLINGGMICHAEL@GMAIL.COM</t>
  </si>
  <si>
    <t>MELVYN ARTURO DONADO MEDINA</t>
  </si>
  <si>
    <t>MELVIN__212@HOTMAIL.COM</t>
  </si>
  <si>
    <t>ADA LUZ WILCHES ROBLEDO</t>
  </si>
  <si>
    <t>ADAWILCHESABOGADA@GMAIL.COM</t>
  </si>
  <si>
    <t>DANIEL ALEJANDRO CRUZ RIVERA</t>
  </si>
  <si>
    <t>DANIELALEJANDROC@OUTLOOK.COM</t>
  </si>
  <si>
    <t>MARIA CAMILA SOL LOPEZ</t>
  </si>
  <si>
    <t>MARIACAMILASOLLOPEZ@GMAIL.COM</t>
  </si>
  <si>
    <t>JUAN CAMILO MANRIQUE GONZALEZ</t>
  </si>
  <si>
    <t>JUANKMANGO@HOTMAIL.COM</t>
  </si>
  <si>
    <t>GLADYS JHOANNA HERRERA CHAMORRO</t>
  </si>
  <si>
    <t>GLADISHERRERA10@GMAIL.COM</t>
  </si>
  <si>
    <t>6188</t>
  </si>
  <si>
    <t>6191</t>
  </si>
  <si>
    <t>6207</t>
  </si>
  <si>
    <t>6217</t>
  </si>
  <si>
    <t>6226</t>
  </si>
  <si>
    <t>6246</t>
  </si>
  <si>
    <t>6268</t>
  </si>
  <si>
    <t>6274</t>
  </si>
  <si>
    <t>6294</t>
  </si>
  <si>
    <t>6296</t>
  </si>
  <si>
    <t>6329</t>
  </si>
  <si>
    <t>6346</t>
  </si>
  <si>
    <t>6464</t>
  </si>
  <si>
    <t>6467</t>
  </si>
  <si>
    <t>6831</t>
  </si>
  <si>
    <t>6842</t>
  </si>
  <si>
    <t>6845</t>
  </si>
  <si>
    <t>6848</t>
  </si>
  <si>
    <t>6858</t>
  </si>
  <si>
    <t>6862</t>
  </si>
  <si>
    <t>6868</t>
  </si>
  <si>
    <t>6872</t>
  </si>
  <si>
    <t>6875</t>
  </si>
  <si>
    <t>6879</t>
  </si>
  <si>
    <t>6880</t>
  </si>
  <si>
    <t>6883</t>
  </si>
  <si>
    <t>6884</t>
  </si>
  <si>
    <t>6885</t>
  </si>
  <si>
    <t>6887</t>
  </si>
  <si>
    <t>6888</t>
  </si>
  <si>
    <t>6889</t>
  </si>
  <si>
    <t>6890</t>
  </si>
  <si>
    <t>6891</t>
  </si>
  <si>
    <t>6894</t>
  </si>
  <si>
    <t>6902</t>
  </si>
  <si>
    <t>6905</t>
  </si>
  <si>
    <t>6907</t>
  </si>
  <si>
    <t>6916</t>
  </si>
  <si>
    <t>6917</t>
  </si>
  <si>
    <t>6919</t>
  </si>
  <si>
    <t>6920</t>
  </si>
  <si>
    <t>6921</t>
  </si>
  <si>
    <t>6922</t>
  </si>
  <si>
    <t>6924</t>
  </si>
  <si>
    <t>6925</t>
  </si>
  <si>
    <t>6926</t>
  </si>
  <si>
    <t>6928</t>
  </si>
  <si>
    <t>6929</t>
  </si>
  <si>
    <t>6931</t>
  </si>
  <si>
    <t>6932</t>
  </si>
  <si>
    <t>6947</t>
  </si>
  <si>
    <t>6948</t>
  </si>
  <si>
    <t>6952</t>
  </si>
  <si>
    <t>6954</t>
  </si>
  <si>
    <t>6959</t>
  </si>
  <si>
    <t>6964</t>
  </si>
  <si>
    <t>6965</t>
  </si>
  <si>
    <t>6969</t>
  </si>
  <si>
    <t>6970</t>
  </si>
  <si>
    <t>6971</t>
  </si>
  <si>
    <t>6972</t>
  </si>
  <si>
    <t>6974</t>
  </si>
  <si>
    <t>6977</t>
  </si>
  <si>
    <t>7020</t>
  </si>
  <si>
    <t>7115</t>
  </si>
  <si>
    <t>7116</t>
  </si>
  <si>
    <t>7118</t>
  </si>
  <si>
    <t>7121</t>
  </si>
  <si>
    <t>7127</t>
  </si>
  <si>
    <t>7128</t>
  </si>
  <si>
    <t>7130</t>
  </si>
  <si>
    <t>7135</t>
  </si>
  <si>
    <t>7142</t>
  </si>
  <si>
    <t>7143</t>
  </si>
  <si>
    <t>7147</t>
  </si>
  <si>
    <t>7148</t>
  </si>
  <si>
    <t>7149</t>
  </si>
  <si>
    <t>7161</t>
  </si>
  <si>
    <t>7164</t>
  </si>
  <si>
    <t>7168</t>
  </si>
  <si>
    <t>7174</t>
  </si>
  <si>
    <t>7176</t>
  </si>
  <si>
    <t>7187</t>
  </si>
  <si>
    <t>7189</t>
  </si>
  <si>
    <t>7200</t>
  </si>
  <si>
    <t>7205</t>
  </si>
  <si>
    <t>7206</t>
  </si>
  <si>
    <t>7212</t>
  </si>
  <si>
    <t>7220</t>
  </si>
  <si>
    <t>7234</t>
  </si>
  <si>
    <t>7236</t>
  </si>
  <si>
    <t>7259</t>
  </si>
  <si>
    <t>7296</t>
  </si>
  <si>
    <t>7297</t>
  </si>
  <si>
    <t>7298</t>
  </si>
  <si>
    <t>7299</t>
  </si>
  <si>
    <t>7320</t>
  </si>
  <si>
    <t>7330</t>
  </si>
  <si>
    <t>7335</t>
  </si>
  <si>
    <t>7346</t>
  </si>
  <si>
    <t>7355</t>
  </si>
  <si>
    <t>7359</t>
  </si>
  <si>
    <t>7360</t>
  </si>
  <si>
    <t>7362</t>
  </si>
  <si>
    <t>7368</t>
  </si>
  <si>
    <t>7369</t>
  </si>
  <si>
    <t>7370</t>
  </si>
  <si>
    <t>7373</t>
  </si>
  <si>
    <t>7375</t>
  </si>
  <si>
    <t>7376</t>
  </si>
  <si>
    <t>7378</t>
  </si>
  <si>
    <t>7383</t>
  </si>
  <si>
    <t>7385</t>
  </si>
  <si>
    <t>7676</t>
  </si>
  <si>
    <t>7729</t>
  </si>
  <si>
    <t>7770</t>
  </si>
  <si>
    <t>7780</t>
  </si>
  <si>
    <t>7833</t>
  </si>
  <si>
    <t>7841</t>
  </si>
  <si>
    <t>7843</t>
  </si>
  <si>
    <t>7844</t>
  </si>
  <si>
    <t>7852</t>
  </si>
  <si>
    <t>7855</t>
  </si>
  <si>
    <t>7864</t>
  </si>
  <si>
    <t>7865</t>
  </si>
  <si>
    <t>7866</t>
  </si>
  <si>
    <t>7869</t>
  </si>
  <si>
    <t>7870</t>
  </si>
  <si>
    <t>7871</t>
  </si>
  <si>
    <t>7872</t>
  </si>
  <si>
    <t>7877</t>
  </si>
  <si>
    <t>7879</t>
  </si>
  <si>
    <t>7880</t>
  </si>
  <si>
    <t>7881</t>
  </si>
  <si>
    <t>7883</t>
  </si>
  <si>
    <t>7884</t>
  </si>
  <si>
    <t>7885</t>
  </si>
  <si>
    <t>7886</t>
  </si>
  <si>
    <t>7887</t>
  </si>
  <si>
    <t>7889</t>
  </si>
  <si>
    <t>7890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</si>
  <si>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</si>
  <si>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</si>
  <si>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</si>
  <si>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</si>
  <si>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</si>
  <si>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</si>
  <si>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</si>
  <si>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</si>
  <si>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</si>
  <si>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7903</t>
  </si>
  <si>
    <t>7905</t>
  </si>
  <si>
    <t>7909</t>
  </si>
  <si>
    <t>7914</t>
  </si>
  <si>
    <t>7916</t>
  </si>
  <si>
    <t>7918</t>
  </si>
  <si>
    <t>7919</t>
  </si>
  <si>
    <t>8087</t>
  </si>
  <si>
    <t>8088</t>
  </si>
  <si>
    <t>8089</t>
  </si>
  <si>
    <t>8091</t>
  </si>
  <si>
    <t>8092</t>
  </si>
  <si>
    <t>8094</t>
  </si>
  <si>
    <t>8128</t>
  </si>
  <si>
    <t>8130</t>
  </si>
  <si>
    <t>8134</t>
  </si>
  <si>
    <t>8137</t>
  </si>
  <si>
    <t>8140</t>
  </si>
  <si>
    <t>8142</t>
  </si>
  <si>
    <t>8145</t>
  </si>
  <si>
    <t>8147</t>
  </si>
  <si>
    <t>8150</t>
  </si>
  <si>
    <t>8155</t>
  </si>
  <si>
    <t>8160</t>
  </si>
  <si>
    <t>8162</t>
  </si>
  <si>
    <t>8163</t>
  </si>
  <si>
    <t>8172</t>
  </si>
  <si>
    <t>8174</t>
  </si>
  <si>
    <t>8175</t>
  </si>
  <si>
    <t>8176</t>
  </si>
  <si>
    <t>8177</t>
  </si>
  <si>
    <t>8178</t>
  </si>
  <si>
    <t>8190</t>
  </si>
  <si>
    <t>8192</t>
  </si>
  <si>
    <t>8194</t>
  </si>
  <si>
    <t>8195</t>
  </si>
  <si>
    <t>8196</t>
  </si>
  <si>
    <t>8197</t>
  </si>
  <si>
    <t>8198</t>
  </si>
  <si>
    <t>8208</t>
  </si>
  <si>
    <t>8209</t>
  </si>
  <si>
    <t>8210</t>
  </si>
  <si>
    <t>8214</t>
  </si>
  <si>
    <t>8215</t>
  </si>
  <si>
    <t>8219</t>
  </si>
  <si>
    <t>8222</t>
  </si>
  <si>
    <t>8224</t>
  </si>
  <si>
    <t>8227</t>
  </si>
  <si>
    <t>8232</t>
  </si>
  <si>
    <t>8235</t>
  </si>
  <si>
    <t>8237</t>
  </si>
  <si>
    <t>8238</t>
  </si>
  <si>
    <t>8240</t>
  </si>
  <si>
    <t>8241</t>
  </si>
  <si>
    <t>8242</t>
  </si>
  <si>
    <t>8243</t>
  </si>
  <si>
    <t>8263</t>
  </si>
  <si>
    <t>8264</t>
  </si>
  <si>
    <t>8266</t>
  </si>
  <si>
    <t>8276</t>
  </si>
  <si>
    <t>8280</t>
  </si>
  <si>
    <t>8298</t>
  </si>
  <si>
    <t>8299</t>
  </si>
  <si>
    <t>8300</t>
  </si>
  <si>
    <t>8304</t>
  </si>
  <si>
    <t>8305</t>
  </si>
  <si>
    <t>8306</t>
  </si>
  <si>
    <t>8308</t>
  </si>
  <si>
    <t>8309</t>
  </si>
  <si>
    <t>8310</t>
  </si>
  <si>
    <t>8311</t>
  </si>
  <si>
    <t>8315</t>
  </si>
  <si>
    <t>8316</t>
  </si>
  <si>
    <t>8318</t>
  </si>
  <si>
    <t>8319</t>
  </si>
  <si>
    <t>8320</t>
  </si>
  <si>
    <t>8321</t>
  </si>
  <si>
    <t>8331</t>
  </si>
  <si>
    <t>8333</t>
  </si>
  <si>
    <t>8361</t>
  </si>
  <si>
    <t>8362</t>
  </si>
  <si>
    <t>8363</t>
  </si>
  <si>
    <t>8365</t>
  </si>
  <si>
    <t>8367</t>
  </si>
  <si>
    <t>8368</t>
  </si>
  <si>
    <t>8371</t>
  </si>
  <si>
    <t>8372</t>
  </si>
  <si>
    <t>8373</t>
  </si>
  <si>
    <t>8375</t>
  </si>
  <si>
    <t>8377</t>
  </si>
  <si>
    <t>8378</t>
  </si>
  <si>
    <t>8379</t>
  </si>
  <si>
    <t>8380</t>
  </si>
  <si>
    <t>8381</t>
  </si>
  <si>
    <t>8382</t>
  </si>
  <si>
    <t>8385</t>
  </si>
  <si>
    <t>8390</t>
  </si>
  <si>
    <t>8393</t>
  </si>
  <si>
    <t>8394</t>
  </si>
  <si>
    <t>8397</t>
  </si>
  <si>
    <t>8398</t>
  </si>
  <si>
    <t>8400</t>
  </si>
  <si>
    <t>8448</t>
  </si>
  <si>
    <t>8449</t>
  </si>
  <si>
    <t>8450</t>
  </si>
  <si>
    <t>8452</t>
  </si>
  <si>
    <t>8454</t>
  </si>
  <si>
    <t>8455</t>
  </si>
  <si>
    <t>8457</t>
  </si>
  <si>
    <t>8458</t>
  </si>
  <si>
    <t>8459</t>
  </si>
  <si>
    <t>8461</t>
  </si>
  <si>
    <t>8467</t>
  </si>
  <si>
    <t>8471</t>
  </si>
  <si>
    <t>8497</t>
  </si>
  <si>
    <t>8502</t>
  </si>
  <si>
    <t>8505</t>
  </si>
  <si>
    <t>8507</t>
  </si>
  <si>
    <t>8617</t>
  </si>
  <si>
    <t>8619</t>
  </si>
  <si>
    <t>8633</t>
  </si>
  <si>
    <t>8642</t>
  </si>
  <si>
    <t>8674</t>
  </si>
  <si>
    <t>8675</t>
  </si>
  <si>
    <t>8828</t>
  </si>
  <si>
    <t>8830</t>
  </si>
  <si>
    <t>8831</t>
  </si>
  <si>
    <t>8852</t>
  </si>
  <si>
    <t>8866</t>
  </si>
  <si>
    <t>8868</t>
  </si>
  <si>
    <t>8876</t>
  </si>
  <si>
    <t>8877</t>
  </si>
  <si>
    <t>8878</t>
  </si>
  <si>
    <t>8879</t>
  </si>
  <si>
    <t>8880</t>
  </si>
  <si>
    <t>8883</t>
  </si>
  <si>
    <t>8885</t>
  </si>
  <si>
    <t>8886</t>
  </si>
  <si>
    <t>8895</t>
  </si>
  <si>
    <t>8896</t>
  </si>
  <si>
    <t>8897</t>
  </si>
  <si>
    <t>8899</t>
  </si>
  <si>
    <t>8900</t>
  </si>
  <si>
    <t>8905</t>
  </si>
  <si>
    <t>8906</t>
  </si>
  <si>
    <t>8907</t>
  </si>
  <si>
    <t>8912</t>
  </si>
  <si>
    <t>8914</t>
  </si>
  <si>
    <t>8915</t>
  </si>
  <si>
    <t>8916</t>
  </si>
  <si>
    <t>8919</t>
  </si>
  <si>
    <t>9025</t>
  </si>
  <si>
    <t>9026</t>
  </si>
  <si>
    <t>9027</t>
  </si>
  <si>
    <t>9028</t>
  </si>
  <si>
    <t>9030</t>
  </si>
  <si>
    <t>9032</t>
  </si>
  <si>
    <t>9034</t>
  </si>
  <si>
    <t>9035</t>
  </si>
  <si>
    <t>9038</t>
  </si>
  <si>
    <t>9042</t>
  </si>
  <si>
    <t>9043</t>
  </si>
  <si>
    <t>9044</t>
  </si>
  <si>
    <t>9045</t>
  </si>
  <si>
    <t>9046</t>
  </si>
  <si>
    <t>9047</t>
  </si>
  <si>
    <t>9048</t>
  </si>
  <si>
    <t>9334</t>
  </si>
  <si>
    <t>9335</t>
  </si>
  <si>
    <t>9336</t>
  </si>
  <si>
    <t>9337</t>
  </si>
  <si>
    <t>9338</t>
  </si>
  <si>
    <t>9340</t>
  </si>
  <si>
    <t>9341</t>
  </si>
  <si>
    <t>9346</t>
  </si>
  <si>
    <t>9358</t>
  </si>
  <si>
    <t>9359</t>
  </si>
  <si>
    <t>9361</t>
  </si>
  <si>
    <t>9366</t>
  </si>
  <si>
    <t>9367</t>
  </si>
  <si>
    <t>9368</t>
  </si>
  <si>
    <t>9369</t>
  </si>
  <si>
    <t>9370</t>
  </si>
  <si>
    <t>9372</t>
  </si>
  <si>
    <t>9373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</si>
  <si>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</si>
  <si>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</si>
  <si>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</si>
  <si>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</si>
  <si>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</si>
  <si>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</si>
  <si>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</si>
  <si>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</si>
  <si>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</si>
  <si>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</si>
  <si>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</si>
  <si>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9392</t>
  </si>
  <si>
    <t>9396</t>
  </si>
  <si>
    <t>9399</t>
  </si>
  <si>
    <t>9401</t>
  </si>
  <si>
    <t>9403</t>
  </si>
  <si>
    <t>9404</t>
  </si>
  <si>
    <t>9406</t>
  </si>
  <si>
    <t>9410</t>
  </si>
  <si>
    <t>9412</t>
  </si>
  <si>
    <t>9414</t>
  </si>
  <si>
    <t>9415</t>
  </si>
  <si>
    <t>9418</t>
  </si>
  <si>
    <t>9423</t>
  </si>
  <si>
    <t>9427</t>
  </si>
  <si>
    <t>9428</t>
  </si>
  <si>
    <t>9429</t>
  </si>
  <si>
    <t>9430</t>
  </si>
  <si>
    <t>9431</t>
  </si>
  <si>
    <t>9432</t>
  </si>
  <si>
    <t>9433</t>
  </si>
  <si>
    <t>9435</t>
  </si>
  <si>
    <t>9437</t>
  </si>
  <si>
    <t>9440</t>
  </si>
  <si>
    <t>9441</t>
  </si>
  <si>
    <t>9599</t>
  </si>
  <si>
    <t>9604</t>
  </si>
  <si>
    <t>9609</t>
  </si>
  <si>
    <t>10054</t>
  </si>
  <si>
    <t>10063</t>
  </si>
  <si>
    <t>10067</t>
  </si>
  <si>
    <t>10095</t>
  </si>
  <si>
    <t>10099</t>
  </si>
  <si>
    <t>10102</t>
  </si>
  <si>
    <t>10107</t>
  </si>
  <si>
    <t>10109</t>
  </si>
  <si>
    <t>10111</t>
  </si>
  <si>
    <t>10114</t>
  </si>
  <si>
    <t>10119</t>
  </si>
  <si>
    <t>10127</t>
  </si>
  <si>
    <t>10129</t>
  </si>
  <si>
    <t>10130</t>
  </si>
  <si>
    <t>10521</t>
  </si>
  <si>
    <t>10523</t>
  </si>
  <si>
    <t>10525</t>
  </si>
  <si>
    <t>10530</t>
  </si>
  <si>
    <t>10535</t>
  </si>
  <si>
    <t>10538</t>
  </si>
  <si>
    <t>10539</t>
  </si>
  <si>
    <t>10540</t>
  </si>
  <si>
    <t>10541</t>
  </si>
  <si>
    <t>10548</t>
  </si>
  <si>
    <t>10625</t>
  </si>
  <si>
    <t>10626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</si>
  <si>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</si>
  <si>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</si>
  <si>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</si>
  <si>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</si>
  <si>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</si>
  <si>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</si>
  <si>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</si>
  <si>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</si>
  <si>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10642</t>
  </si>
  <si>
    <t>10643</t>
  </si>
  <si>
    <t>10646</t>
  </si>
  <si>
    <t>10650</t>
  </si>
  <si>
    <t>10651</t>
  </si>
  <si>
    <t>10659</t>
  </si>
  <si>
    <t>10660</t>
  </si>
  <si>
    <t>10679</t>
  </si>
  <si>
    <t>10680</t>
  </si>
  <si>
    <t>10688</t>
  </si>
  <si>
    <t>10690</t>
  </si>
  <si>
    <t>10746</t>
  </si>
  <si>
    <t>10749</t>
  </si>
  <si>
    <t>10752</t>
  </si>
  <si>
    <t>10755</t>
  </si>
  <si>
    <t>10756</t>
  </si>
  <si>
    <t>10782</t>
  </si>
  <si>
    <t>10786</t>
  </si>
  <si>
    <t>10787</t>
  </si>
  <si>
    <t>10789</t>
  </si>
  <si>
    <t>10790</t>
  </si>
  <si>
    <t>10792</t>
  </si>
  <si>
    <t>10794</t>
  </si>
  <si>
    <t>10796</t>
  </si>
  <si>
    <t>10802</t>
  </si>
  <si>
    <t>10806</t>
  </si>
  <si>
    <t>10808</t>
  </si>
  <si>
    <t>10810</t>
  </si>
  <si>
    <t>10811</t>
  </si>
  <si>
    <t>10812</t>
  </si>
  <si>
    <t>10813</t>
  </si>
  <si>
    <t>10815</t>
  </si>
  <si>
    <t>10816</t>
  </si>
  <si>
    <t>10817</t>
  </si>
  <si>
    <t>10818</t>
  </si>
  <si>
    <t>10819</t>
  </si>
  <si>
    <t>10824</t>
  </si>
  <si>
    <t>10825</t>
  </si>
  <si>
    <t>10826</t>
  </si>
  <si>
    <t>10827</t>
  </si>
  <si>
    <t>10829</t>
  </si>
  <si>
    <t>10830</t>
  </si>
  <si>
    <t>10837</t>
  </si>
  <si>
    <t>10838</t>
  </si>
  <si>
    <t>10876</t>
  </si>
  <si>
    <t>11481</t>
  </si>
  <si>
    <t>11483</t>
  </si>
  <si>
    <t>11484</t>
  </si>
  <si>
    <t>11485</t>
  </si>
  <si>
    <t>11486</t>
  </si>
  <si>
    <t>11488</t>
  </si>
  <si>
    <t>11490</t>
  </si>
  <si>
    <t>11491</t>
  </si>
  <si>
    <t>11492</t>
  </si>
  <si>
    <t>11496</t>
  </si>
  <si>
    <t>11497</t>
  </si>
  <si>
    <t>11499</t>
  </si>
  <si>
    <t>11502</t>
  </si>
  <si>
    <t>11503</t>
  </si>
  <si>
    <t>11505</t>
  </si>
  <si>
    <t>11507</t>
  </si>
  <si>
    <t>11509</t>
  </si>
  <si>
    <t>11510</t>
  </si>
  <si>
    <t>11512</t>
  </si>
  <si>
    <t>11513</t>
  </si>
  <si>
    <t>11514</t>
  </si>
  <si>
    <t>11517</t>
  </si>
  <si>
    <t>11519</t>
  </si>
  <si>
    <t>11521</t>
  </si>
  <si>
    <t>11522</t>
  </si>
  <si>
    <t>11523</t>
  </si>
  <si>
    <t>11524</t>
  </si>
  <si>
    <t>11525</t>
  </si>
  <si>
    <t>11526</t>
  </si>
  <si>
    <t>11528</t>
  </si>
  <si>
    <t>11544</t>
  </si>
  <si>
    <t>11545</t>
  </si>
  <si>
    <t>11546</t>
  </si>
  <si>
    <t>11556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</si>
  <si>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</si>
  <si>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</si>
  <si>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</si>
  <si>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</si>
  <si>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</si>
  <si>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</si>
  <si>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</si>
  <si>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</si>
  <si>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</si>
  <si>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11568</t>
  </si>
  <si>
    <t>11569</t>
  </si>
  <si>
    <t>11570</t>
  </si>
  <si>
    <t>11571</t>
  </si>
  <si>
    <t>11573</t>
  </si>
  <si>
    <t>11574</t>
  </si>
  <si>
    <t>11575</t>
  </si>
  <si>
    <t>11576</t>
  </si>
  <si>
    <t>11577</t>
  </si>
  <si>
    <t>11578</t>
  </si>
  <si>
    <t>11581</t>
  </si>
  <si>
    <t>11583</t>
  </si>
  <si>
    <t>11584</t>
  </si>
  <si>
    <t>11585</t>
  </si>
  <si>
    <t>11586</t>
  </si>
  <si>
    <t>11588</t>
  </si>
  <si>
    <t>11593</t>
  </si>
  <si>
    <t>11596</t>
  </si>
  <si>
    <t>11597</t>
  </si>
  <si>
    <t>11599</t>
  </si>
  <si>
    <t>11607</t>
  </si>
  <si>
    <t>11608</t>
  </si>
  <si>
    <t>11609</t>
  </si>
  <si>
    <t>11629</t>
  </si>
  <si>
    <t>11632</t>
  </si>
  <si>
    <t>11635</t>
  </si>
  <si>
    <t>11655</t>
  </si>
  <si>
    <t>11656</t>
  </si>
  <si>
    <t>11661</t>
  </si>
  <si>
    <t>11664</t>
  </si>
  <si>
    <t>11666</t>
  </si>
  <si>
    <t>11669</t>
  </si>
  <si>
    <t>11670</t>
  </si>
  <si>
    <t>11673</t>
  </si>
  <si>
    <t>11680</t>
  </si>
  <si>
    <t>11682</t>
  </si>
  <si>
    <t>11689</t>
  </si>
  <si>
    <t>11932</t>
  </si>
  <si>
    <t>12245</t>
  </si>
  <si>
    <t>12248</t>
  </si>
  <si>
    <t>12252</t>
  </si>
  <si>
    <t>12257</t>
  </si>
  <si>
    <t>12262</t>
  </si>
  <si>
    <t>12275</t>
  </si>
  <si>
    <t>12287</t>
  </si>
  <si>
    <t>12288</t>
  </si>
  <si>
    <t>12291</t>
  </si>
  <si>
    <t>12292</t>
  </si>
  <si>
    <t>12294</t>
  </si>
  <si>
    <t>12305</t>
  </si>
  <si>
    <t>12313</t>
  </si>
  <si>
    <t>12315</t>
  </si>
  <si>
    <t>12316</t>
  </si>
  <si>
    <t>12317</t>
  </si>
  <si>
    <t>12318</t>
  </si>
  <si>
    <t>12322</t>
  </si>
  <si>
    <t>12323</t>
  </si>
  <si>
    <t>12324</t>
  </si>
  <si>
    <t>12326</t>
  </si>
  <si>
    <t>12327</t>
  </si>
  <si>
    <t>12332</t>
  </si>
  <si>
    <t>12333</t>
  </si>
  <si>
    <t>12339</t>
  </si>
  <si>
    <t>12342</t>
  </si>
  <si>
    <t>12343</t>
  </si>
  <si>
    <t>12344</t>
  </si>
  <si>
    <t>12345</t>
  </si>
  <si>
    <t>12346</t>
  </si>
  <si>
    <t>12347</t>
  </si>
  <si>
    <t>12352</t>
  </si>
  <si>
    <t>12360</t>
  </si>
  <si>
    <t>12362</t>
  </si>
  <si>
    <t>12363</t>
  </si>
  <si>
    <t>12369</t>
  </si>
  <si>
    <t>12376</t>
  </si>
  <si>
    <t>12378</t>
  </si>
  <si>
    <t>12379</t>
  </si>
  <si>
    <t>12389</t>
  </si>
  <si>
    <t>12393</t>
  </si>
  <si>
    <t>12401</t>
  </si>
  <si>
    <t>12403</t>
  </si>
  <si>
    <t>12410</t>
  </si>
  <si>
    <t>12411</t>
  </si>
  <si>
    <t>12413</t>
  </si>
  <si>
    <t>12416</t>
  </si>
  <si>
    <t>12428</t>
  </si>
  <si>
    <t>12444</t>
  </si>
  <si>
    <t>12447</t>
  </si>
  <si>
    <t>12452</t>
  </si>
  <si>
    <t>12453</t>
  </si>
  <si>
    <t>12465</t>
  </si>
  <si>
    <t>12468</t>
  </si>
  <si>
    <t>12478</t>
  </si>
  <si>
    <t>12481</t>
  </si>
  <si>
    <t>12485</t>
  </si>
  <si>
    <t>12487</t>
  </si>
  <si>
    <t>12489</t>
  </si>
  <si>
    <t>12490</t>
  </si>
  <si>
    <t>12492</t>
  </si>
  <si>
    <t>12615</t>
  </si>
  <si>
    <t>12767</t>
  </si>
  <si>
    <t>12768</t>
  </si>
  <si>
    <t>12771</t>
  </si>
  <si>
    <t>12774</t>
  </si>
  <si>
    <t>12809</t>
  </si>
  <si>
    <t>12822</t>
  </si>
  <si>
    <t>12825</t>
  </si>
  <si>
    <t>12830</t>
  </si>
  <si>
    <t>12844</t>
  </si>
  <si>
    <t>12874</t>
  </si>
  <si>
    <t>12882</t>
  </si>
  <si>
    <t>12884</t>
  </si>
  <si>
    <t>12886</t>
  </si>
  <si>
    <t>13383</t>
  </si>
  <si>
    <t>13386</t>
  </si>
  <si>
    <t>13420</t>
  </si>
  <si>
    <t>13451</t>
  </si>
  <si>
    <t>13943</t>
  </si>
  <si>
    <t>13944</t>
  </si>
  <si>
    <t>13950</t>
  </si>
  <si>
    <t>13973</t>
  </si>
  <si>
    <t>13977</t>
  </si>
  <si>
    <t>13981</t>
  </si>
  <si>
    <t>13984</t>
  </si>
  <si>
    <t>13986</t>
  </si>
  <si>
    <t>13987</t>
  </si>
  <si>
    <t>13988</t>
  </si>
  <si>
    <t>13991</t>
  </si>
  <si>
    <t>14013</t>
  </si>
  <si>
    <t>14014</t>
  </si>
  <si>
    <t>14019</t>
  </si>
  <si>
    <t>14027</t>
  </si>
  <si>
    <t>14031</t>
  </si>
  <si>
    <t>14032</t>
  </si>
  <si>
    <t>14034</t>
  </si>
  <si>
    <t>14038</t>
  </si>
  <si>
    <t>14040</t>
  </si>
  <si>
    <t>14046</t>
  </si>
  <si>
    <t>14054</t>
  </si>
  <si>
    <t>14058</t>
  </si>
  <si>
    <t>14059</t>
  </si>
  <si>
    <t>14061</t>
  </si>
  <si>
    <t>14125</t>
  </si>
  <si>
    <t>14126</t>
  </si>
  <si>
    <t>14137</t>
  </si>
  <si>
    <t>14142</t>
  </si>
  <si>
    <t>14144</t>
  </si>
  <si>
    <t>14153</t>
  </si>
  <si>
    <t>14159</t>
  </si>
  <si>
    <t>14163</t>
  </si>
  <si>
    <t>14164</t>
  </si>
  <si>
    <t>14168</t>
  </si>
  <si>
    <t>14172</t>
  </si>
  <si>
    <t>14180</t>
  </si>
  <si>
    <t>14182</t>
  </si>
  <si>
    <t>14199</t>
  </si>
  <si>
    <t>14200</t>
  </si>
  <si>
    <t>14201</t>
  </si>
  <si>
    <t>14203</t>
  </si>
  <si>
    <t>14205</t>
  </si>
  <si>
    <t>14206</t>
  </si>
  <si>
    <t>14207</t>
  </si>
  <si>
    <t>14208</t>
  </si>
  <si>
    <t>14215</t>
  </si>
  <si>
    <t>14216</t>
  </si>
  <si>
    <t>14230</t>
  </si>
  <si>
    <t>14231</t>
  </si>
  <si>
    <t>14233</t>
  </si>
  <si>
    <t>14236</t>
  </si>
  <si>
    <t>14240</t>
  </si>
  <si>
    <t>14241</t>
  </si>
  <si>
    <t>14242</t>
  </si>
  <si>
    <t>14243</t>
  </si>
  <si>
    <t>14245</t>
  </si>
  <si>
    <t>14247</t>
  </si>
  <si>
    <t>14248</t>
  </si>
  <si>
    <t>14260</t>
  </si>
  <si>
    <t>14263</t>
  </si>
  <si>
    <t>14271</t>
  </si>
  <si>
    <t>14273</t>
  </si>
  <si>
    <t>14274</t>
  </si>
  <si>
    <t>14276</t>
  </si>
  <si>
    <t>14513</t>
  </si>
  <si>
    <t>14533</t>
  </si>
  <si>
    <t>14534</t>
  </si>
  <si>
    <t>14544</t>
  </si>
  <si>
    <t>14552</t>
  </si>
  <si>
    <t>14556</t>
  </si>
  <si>
    <t>14557</t>
  </si>
  <si>
    <t>14561</t>
  </si>
  <si>
    <t>14564</t>
  </si>
  <si>
    <t>14565</t>
  </si>
  <si>
    <t>14567</t>
  </si>
  <si>
    <t>14572</t>
  </si>
  <si>
    <t>14573</t>
  </si>
  <si>
    <t>14574</t>
  </si>
  <si>
    <t>14578</t>
  </si>
  <si>
    <t>14587</t>
  </si>
  <si>
    <t>14622</t>
  </si>
  <si>
    <t>14624</t>
  </si>
  <si>
    <t>14627</t>
  </si>
  <si>
    <t>14653</t>
  </si>
  <si>
    <t>14655</t>
  </si>
  <si>
    <t>14669</t>
  </si>
  <si>
    <t>14674</t>
  </si>
  <si>
    <t>14676</t>
  </si>
  <si>
    <t>14679</t>
  </si>
  <si>
    <t>14685</t>
  </si>
  <si>
    <t>14700</t>
  </si>
  <si>
    <t>14701</t>
  </si>
  <si>
    <t>14702</t>
  </si>
  <si>
    <t>14705</t>
  </si>
  <si>
    <t>14706</t>
  </si>
  <si>
    <t>14708</t>
  </si>
  <si>
    <t>14718</t>
  </si>
  <si>
    <t>14719</t>
  </si>
  <si>
    <t>14770</t>
  </si>
  <si>
    <t>14772</t>
  </si>
  <si>
    <t>14774</t>
  </si>
  <si>
    <t>14786</t>
  </si>
  <si>
    <t>14794</t>
  </si>
  <si>
    <t>14799</t>
  </si>
  <si>
    <t>14801</t>
  </si>
  <si>
    <t>14807</t>
  </si>
  <si>
    <t>14809</t>
  </si>
  <si>
    <t>14810</t>
  </si>
  <si>
    <t>14818</t>
  </si>
  <si>
    <t>14820</t>
  </si>
  <si>
    <t>14822</t>
  </si>
  <si>
    <t>14823</t>
  </si>
  <si>
    <t>14824</t>
  </si>
  <si>
    <t>14825</t>
  </si>
  <si>
    <t>14829</t>
  </si>
  <si>
    <t>14846</t>
  </si>
  <si>
    <t>14847</t>
  </si>
  <si>
    <t>14849</t>
  </si>
  <si>
    <t>14851</t>
  </si>
  <si>
    <t>14855</t>
  </si>
  <si>
    <t>14856</t>
  </si>
  <si>
    <t>14860</t>
  </si>
  <si>
    <t>14882</t>
  </si>
  <si>
    <t>14885</t>
  </si>
  <si>
    <t>14887</t>
  </si>
  <si>
    <t>14891</t>
  </si>
  <si>
    <t>14893</t>
  </si>
  <si>
    <t>14905</t>
  </si>
  <si>
    <t>14911</t>
  </si>
  <si>
    <t>14914</t>
  </si>
  <si>
    <t>14918</t>
  </si>
  <si>
    <t>14919</t>
  </si>
  <si>
    <t>14962</t>
  </si>
  <si>
    <t>14965</t>
  </si>
  <si>
    <t>14968</t>
  </si>
  <si>
    <t>14970</t>
  </si>
  <si>
    <t>14973</t>
  </si>
  <si>
    <t>14974</t>
  </si>
  <si>
    <t>14981</t>
  </si>
  <si>
    <t>15213</t>
  </si>
  <si>
    <t>15220</t>
  </si>
  <si>
    <t>15243</t>
  </si>
  <si>
    <t>15244</t>
  </si>
  <si>
    <t>15246</t>
  </si>
  <si>
    <t>15292</t>
  </si>
  <si>
    <t>15295</t>
  </si>
  <si>
    <t>15297</t>
  </si>
  <si>
    <t>15304</t>
  </si>
  <si>
    <t>15306</t>
  </si>
  <si>
    <t>15308</t>
  </si>
  <si>
    <t>15309</t>
  </si>
  <si>
    <t>15312</t>
  </si>
  <si>
    <t>15313</t>
  </si>
  <si>
    <t>15315</t>
  </si>
  <si>
    <t>15317</t>
  </si>
  <si>
    <t>15318</t>
  </si>
  <si>
    <t>15319</t>
  </si>
  <si>
    <t>15320</t>
  </si>
  <si>
    <t>15322</t>
  </si>
  <si>
    <t>15323</t>
  </si>
  <si>
    <t>15324</t>
  </si>
  <si>
    <t>15325</t>
  </si>
  <si>
    <t>15327</t>
  </si>
  <si>
    <t>15331</t>
  </si>
  <si>
    <t>15333</t>
  </si>
  <si>
    <t>15338</t>
  </si>
  <si>
    <t>15344</t>
  </si>
  <si>
    <t>15346</t>
  </si>
  <si>
    <t>15350</t>
  </si>
  <si>
    <t>15355</t>
  </si>
  <si>
    <t>15356</t>
  </si>
  <si>
    <t>15403</t>
  </si>
  <si>
    <t>15416</t>
  </si>
  <si>
    <t>15420</t>
  </si>
  <si>
    <t>15423</t>
  </si>
  <si>
    <t>15424</t>
  </si>
  <si>
    <t>15426</t>
  </si>
  <si>
    <t>15428</t>
  </si>
  <si>
    <t>15430</t>
  </si>
  <si>
    <t>15431</t>
  </si>
  <si>
    <t>15433</t>
  </si>
  <si>
    <t>15436</t>
  </si>
  <si>
    <t>15438</t>
  </si>
  <si>
    <t>15439</t>
  </si>
  <si>
    <t>15443</t>
  </si>
  <si>
    <t>15444</t>
  </si>
  <si>
    <t>15445</t>
  </si>
  <si>
    <t>15449</t>
  </si>
  <si>
    <t>15458</t>
  </si>
  <si>
    <t>15465</t>
  </si>
  <si>
    <t>15470</t>
  </si>
  <si>
    <t>15473</t>
  </si>
  <si>
    <t>15474</t>
  </si>
  <si>
    <t>15477</t>
  </si>
  <si>
    <t>15478</t>
  </si>
  <si>
    <t>15480</t>
  </si>
  <si>
    <t>15484</t>
  </si>
  <si>
    <t>15486</t>
  </si>
  <si>
    <t>15487</t>
  </si>
  <si>
    <t>15488</t>
  </si>
  <si>
    <t>15724</t>
  </si>
  <si>
    <t>15726</t>
  </si>
  <si>
    <t>15729</t>
  </si>
  <si>
    <t>15731</t>
  </si>
  <si>
    <t>15733</t>
  </si>
  <si>
    <t>15735</t>
  </si>
  <si>
    <t>15736</t>
  </si>
  <si>
    <t>15737</t>
  </si>
  <si>
    <t>15739</t>
  </si>
  <si>
    <t>15741</t>
  </si>
  <si>
    <t>15748</t>
  </si>
  <si>
    <t>15750</t>
  </si>
  <si>
    <t>15753</t>
  </si>
  <si>
    <t>15756</t>
  </si>
  <si>
    <t>15759</t>
  </si>
  <si>
    <t>15760</t>
  </si>
  <si>
    <t>15762</t>
  </si>
  <si>
    <t>15816</t>
  </si>
  <si>
    <t>15818</t>
  </si>
  <si>
    <t>15822</t>
  </si>
  <si>
    <t>15823</t>
  </si>
  <si>
    <t>15826</t>
  </si>
  <si>
    <t>15827</t>
  </si>
  <si>
    <t>15834</t>
  </si>
  <si>
    <t>15835</t>
  </si>
  <si>
    <t>15836</t>
  </si>
  <si>
    <t>15837</t>
  </si>
  <si>
    <t>15839</t>
  </si>
  <si>
    <t>15842</t>
  </si>
  <si>
    <t>15844</t>
  </si>
  <si>
    <t>15845</t>
  </si>
  <si>
    <t>15846</t>
  </si>
  <si>
    <t>15848</t>
  </si>
  <si>
    <t>15850</t>
  </si>
  <si>
    <t>15851</t>
  </si>
  <si>
    <t>15852</t>
  </si>
  <si>
    <t>15853</t>
  </si>
  <si>
    <t>15854</t>
  </si>
  <si>
    <t>15857</t>
  </si>
  <si>
    <t>15859</t>
  </si>
  <si>
    <t>15862</t>
  </si>
  <si>
    <t>15865</t>
  </si>
  <si>
    <t>15866</t>
  </si>
  <si>
    <t>15867</t>
  </si>
  <si>
    <t>15870</t>
  </si>
  <si>
    <t>15871</t>
  </si>
  <si>
    <t>15872</t>
  </si>
  <si>
    <t>15875</t>
  </si>
  <si>
    <t>15880</t>
  </si>
  <si>
    <t>15881</t>
  </si>
  <si>
    <t>15882</t>
  </si>
  <si>
    <t>15885</t>
  </si>
  <si>
    <t>15896</t>
  </si>
  <si>
    <t>15901</t>
  </si>
  <si>
    <t>15905</t>
  </si>
  <si>
    <t>15910</t>
  </si>
  <si>
    <t>15915</t>
  </si>
  <si>
    <t>15917</t>
  </si>
  <si>
    <t>15923</t>
  </si>
  <si>
    <t>15924</t>
  </si>
  <si>
    <t>15931</t>
  </si>
  <si>
    <t>15935</t>
  </si>
  <si>
    <t>15938</t>
  </si>
  <si>
    <t>15941</t>
  </si>
  <si>
    <t>15943</t>
  </si>
  <si>
    <t>15944</t>
  </si>
  <si>
    <t>15945</t>
  </si>
  <si>
    <t>15951</t>
  </si>
  <si>
    <t>15952</t>
  </si>
  <si>
    <t>15953</t>
  </si>
  <si>
    <t>15954</t>
  </si>
  <si>
    <t>15955</t>
  </si>
  <si>
    <t>15958</t>
  </si>
  <si>
    <t>15959</t>
  </si>
  <si>
    <t>15960</t>
  </si>
  <si>
    <t>15969</t>
  </si>
  <si>
    <t>16001</t>
  </si>
  <si>
    <t>16002</t>
  </si>
  <si>
    <t>16004</t>
  </si>
  <si>
    <t>16007</t>
  </si>
  <si>
    <t>16008</t>
  </si>
  <si>
    <t>16010</t>
  </si>
  <si>
    <t>16011</t>
  </si>
  <si>
    <t>16013</t>
  </si>
  <si>
    <t>16014</t>
  </si>
  <si>
    <t>16016</t>
  </si>
  <si>
    <t>16019</t>
  </si>
  <si>
    <t>16020</t>
  </si>
  <si>
    <t>16022</t>
  </si>
  <si>
    <t>16025</t>
  </si>
  <si>
    <t>16027</t>
  </si>
  <si>
    <t>16028</t>
  </si>
  <si>
    <t>16030</t>
  </si>
  <si>
    <t>16032</t>
  </si>
  <si>
    <t>16035</t>
  </si>
  <si>
    <t>16037</t>
  </si>
  <si>
    <t>16040</t>
  </si>
  <si>
    <t>16041</t>
  </si>
  <si>
    <t>16053</t>
  </si>
  <si>
    <t>16054</t>
  </si>
  <si>
    <t>16056</t>
  </si>
  <si>
    <t>16057</t>
  </si>
  <si>
    <t>16058</t>
  </si>
  <si>
    <t>16062</t>
  </si>
  <si>
    <t>16067</t>
  </si>
  <si>
    <t>16073</t>
  </si>
  <si>
    <t>16074</t>
  </si>
  <si>
    <t>16075</t>
  </si>
  <si>
    <t>16078</t>
  </si>
  <si>
    <t>16084</t>
  </si>
  <si>
    <t>16085</t>
  </si>
  <si>
    <t>16087</t>
  </si>
  <si>
    <t>16088</t>
  </si>
  <si>
    <t>16089</t>
  </si>
  <si>
    <t>16152</t>
  </si>
  <si>
    <t>16154</t>
  </si>
  <si>
    <t>16158</t>
  </si>
  <si>
    <t>16164</t>
  </si>
  <si>
    <t>16166</t>
  </si>
  <si>
    <t>16172</t>
  </si>
  <si>
    <t>16181</t>
  </si>
  <si>
    <t>16182</t>
  </si>
  <si>
    <t>16210</t>
  </si>
  <si>
    <t>16213</t>
  </si>
  <si>
    <t>16215</t>
  </si>
  <si>
    <t>16216</t>
  </si>
  <si>
    <t>16229</t>
  </si>
  <si>
    <t>16235</t>
  </si>
  <si>
    <t>16236</t>
  </si>
  <si>
    <t>16239</t>
  </si>
  <si>
    <t>16240</t>
  </si>
  <si>
    <t>16242</t>
  </si>
  <si>
    <t>16244</t>
  </si>
  <si>
    <t>16245</t>
  </si>
  <si>
    <t>16273</t>
  </si>
  <si>
    <t>16274</t>
  </si>
  <si>
    <t>16278</t>
  </si>
  <si>
    <t>16285</t>
  </si>
  <si>
    <t>16289</t>
  </si>
  <si>
    <t>16291</t>
  </si>
  <si>
    <t>16294</t>
  </si>
  <si>
    <t>16296</t>
  </si>
  <si>
    <t>16298</t>
  </si>
  <si>
    <t>16300</t>
  </si>
  <si>
    <t>16327</t>
  </si>
  <si>
    <t>16328</t>
  </si>
  <si>
    <t>16329</t>
  </si>
  <si>
    <t>16331</t>
  </si>
  <si>
    <t>16341</t>
  </si>
  <si>
    <t>16343</t>
  </si>
  <si>
    <t>16357</t>
  </si>
  <si>
    <t>16360</t>
  </si>
  <si>
    <t>16363</t>
  </si>
  <si>
    <t>16369</t>
  </si>
  <si>
    <t>16371</t>
  </si>
  <si>
    <t>16496</t>
  </si>
  <si>
    <t>16498</t>
  </si>
  <si>
    <t>16500</t>
  </si>
  <si>
    <t>16503</t>
  </si>
  <si>
    <t>16520</t>
  </si>
  <si>
    <t>16522</t>
  </si>
  <si>
    <t>16528</t>
  </si>
  <si>
    <t>16530</t>
  </si>
  <si>
    <t>16532</t>
  </si>
  <si>
    <t>16533</t>
  </si>
  <si>
    <t>16538</t>
  </si>
  <si>
    <t>16540</t>
  </si>
  <si>
    <t>16541</t>
  </si>
  <si>
    <t>16545</t>
  </si>
  <si>
    <t>16547</t>
  </si>
  <si>
    <t>16553</t>
  </si>
  <si>
    <t>16567</t>
  </si>
  <si>
    <t>16570</t>
  </si>
  <si>
    <t>16572</t>
  </si>
  <si>
    <t>16676</t>
  </si>
  <si>
    <t>16679</t>
  </si>
  <si>
    <t>16681</t>
  </si>
  <si>
    <t>16690</t>
  </si>
  <si>
    <t>16691</t>
  </si>
  <si>
    <t>16697</t>
  </si>
  <si>
    <t>16699</t>
  </si>
  <si>
    <t>16704</t>
  </si>
  <si>
    <t>16707</t>
  </si>
  <si>
    <t>16710</t>
  </si>
  <si>
    <t>16725</t>
  </si>
  <si>
    <t>16732</t>
  </si>
  <si>
    <t>16735</t>
  </si>
  <si>
    <t>16737</t>
  </si>
  <si>
    <t>16738</t>
  </si>
  <si>
    <t>16739</t>
  </si>
  <si>
    <t>16816</t>
  </si>
  <si>
    <t>16818</t>
  </si>
  <si>
    <t>16839</t>
  </si>
  <si>
    <t>16842</t>
  </si>
  <si>
    <t>16843</t>
  </si>
  <si>
    <t>16847</t>
  </si>
  <si>
    <t>16850</t>
  </si>
  <si>
    <t>16860</t>
  </si>
  <si>
    <t>16864</t>
  </si>
  <si>
    <t>16869</t>
  </si>
  <si>
    <t>16883</t>
  </si>
  <si>
    <t>16914</t>
  </si>
  <si>
    <t>16915</t>
  </si>
  <si>
    <t>16920</t>
  </si>
  <si>
    <t>16921</t>
  </si>
  <si>
    <t>16924</t>
  </si>
  <si>
    <t>16929</t>
  </si>
  <si>
    <t>16930</t>
  </si>
  <si>
    <t>16935</t>
  </si>
  <si>
    <t>16936</t>
  </si>
  <si>
    <t>17022</t>
  </si>
  <si>
    <t>17023</t>
  </si>
  <si>
    <t>17024</t>
  </si>
  <si>
    <t>17028</t>
  </si>
  <si>
    <t>17030</t>
  </si>
  <si>
    <t>17046</t>
  </si>
  <si>
    <t>17057</t>
  </si>
  <si>
    <t>17069</t>
  </si>
  <si>
    <t>17071</t>
  </si>
  <si>
    <t>17082</t>
  </si>
  <si>
    <t>17216</t>
  </si>
  <si>
    <t>17219</t>
  </si>
  <si>
    <t>17222</t>
  </si>
  <si>
    <t>17223</t>
  </si>
  <si>
    <t>17227</t>
  </si>
  <si>
    <t>17228</t>
  </si>
  <si>
    <t>17229</t>
  </si>
  <si>
    <t>17230</t>
  </si>
  <si>
    <t>17232</t>
  </si>
  <si>
    <t>17240</t>
  </si>
  <si>
    <t>17241</t>
  </si>
  <si>
    <t>17245</t>
  </si>
  <si>
    <t>17246</t>
  </si>
  <si>
    <t>17247</t>
  </si>
  <si>
    <t>17249</t>
  </si>
  <si>
    <t>17263</t>
  </si>
  <si>
    <t>17276</t>
  </si>
  <si>
    <t>17426</t>
  </si>
  <si>
    <t>17428</t>
  </si>
  <si>
    <t>17432</t>
  </si>
  <si>
    <t>17438</t>
  </si>
  <si>
    <t>17445</t>
  </si>
  <si>
    <t>17448</t>
  </si>
  <si>
    <t>17461</t>
  </si>
  <si>
    <t>17469</t>
  </si>
  <si>
    <t>17511</t>
  </si>
  <si>
    <t>17530</t>
  </si>
  <si>
    <t>17545</t>
  </si>
  <si>
    <t>17732</t>
  </si>
  <si>
    <t>17733</t>
  </si>
  <si>
    <t>17734</t>
  </si>
  <si>
    <t>17735</t>
  </si>
  <si>
    <t>17738</t>
  </si>
  <si>
    <t>17739</t>
  </si>
  <si>
    <t>17740</t>
  </si>
  <si>
    <t>17746</t>
  </si>
  <si>
    <t>17750</t>
  </si>
  <si>
    <t>17754</t>
  </si>
  <si>
    <t>17759</t>
  </si>
  <si>
    <t>17763</t>
  </si>
  <si>
    <t>17767</t>
  </si>
  <si>
    <t>17773</t>
  </si>
  <si>
    <t>17779</t>
  </si>
  <si>
    <t>17800</t>
  </si>
  <si>
    <t>17802</t>
  </si>
  <si>
    <t>17804</t>
  </si>
  <si>
    <t>17811</t>
  </si>
  <si>
    <t>17814</t>
  </si>
  <si>
    <t>17819</t>
  </si>
  <si>
    <t>17893</t>
  </si>
  <si>
    <t>17894</t>
  </si>
  <si>
    <t>17898</t>
  </si>
  <si>
    <t>17901</t>
  </si>
  <si>
    <t>17908</t>
  </si>
  <si>
    <t>17916</t>
  </si>
  <si>
    <t>17919</t>
  </si>
  <si>
    <t>17921</t>
  </si>
  <si>
    <t>17926</t>
  </si>
  <si>
    <t>17948</t>
  </si>
  <si>
    <t>17949</t>
  </si>
  <si>
    <t>17952</t>
  </si>
  <si>
    <t>17963</t>
  </si>
  <si>
    <t>17965</t>
  </si>
  <si>
    <t>17980</t>
  </si>
  <si>
    <t>17990</t>
  </si>
  <si>
    <t>18000</t>
  </si>
  <si>
    <t>18133</t>
  </si>
  <si>
    <t>18135</t>
  </si>
  <si>
    <t>18138</t>
  </si>
  <si>
    <t>18142</t>
  </si>
  <si>
    <t>18145</t>
  </si>
  <si>
    <t>18160</t>
  </si>
  <si>
    <t>18163</t>
  </si>
  <si>
    <t>18166</t>
  </si>
  <si>
    <t>18170</t>
  </si>
  <si>
    <t>18175</t>
  </si>
  <si>
    <t>18203</t>
  </si>
  <si>
    <t>18223</t>
  </si>
  <si>
    <t>18234</t>
  </si>
  <si>
    <t>18345</t>
  </si>
  <si>
    <t>18354</t>
  </si>
  <si>
    <t>18355</t>
  </si>
  <si>
    <t>18365</t>
  </si>
  <si>
    <t>18368</t>
  </si>
  <si>
    <t>18372</t>
  </si>
  <si>
    <t>18374</t>
  </si>
  <si>
    <t>18376</t>
  </si>
  <si>
    <t>18378</t>
  </si>
  <si>
    <t>18379</t>
  </si>
  <si>
    <t>18380</t>
  </si>
  <si>
    <t>18392</t>
  </si>
  <si>
    <t>18398</t>
  </si>
  <si>
    <t>18400</t>
  </si>
  <si>
    <t>18402</t>
  </si>
  <si>
    <t>18409</t>
  </si>
  <si>
    <t>18415</t>
  </si>
  <si>
    <t>18493</t>
  </si>
  <si>
    <t>18494</t>
  </si>
  <si>
    <t>18496</t>
  </si>
  <si>
    <t>18497</t>
  </si>
  <si>
    <t>18500</t>
  </si>
  <si>
    <t>18523</t>
  </si>
  <si>
    <t>18542</t>
  </si>
  <si>
    <t>18544</t>
  </si>
  <si>
    <t>18553</t>
  </si>
  <si>
    <t>18560</t>
  </si>
  <si>
    <t>18572</t>
  </si>
  <si>
    <t>18573</t>
  </si>
  <si>
    <t>18578</t>
  </si>
  <si>
    <t>18579</t>
  </si>
  <si>
    <t>18764</t>
  </si>
  <si>
    <t>18767</t>
  </si>
  <si>
    <t>18769</t>
  </si>
  <si>
    <t>18773</t>
  </si>
  <si>
    <t>18776</t>
  </si>
  <si>
    <t>18780</t>
  </si>
  <si>
    <t>18785</t>
  </si>
  <si>
    <t>18788</t>
  </si>
  <si>
    <t>18792</t>
  </si>
  <si>
    <t>18797</t>
  </si>
  <si>
    <t>18801</t>
  </si>
  <si>
    <t>18802</t>
  </si>
  <si>
    <t>18804</t>
  </si>
  <si>
    <t>18808</t>
  </si>
  <si>
    <t>18832</t>
  </si>
  <si>
    <t>18843</t>
  </si>
  <si>
    <t>18844</t>
  </si>
  <si>
    <t>18851</t>
  </si>
  <si>
    <t>18856</t>
  </si>
  <si>
    <t>18895</t>
  </si>
  <si>
    <t>18897</t>
  </si>
  <si>
    <t>18906</t>
  </si>
  <si>
    <t>18909</t>
  </si>
  <si>
    <t>18910</t>
  </si>
  <si>
    <t>18912</t>
  </si>
  <si>
    <t>18919</t>
  </si>
  <si>
    <t>18921</t>
  </si>
  <si>
    <t>18923</t>
  </si>
  <si>
    <t>18926</t>
  </si>
  <si>
    <t>18940</t>
  </si>
  <si>
    <t>18951</t>
  </si>
  <si>
    <t>18954</t>
  </si>
  <si>
    <t>18956</t>
  </si>
  <si>
    <t>18966</t>
  </si>
  <si>
    <t>18972</t>
  </si>
  <si>
    <t>18976</t>
  </si>
  <si>
    <t>18978</t>
  </si>
  <si>
    <t>18989</t>
  </si>
  <si>
    <t>19058</t>
  </si>
  <si>
    <t>19062</t>
  </si>
  <si>
    <t>19065</t>
  </si>
  <si>
    <t>19068</t>
  </si>
  <si>
    <t>19069</t>
  </si>
  <si>
    <t>19070</t>
  </si>
  <si>
    <t>19074</t>
  </si>
  <si>
    <t>19078</t>
  </si>
  <si>
    <t>19082</t>
  </si>
  <si>
    <t>19084</t>
  </si>
  <si>
    <t>19088</t>
  </si>
  <si>
    <t>19091</t>
  </si>
  <si>
    <t>19093</t>
  </si>
  <si>
    <t>19095</t>
  </si>
  <si>
    <t>19098</t>
  </si>
  <si>
    <t>19102</t>
  </si>
  <si>
    <t>19103</t>
  </si>
  <si>
    <t>19105</t>
  </si>
  <si>
    <t>19116</t>
  </si>
  <si>
    <t>19118</t>
  </si>
  <si>
    <t>19123</t>
  </si>
  <si>
    <t>19124</t>
  </si>
  <si>
    <t>19126</t>
  </si>
  <si>
    <t>19147</t>
  </si>
  <si>
    <t>19162</t>
  </si>
  <si>
    <t>19189</t>
  </si>
  <si>
    <t>19232</t>
  </si>
  <si>
    <t>19233</t>
  </si>
  <si>
    <t>19234</t>
  </si>
  <si>
    <t>19235</t>
  </si>
  <si>
    <t>19239</t>
  </si>
  <si>
    <t>19240</t>
  </si>
  <si>
    <t>19241</t>
  </si>
  <si>
    <t>19243</t>
  </si>
  <si>
    <t>19244</t>
  </si>
  <si>
    <t>19245</t>
  </si>
  <si>
    <t>19248</t>
  </si>
  <si>
    <t>19252</t>
  </si>
  <si>
    <t>19253</t>
  </si>
  <si>
    <t>19254</t>
  </si>
  <si>
    <t>19259</t>
  </si>
  <si>
    <t>19264</t>
  </si>
  <si>
    <t>19269</t>
  </si>
  <si>
    <t>19277</t>
  </si>
  <si>
    <t>19343</t>
  </si>
  <si>
    <t>19357</t>
  </si>
  <si>
    <t>19365</t>
  </si>
  <si>
    <t>19387</t>
  </si>
  <si>
    <t>19390</t>
  </si>
  <si>
    <t>19503</t>
  </si>
  <si>
    <t>19512</t>
  </si>
  <si>
    <t>19514</t>
  </si>
  <si>
    <t>19515</t>
  </si>
  <si>
    <t>19518</t>
  </si>
  <si>
    <t>19520</t>
  </si>
  <si>
    <t>19521</t>
  </si>
  <si>
    <t>19528</t>
  </si>
  <si>
    <t>19530</t>
  </si>
  <si>
    <t>19553</t>
  </si>
  <si>
    <t>19554</t>
  </si>
  <si>
    <t>19556</t>
  </si>
  <si>
    <t>19559</t>
  </si>
  <si>
    <t>19560</t>
  </si>
  <si>
    <t>19561</t>
  </si>
  <si>
    <t>19575</t>
  </si>
  <si>
    <t>19601</t>
  </si>
  <si>
    <t>19632</t>
  </si>
  <si>
    <t>19634</t>
  </si>
  <si>
    <t>19635</t>
  </si>
  <si>
    <t>19639</t>
  </si>
  <si>
    <t>19644</t>
  </si>
  <si>
    <t>19646</t>
  </si>
  <si>
    <t>19650</t>
  </si>
  <si>
    <t>19653</t>
  </si>
  <si>
    <t>19657</t>
  </si>
  <si>
    <t>19659</t>
  </si>
  <si>
    <t>19661</t>
  </si>
  <si>
    <t>19665</t>
  </si>
  <si>
    <t>19674</t>
  </si>
  <si>
    <t>19678</t>
  </si>
  <si>
    <t>19682</t>
  </si>
  <si>
    <t>19686</t>
  </si>
  <si>
    <t>19688</t>
  </si>
  <si>
    <t>19691</t>
  </si>
  <si>
    <t>19693</t>
  </si>
  <si>
    <t>19694</t>
  </si>
  <si>
    <t>19855</t>
  </si>
  <si>
    <t>19858</t>
  </si>
  <si>
    <t>19859</t>
  </si>
  <si>
    <t>19860</t>
  </si>
  <si>
    <t>19862</t>
  </si>
  <si>
    <t>19864</t>
  </si>
  <si>
    <t>19865</t>
  </si>
  <si>
    <t>19881</t>
  </si>
  <si>
    <t>19885</t>
  </si>
  <si>
    <t>19896</t>
  </si>
  <si>
    <t>19908</t>
  </si>
  <si>
    <t>19918</t>
  </si>
  <si>
    <t>20070</t>
  </si>
  <si>
    <t>20167</t>
  </si>
  <si>
    <t>20170</t>
  </si>
  <si>
    <t>20183</t>
  </si>
  <si>
    <t>20191</t>
  </si>
  <si>
    <t>20192</t>
  </si>
  <si>
    <t>20193</t>
  </si>
  <si>
    <t>20195</t>
  </si>
  <si>
    <t>20198</t>
  </si>
  <si>
    <t>20199</t>
  </si>
  <si>
    <t>20202</t>
  </si>
  <si>
    <t>20205</t>
  </si>
  <si>
    <t>20208</t>
  </si>
  <si>
    <t>20209</t>
  </si>
  <si>
    <t>20213</t>
  </si>
  <si>
    <t>20214</t>
  </si>
  <si>
    <t>20216</t>
  </si>
  <si>
    <t>20217</t>
  </si>
  <si>
    <t>20218</t>
  </si>
  <si>
    <t>20227</t>
  </si>
  <si>
    <t>20228</t>
  </si>
  <si>
    <t>20231</t>
  </si>
  <si>
    <t>20234</t>
  </si>
  <si>
    <t>20235</t>
  </si>
  <si>
    <t>20238</t>
  </si>
  <si>
    <t>20239</t>
  </si>
  <si>
    <t>20277</t>
  </si>
  <si>
    <t>20280</t>
  </si>
  <si>
    <t>20296</t>
  </si>
  <si>
    <t>21295</t>
  </si>
  <si>
    <t>21300</t>
  </si>
  <si>
    <t>21425</t>
  </si>
  <si>
    <t>21427</t>
  </si>
  <si>
    <t>21443</t>
  </si>
  <si>
    <t>21445</t>
  </si>
  <si>
    <t>21446</t>
  </si>
  <si>
    <t>21454</t>
  </si>
  <si>
    <t>21459</t>
  </si>
  <si>
    <t>21493</t>
  </si>
  <si>
    <t>21502</t>
  </si>
  <si>
    <t>21515</t>
  </si>
  <si>
    <t>21519</t>
  </si>
  <si>
    <t>21536</t>
  </si>
  <si>
    <t>21539</t>
  </si>
  <si>
    <t>21541</t>
  </si>
  <si>
    <t>21542</t>
  </si>
  <si>
    <t>21543</t>
  </si>
  <si>
    <t>21545</t>
  </si>
  <si>
    <t>21546</t>
  </si>
  <si>
    <t>21680</t>
  </si>
  <si>
    <t>21681</t>
  </si>
  <si>
    <t>21682</t>
  </si>
  <si>
    <t>21683</t>
  </si>
  <si>
    <t>21684</t>
  </si>
  <si>
    <t>21685</t>
  </si>
  <si>
    <t>21686</t>
  </si>
  <si>
    <t>21687</t>
  </si>
  <si>
    <t>21688</t>
  </si>
  <si>
    <t>21691</t>
  </si>
  <si>
    <t>21692</t>
  </si>
  <si>
    <t>21694</t>
  </si>
  <si>
    <t>21696</t>
  </si>
  <si>
    <t>21697</t>
  </si>
  <si>
    <t>21699</t>
  </si>
  <si>
    <t>21709</t>
  </si>
  <si>
    <t>21712</t>
  </si>
  <si>
    <t>21793</t>
  </si>
  <si>
    <t>21839</t>
  </si>
  <si>
    <t>21861</t>
  </si>
  <si>
    <t>21862</t>
  </si>
  <si>
    <t>21871</t>
  </si>
  <si>
    <t>21873</t>
  </si>
  <si>
    <t>21885</t>
  </si>
  <si>
    <t>21887</t>
  </si>
  <si>
    <t>21889</t>
  </si>
  <si>
    <t>21891</t>
  </si>
  <si>
    <t>21892</t>
  </si>
  <si>
    <t>21893</t>
  </si>
  <si>
    <t>21894</t>
  </si>
  <si>
    <t>21914</t>
  </si>
  <si>
    <t>21921</t>
  </si>
  <si>
    <t>21922</t>
  </si>
  <si>
    <t>21929</t>
  </si>
  <si>
    <t>21931</t>
  </si>
  <si>
    <t>21932</t>
  </si>
  <si>
    <t>21933</t>
  </si>
  <si>
    <t>21945</t>
  </si>
  <si>
    <t>21946</t>
  </si>
  <si>
    <t>21949</t>
  </si>
  <si>
    <t>21959</t>
  </si>
  <si>
    <t>21960</t>
  </si>
  <si>
    <t>21993</t>
  </si>
  <si>
    <t>21995</t>
  </si>
  <si>
    <t>22019</t>
  </si>
  <si>
    <t>22058</t>
  </si>
  <si>
    <t>22060</t>
  </si>
  <si>
    <t>22063</t>
  </si>
  <si>
    <t>22066</t>
  </si>
  <si>
    <t>22075</t>
  </si>
  <si>
    <t>22088</t>
  </si>
  <si>
    <t>22092</t>
  </si>
  <si>
    <t>22097</t>
  </si>
  <si>
    <t>22100</t>
  </si>
  <si>
    <t>22101</t>
  </si>
  <si>
    <t>22102</t>
  </si>
  <si>
    <t>22107</t>
  </si>
  <si>
    <t>22110</t>
  </si>
  <si>
    <t>22128</t>
  </si>
  <si>
    <t>22131</t>
  </si>
  <si>
    <t>22133</t>
  </si>
  <si>
    <t>22135</t>
  </si>
  <si>
    <t>22139</t>
  </si>
  <si>
    <t>22141</t>
  </si>
  <si>
    <t>22142</t>
  </si>
  <si>
    <t>22151</t>
  </si>
  <si>
    <t>22162</t>
  </si>
  <si>
    <t>22165</t>
  </si>
  <si>
    <t>22206</t>
  </si>
  <si>
    <t>22210</t>
  </si>
  <si>
    <t>22211</t>
  </si>
  <si>
    <t>22212</t>
  </si>
  <si>
    <t>22213</t>
  </si>
  <si>
    <t>22214</t>
  </si>
  <si>
    <t>22218</t>
  </si>
  <si>
    <t>22232</t>
  </si>
  <si>
    <t>22260</t>
  </si>
  <si>
    <t>22261</t>
  </si>
  <si>
    <t>22268</t>
  </si>
  <si>
    <t>22295</t>
  </si>
  <si>
    <t>22302</t>
  </si>
  <si>
    <t>22303</t>
  </si>
  <si>
    <t>22304</t>
  </si>
  <si>
    <t>22307</t>
  </si>
  <si>
    <t>22308</t>
  </si>
  <si>
    <t>22309</t>
  </si>
  <si>
    <t>22311</t>
  </si>
  <si>
    <t>22312</t>
  </si>
  <si>
    <t>22313</t>
  </si>
  <si>
    <t>22315</t>
  </si>
  <si>
    <t>22328</t>
  </si>
  <si>
    <t>22330</t>
  </si>
  <si>
    <t>22331</t>
  </si>
  <si>
    <t>22334</t>
  </si>
  <si>
    <t>22335</t>
  </si>
  <si>
    <t>22336</t>
  </si>
  <si>
    <t>22338</t>
  </si>
  <si>
    <t>22339</t>
  </si>
  <si>
    <t>22340</t>
  </si>
  <si>
    <t>22341</t>
  </si>
  <si>
    <t>22342</t>
  </si>
  <si>
    <t>22345</t>
  </si>
  <si>
    <t>22348</t>
  </si>
  <si>
    <t>22349</t>
  </si>
  <si>
    <t>22350</t>
  </si>
  <si>
    <t>22351</t>
  </si>
  <si>
    <t>22354</t>
  </si>
  <si>
    <t>22363</t>
  </si>
  <si>
    <t>22366</t>
  </si>
  <si>
    <t>22370</t>
  </si>
  <si>
    <t>22371</t>
  </si>
  <si>
    <t>22372</t>
  </si>
  <si>
    <t>22374</t>
  </si>
  <si>
    <t>22378</t>
  </si>
  <si>
    <t>22386</t>
  </si>
  <si>
    <t>22388</t>
  </si>
  <si>
    <t>22391</t>
  </si>
  <si>
    <t>22392</t>
  </si>
  <si>
    <t>22398</t>
  </si>
  <si>
    <t>22399</t>
  </si>
  <si>
    <t>22405</t>
  </si>
  <si>
    <t>22408</t>
  </si>
  <si>
    <t>22409</t>
  </si>
  <si>
    <t>22418</t>
  </si>
  <si>
    <t>22422</t>
  </si>
  <si>
    <t>22423</t>
  </si>
  <si>
    <t>22425</t>
  </si>
  <si>
    <t>22427</t>
  </si>
  <si>
    <t>22431</t>
  </si>
  <si>
    <t>22438</t>
  </si>
  <si>
    <t>22439</t>
  </si>
  <si>
    <t>22441</t>
  </si>
  <si>
    <t>22443</t>
  </si>
  <si>
    <t>22445</t>
  </si>
  <si>
    <t>22446</t>
  </si>
  <si>
    <t>22447</t>
  </si>
  <si>
    <t>22450</t>
  </si>
  <si>
    <t>22451</t>
  </si>
  <si>
    <t>22454</t>
  </si>
  <si>
    <t>22455</t>
  </si>
  <si>
    <t>22456</t>
  </si>
  <si>
    <t>22457</t>
  </si>
  <si>
    <t>22458</t>
  </si>
  <si>
    <t>22459</t>
  </si>
  <si>
    <t>22461</t>
  </si>
  <si>
    <t>22462</t>
  </si>
  <si>
    <t>22463</t>
  </si>
  <si>
    <t>22464</t>
  </si>
  <si>
    <t>22466</t>
  </si>
  <si>
    <t>22467</t>
  </si>
  <si>
    <t>22470</t>
  </si>
  <si>
    <t>22479</t>
  </si>
  <si>
    <t>22481</t>
  </si>
  <si>
    <t>22482</t>
  </si>
  <si>
    <t>22483</t>
  </si>
  <si>
    <t>22485</t>
  </si>
  <si>
    <t>22487</t>
  </si>
  <si>
    <t>22488</t>
  </si>
  <si>
    <t>22505</t>
  </si>
  <si>
    <t>22508</t>
  </si>
  <si>
    <t>22512</t>
  </si>
  <si>
    <t>22513</t>
  </si>
  <si>
    <t>22514</t>
  </si>
  <si>
    <t>22515</t>
  </si>
  <si>
    <t>22516</t>
  </si>
  <si>
    <t>22522</t>
  </si>
  <si>
    <t>22524</t>
  </si>
  <si>
    <t>22525</t>
  </si>
  <si>
    <t>22528</t>
  </si>
  <si>
    <t>22530</t>
  </si>
  <si>
    <t>22532</t>
  </si>
  <si>
    <t>22535</t>
  </si>
  <si>
    <t>22537</t>
  </si>
  <si>
    <t>22538</t>
  </si>
  <si>
    <t>22541</t>
  </si>
  <si>
    <t>22543</t>
  </si>
  <si>
    <t>22546</t>
  </si>
  <si>
    <t>22556</t>
  </si>
  <si>
    <t>22570</t>
  </si>
  <si>
    <t>22573</t>
  </si>
  <si>
    <t>22576</t>
  </si>
  <si>
    <t>22578</t>
  </si>
  <si>
    <t>22579</t>
  </si>
  <si>
    <t>22581</t>
  </si>
  <si>
    <t>22583</t>
  </si>
  <si>
    <t>22584</t>
  </si>
  <si>
    <t>22586</t>
  </si>
  <si>
    <t>22587</t>
  </si>
  <si>
    <t>22590</t>
  </si>
  <si>
    <t>22593</t>
  </si>
  <si>
    <t>22594</t>
  </si>
  <si>
    <t>22603</t>
  </si>
  <si>
    <t>22605</t>
  </si>
  <si>
    <t>22607</t>
  </si>
  <si>
    <t>22609</t>
  </si>
  <si>
    <t>22610</t>
  </si>
  <si>
    <t>22620</t>
  </si>
  <si>
    <t>22626</t>
  </si>
  <si>
    <t>22629</t>
  </si>
  <si>
    <t>22630</t>
  </si>
  <si>
    <t>22631</t>
  </si>
  <si>
    <t>22632</t>
  </si>
  <si>
    <t>22633</t>
  </si>
  <si>
    <t>22634</t>
  </si>
  <si>
    <t>22635</t>
  </si>
  <si>
    <t>22636</t>
  </si>
  <si>
    <t>22638</t>
  </si>
  <si>
    <t>22640</t>
  </si>
  <si>
    <t>22642</t>
  </si>
  <si>
    <t>22645</t>
  </si>
  <si>
    <t>22647</t>
  </si>
  <si>
    <t>22648</t>
  </si>
  <si>
    <t>22651</t>
  </si>
  <si>
    <t>22652</t>
  </si>
  <si>
    <t>22666</t>
  </si>
  <si>
    <t>22674</t>
  </si>
  <si>
    <t>22677</t>
  </si>
  <si>
    <t>22712</t>
  </si>
  <si>
    <t>22717</t>
  </si>
  <si>
    <t>22733</t>
  </si>
  <si>
    <t>22744</t>
  </si>
  <si>
    <t>22745</t>
  </si>
  <si>
    <t>22766</t>
  </si>
  <si>
    <t>22771</t>
  </si>
  <si>
    <t>22775</t>
  </si>
  <si>
    <t>22777</t>
  </si>
  <si>
    <t>22789</t>
  </si>
  <si>
    <t>22790</t>
  </si>
  <si>
    <t>22791</t>
  </si>
  <si>
    <t>22792</t>
  </si>
  <si>
    <t>22793</t>
  </si>
  <si>
    <t>22831</t>
  </si>
  <si>
    <t>22834</t>
  </si>
  <si>
    <t>22842</t>
  </si>
  <si>
    <t>22846</t>
  </si>
  <si>
    <t>22847</t>
  </si>
  <si>
    <t>22849</t>
  </si>
  <si>
    <t>22851</t>
  </si>
  <si>
    <t>22854</t>
  </si>
  <si>
    <t>22856</t>
  </si>
  <si>
    <t>22859</t>
  </si>
  <si>
    <t>22864</t>
  </si>
  <si>
    <t>22867</t>
  </si>
  <si>
    <t>22869</t>
  </si>
  <si>
    <t>22870</t>
  </si>
  <si>
    <t>22872</t>
  </si>
  <si>
    <t>22873</t>
  </si>
  <si>
    <t>22874</t>
  </si>
  <si>
    <t>22876</t>
  </si>
  <si>
    <t>22877</t>
  </si>
  <si>
    <t>22879</t>
  </si>
  <si>
    <t>22887</t>
  </si>
  <si>
    <t>22938</t>
  </si>
  <si>
    <t>22965</t>
  </si>
  <si>
    <t>22967</t>
  </si>
  <si>
    <t>22978</t>
  </si>
  <si>
    <t>22989</t>
  </si>
  <si>
    <t>23002</t>
  </si>
  <si>
    <t>23004</t>
  </si>
  <si>
    <t>23005</t>
  </si>
  <si>
    <t>23006</t>
  </si>
  <si>
    <t>23008</t>
  </si>
  <si>
    <t>23010</t>
  </si>
  <si>
    <t>23016</t>
  </si>
  <si>
    <t>23017</t>
  </si>
  <si>
    <t>23018</t>
  </si>
  <si>
    <t>23020</t>
  </si>
  <si>
    <t>23027</t>
  </si>
  <si>
    <t>23033</t>
  </si>
  <si>
    <t>23054</t>
  </si>
  <si>
    <t>23055</t>
  </si>
  <si>
    <t>23057</t>
  </si>
  <si>
    <t>23059</t>
  </si>
  <si>
    <t>23060</t>
  </si>
  <si>
    <t>23062</t>
  </si>
  <si>
    <t>23128</t>
  </si>
  <si>
    <t>23130</t>
  </si>
  <si>
    <t>23137</t>
  </si>
  <si>
    <t>23138</t>
  </si>
  <si>
    <t>23143</t>
  </si>
  <si>
    <t>23144</t>
  </si>
  <si>
    <t>23146</t>
  </si>
  <si>
    <t>23149</t>
  </si>
  <si>
    <t>23150</t>
  </si>
  <si>
    <t>23151</t>
  </si>
  <si>
    <t>23152</t>
  </si>
  <si>
    <t>23155</t>
  </si>
  <si>
    <t>23156</t>
  </si>
  <si>
    <t>23158</t>
  </si>
  <si>
    <t>23160</t>
  </si>
  <si>
    <t>23161</t>
  </si>
  <si>
    <t>23170</t>
  </si>
  <si>
    <t>23175</t>
  </si>
  <si>
    <t>23176</t>
  </si>
  <si>
    <t>23177</t>
  </si>
  <si>
    <t>23178</t>
  </si>
  <si>
    <t>23179</t>
  </si>
  <si>
    <t>23180</t>
  </si>
  <si>
    <t>23181</t>
  </si>
  <si>
    <t>23182</t>
  </si>
  <si>
    <t>23185</t>
  </si>
  <si>
    <t>23186</t>
  </si>
  <si>
    <t>23187</t>
  </si>
  <si>
    <t>23188</t>
  </si>
  <si>
    <t>23195</t>
  </si>
  <si>
    <t>23196</t>
  </si>
  <si>
    <t>23198</t>
  </si>
  <si>
    <t>23202</t>
  </si>
  <si>
    <t>23214</t>
  </si>
  <si>
    <t>23246</t>
  </si>
  <si>
    <t>23336</t>
  </si>
  <si>
    <t>23337</t>
  </si>
  <si>
    <t>23338</t>
  </si>
  <si>
    <t>23340</t>
  </si>
  <si>
    <t>23341</t>
  </si>
  <si>
    <t>23343</t>
  </si>
  <si>
    <t>23344</t>
  </si>
  <si>
    <t>23346</t>
  </si>
  <si>
    <t>23353</t>
  </si>
  <si>
    <t>23364</t>
  </si>
  <si>
    <t>23365</t>
  </si>
  <si>
    <t>23367</t>
  </si>
  <si>
    <t>23368</t>
  </si>
  <si>
    <t>23372</t>
  </si>
  <si>
    <t>23373</t>
  </si>
  <si>
    <t>23374</t>
  </si>
  <si>
    <t>23375</t>
  </si>
  <si>
    <t>23379</t>
  </si>
  <si>
    <t>23381</t>
  </si>
  <si>
    <t>23382</t>
  </si>
  <si>
    <t>23384</t>
  </si>
  <si>
    <t>23385</t>
  </si>
  <si>
    <t>23523</t>
  </si>
  <si>
    <t>23537</t>
  </si>
  <si>
    <t>23538</t>
  </si>
  <si>
    <t>23545</t>
  </si>
  <si>
    <t>23547</t>
  </si>
  <si>
    <t>23548</t>
  </si>
  <si>
    <t>23557</t>
  </si>
  <si>
    <t>23568</t>
  </si>
  <si>
    <t>23571</t>
  </si>
  <si>
    <t>23574</t>
  </si>
  <si>
    <t>23576</t>
  </si>
  <si>
    <t>23578</t>
  </si>
  <si>
    <t>23580</t>
  </si>
  <si>
    <t>23582</t>
  </si>
  <si>
    <t>23585</t>
  </si>
  <si>
    <t>23593</t>
  </si>
  <si>
    <t>23594</t>
  </si>
  <si>
    <t>23595</t>
  </si>
  <si>
    <t>23596</t>
  </si>
  <si>
    <t>23597</t>
  </si>
  <si>
    <t>23598</t>
  </si>
  <si>
    <t>23600</t>
  </si>
  <si>
    <t>23603</t>
  </si>
  <si>
    <t>23610</t>
  </si>
  <si>
    <t>23626</t>
  </si>
  <si>
    <t>23633</t>
  </si>
  <si>
    <t>23634</t>
  </si>
  <si>
    <t>23638</t>
  </si>
  <si>
    <t>23639</t>
  </si>
  <si>
    <t>23640</t>
  </si>
  <si>
    <t>23642</t>
  </si>
  <si>
    <t>23643</t>
  </si>
  <si>
    <t>23655</t>
  </si>
  <si>
    <t>23657</t>
  </si>
  <si>
    <t>23659</t>
  </si>
  <si>
    <t>23660</t>
  </si>
  <si>
    <t>23663</t>
  </si>
  <si>
    <t>23664</t>
  </si>
  <si>
    <t>23666</t>
  </si>
  <si>
    <t>23673</t>
  </si>
  <si>
    <t>23674</t>
  </si>
  <si>
    <t>23676</t>
  </si>
  <si>
    <t>23680</t>
  </si>
  <si>
    <t>23681</t>
  </si>
  <si>
    <t>23684</t>
  </si>
  <si>
    <t>23691</t>
  </si>
  <si>
    <t>23692</t>
  </si>
  <si>
    <t>23702</t>
  </si>
  <si>
    <t>23732</t>
  </si>
  <si>
    <t>23740</t>
  </si>
  <si>
    <t>23745</t>
  </si>
  <si>
    <t>23746</t>
  </si>
  <si>
    <t>23749</t>
  </si>
  <si>
    <t>23750</t>
  </si>
  <si>
    <t>23752</t>
  </si>
  <si>
    <t>23753</t>
  </si>
  <si>
    <t>23754</t>
  </si>
  <si>
    <t>23755</t>
  </si>
  <si>
    <t>23756</t>
  </si>
  <si>
    <t>23758</t>
  </si>
  <si>
    <t>23759</t>
  </si>
  <si>
    <t>23787</t>
  </si>
  <si>
    <t>23788</t>
  </si>
  <si>
    <t>23789</t>
  </si>
  <si>
    <t>23792</t>
  </si>
  <si>
    <t>23794</t>
  </si>
  <si>
    <t>23798</t>
  </si>
  <si>
    <t>23800</t>
  </si>
  <si>
    <t>23815</t>
  </si>
  <si>
    <t>23972</t>
  </si>
  <si>
    <t>23983</t>
  </si>
  <si>
    <t>23985</t>
  </si>
  <si>
    <t>23989</t>
  </si>
  <si>
    <t>23991</t>
  </si>
  <si>
    <t>23995</t>
  </si>
  <si>
    <t>24001</t>
  </si>
  <si>
    <t>24003</t>
  </si>
  <si>
    <t>24006</t>
  </si>
  <si>
    <t>24008</t>
  </si>
  <si>
    <t>24018</t>
  </si>
  <si>
    <t>24024</t>
  </si>
  <si>
    <t>24025</t>
  </si>
  <si>
    <t>24028</t>
  </si>
  <si>
    <t>24030</t>
  </si>
  <si>
    <t>24032</t>
  </si>
  <si>
    <t>24034</t>
  </si>
  <si>
    <t>24036</t>
  </si>
  <si>
    <t>24037</t>
  </si>
  <si>
    <t>24038</t>
  </si>
  <si>
    <t>24040</t>
  </si>
  <si>
    <t>24042</t>
  </si>
  <si>
    <t>24044</t>
  </si>
  <si>
    <t>24047</t>
  </si>
  <si>
    <t>24050</t>
  </si>
  <si>
    <t>24053</t>
  </si>
  <si>
    <t>24111</t>
  </si>
  <si>
    <t>24115</t>
  </si>
  <si>
    <t>24181</t>
  </si>
  <si>
    <t>24186</t>
  </si>
  <si>
    <t>24189</t>
  </si>
  <si>
    <t>24190</t>
  </si>
  <si>
    <t>24191</t>
  </si>
  <si>
    <t>24192</t>
  </si>
  <si>
    <t>24193</t>
  </si>
  <si>
    <t>24206</t>
  </si>
  <si>
    <t>24223</t>
  </si>
  <si>
    <t>24224</t>
  </si>
  <si>
    <t>24225</t>
  </si>
  <si>
    <t>24234</t>
  </si>
  <si>
    <t>24239</t>
  </si>
  <si>
    <t>24242</t>
  </si>
  <si>
    <t>24243</t>
  </si>
  <si>
    <t>24244</t>
  </si>
  <si>
    <t>24245</t>
  </si>
  <si>
    <t>24247</t>
  </si>
  <si>
    <t>24248</t>
  </si>
  <si>
    <t>24249</t>
  </si>
  <si>
    <t>24251</t>
  </si>
  <si>
    <t>24253</t>
  </si>
  <si>
    <t>24254</t>
  </si>
  <si>
    <t>24255</t>
  </si>
  <si>
    <t>24258</t>
  </si>
  <si>
    <t>24260</t>
  </si>
  <si>
    <t>24263</t>
  </si>
  <si>
    <t>24264</t>
  </si>
  <si>
    <t>24266</t>
  </si>
  <si>
    <t>24267</t>
  </si>
  <si>
    <t>24268</t>
  </si>
  <si>
    <t>24269</t>
  </si>
  <si>
    <t>24272</t>
  </si>
  <si>
    <t>24274</t>
  </si>
  <si>
    <t>24275</t>
  </si>
  <si>
    <t>24280</t>
  </si>
  <si>
    <t>24283</t>
  </si>
  <si>
    <t>24284</t>
  </si>
  <si>
    <t>24286</t>
  </si>
  <si>
    <t>24288</t>
  </si>
  <si>
    <t>24291</t>
  </si>
  <si>
    <t>24343</t>
  </si>
  <si>
    <t>24346</t>
  </si>
  <si>
    <t>24347</t>
  </si>
  <si>
    <t>24348</t>
  </si>
  <si>
    <t>24349</t>
  </si>
  <si>
    <t>24350</t>
  </si>
  <si>
    <t>24352</t>
  </si>
  <si>
    <t>24354</t>
  </si>
  <si>
    <t>24355</t>
  </si>
  <si>
    <t>24356</t>
  </si>
  <si>
    <t>24358</t>
  </si>
  <si>
    <t>24362</t>
  </si>
  <si>
    <t>24363</t>
  </si>
  <si>
    <t>24364</t>
  </si>
  <si>
    <t>24366</t>
  </si>
  <si>
    <t>24370</t>
  </si>
  <si>
    <t>24374</t>
  </si>
  <si>
    <t>24375</t>
  </si>
  <si>
    <t>24378</t>
  </si>
  <si>
    <t>24381</t>
  </si>
  <si>
    <t>24382</t>
  </si>
  <si>
    <t>24383</t>
  </si>
  <si>
    <t>24384</t>
  </si>
  <si>
    <t>24386</t>
  </si>
  <si>
    <t>24390</t>
  </si>
  <si>
    <t>24407</t>
  </si>
  <si>
    <t>24433</t>
  </si>
  <si>
    <t>24441</t>
  </si>
  <si>
    <t>24465</t>
  </si>
  <si>
    <t>24495</t>
  </si>
  <si>
    <t>24500</t>
  </si>
  <si>
    <t>24503</t>
  </si>
  <si>
    <t>24505</t>
  </si>
  <si>
    <t>24514</t>
  </si>
  <si>
    <t>24517</t>
  </si>
  <si>
    <t>24524</t>
  </si>
  <si>
    <t>24528</t>
  </si>
  <si>
    <t>24532</t>
  </si>
  <si>
    <t>24533</t>
  </si>
  <si>
    <t>24538</t>
  </si>
  <si>
    <t>24540</t>
  </si>
  <si>
    <t>24541</t>
  </si>
  <si>
    <t>24542</t>
  </si>
  <si>
    <t>24544</t>
  </si>
  <si>
    <t>24545</t>
  </si>
  <si>
    <t>24547</t>
  </si>
  <si>
    <t>24549</t>
  </si>
  <si>
    <t>24550</t>
  </si>
  <si>
    <t>24551</t>
  </si>
  <si>
    <t>24552</t>
  </si>
  <si>
    <t>24553</t>
  </si>
  <si>
    <t>24560</t>
  </si>
  <si>
    <t>24561</t>
  </si>
  <si>
    <t>24562</t>
  </si>
  <si>
    <t>24563</t>
  </si>
  <si>
    <t>24564</t>
  </si>
  <si>
    <t>24565</t>
  </si>
  <si>
    <t>24568</t>
  </si>
  <si>
    <t>24574</t>
  </si>
  <si>
    <t>24575</t>
  </si>
  <si>
    <t>24578</t>
  </si>
  <si>
    <t>24582</t>
  </si>
  <si>
    <t>24602</t>
  </si>
  <si>
    <t>24605</t>
  </si>
  <si>
    <t>24608</t>
  </si>
  <si>
    <t>24610</t>
  </si>
  <si>
    <t>24614</t>
  </si>
  <si>
    <t>24615</t>
  </si>
  <si>
    <t>24616</t>
  </si>
  <si>
    <t>24618</t>
  </si>
  <si>
    <t>24620</t>
  </si>
  <si>
    <t>24621</t>
  </si>
  <si>
    <t>24623</t>
  </si>
  <si>
    <t>24624</t>
  </si>
  <si>
    <t>24625</t>
  </si>
  <si>
    <t>24630</t>
  </si>
  <si>
    <t>24631</t>
  </si>
  <si>
    <t>24632</t>
  </si>
  <si>
    <t>24633</t>
  </si>
  <si>
    <t>24634</t>
  </si>
  <si>
    <t>24640</t>
  </si>
  <si>
    <t>24650</t>
  </si>
  <si>
    <t>24652</t>
  </si>
  <si>
    <t>24653</t>
  </si>
  <si>
    <t>24664</t>
  </si>
  <si>
    <t>24677</t>
  </si>
  <si>
    <t>24678</t>
  </si>
  <si>
    <t>24692</t>
  </si>
  <si>
    <t>24710</t>
  </si>
  <si>
    <t>24713</t>
  </si>
  <si>
    <t>24714</t>
  </si>
  <si>
    <t>24715</t>
  </si>
  <si>
    <t>24718</t>
  </si>
  <si>
    <t>24719</t>
  </si>
  <si>
    <t>24721</t>
  </si>
  <si>
    <t>24722</t>
  </si>
  <si>
    <t>24724</t>
  </si>
  <si>
    <t>24725</t>
  </si>
  <si>
    <t>24726</t>
  </si>
  <si>
    <t>24731</t>
  </si>
  <si>
    <t>24732</t>
  </si>
  <si>
    <t>24733</t>
  </si>
  <si>
    <t>24734</t>
  </si>
  <si>
    <t>24735</t>
  </si>
  <si>
    <t>24739</t>
  </si>
  <si>
    <t>24741</t>
  </si>
  <si>
    <t>24742</t>
  </si>
  <si>
    <t>24744</t>
  </si>
  <si>
    <t>24745</t>
  </si>
  <si>
    <t>24746</t>
  </si>
  <si>
    <t>24747</t>
  </si>
  <si>
    <t>24748</t>
  </si>
  <si>
    <t>24749</t>
  </si>
  <si>
    <t>24751</t>
  </si>
  <si>
    <t>24753</t>
  </si>
  <si>
    <t>24754</t>
  </si>
  <si>
    <t>24764</t>
  </si>
  <si>
    <t>24765</t>
  </si>
  <si>
    <t>24767</t>
  </si>
  <si>
    <t>24768</t>
  </si>
  <si>
    <t>24772</t>
  </si>
  <si>
    <t>24773</t>
  </si>
  <si>
    <t>24775</t>
  </si>
  <si>
    <t>24776</t>
  </si>
  <si>
    <t>24777</t>
  </si>
  <si>
    <t>24780</t>
  </si>
  <si>
    <t>24784</t>
  </si>
  <si>
    <t>24788</t>
  </si>
  <si>
    <t>24798</t>
  </si>
  <si>
    <t>24801</t>
  </si>
  <si>
    <t>24809</t>
  </si>
  <si>
    <t>24813</t>
  </si>
  <si>
    <t>24881</t>
  </si>
  <si>
    <t>24883</t>
  </si>
  <si>
    <t>24884</t>
  </si>
  <si>
    <t>24885</t>
  </si>
  <si>
    <t>24886</t>
  </si>
  <si>
    <t>24887</t>
  </si>
  <si>
    <t>24888</t>
  </si>
  <si>
    <t>24889</t>
  </si>
  <si>
    <t>24890</t>
  </si>
  <si>
    <t>24896</t>
  </si>
  <si>
    <t>24899</t>
  </si>
  <si>
    <t>24901</t>
  </si>
  <si>
    <t>24903</t>
  </si>
  <si>
    <t>24910</t>
  </si>
  <si>
    <t>24914</t>
  </si>
  <si>
    <t>24916</t>
  </si>
  <si>
    <t>24924</t>
  </si>
  <si>
    <t>24935</t>
  </si>
  <si>
    <t>24936</t>
  </si>
  <si>
    <t>24938</t>
  </si>
  <si>
    <t>24940</t>
  </si>
  <si>
    <t>24942</t>
  </si>
  <si>
    <t>24944</t>
  </si>
  <si>
    <t>24945</t>
  </si>
  <si>
    <t>24949</t>
  </si>
  <si>
    <t>24951</t>
  </si>
  <si>
    <t>24997</t>
  </si>
  <si>
    <t>24999</t>
  </si>
  <si>
    <t>25003</t>
  </si>
  <si>
    <t>25004</t>
  </si>
  <si>
    <t>25009</t>
  </si>
  <si>
    <t>25010</t>
  </si>
  <si>
    <t>25012</t>
  </si>
  <si>
    <t>25015</t>
  </si>
  <si>
    <t>25016</t>
  </si>
  <si>
    <t>25019</t>
  </si>
  <si>
    <t>25023</t>
  </si>
  <si>
    <t>25025</t>
  </si>
  <si>
    <t>25026</t>
  </si>
  <si>
    <t>25053</t>
  </si>
  <si>
    <t>25055</t>
  </si>
  <si>
    <t>25059</t>
  </si>
  <si>
    <t>25060</t>
  </si>
  <si>
    <t>25062</t>
  </si>
  <si>
    <t>25063</t>
  </si>
  <si>
    <t>25065</t>
  </si>
  <si>
    <t>25068</t>
  </si>
  <si>
    <t>25075</t>
  </si>
  <si>
    <t>25084</t>
  </si>
  <si>
    <t>25091</t>
  </si>
  <si>
    <t>25093</t>
  </si>
  <si>
    <t>25097</t>
  </si>
  <si>
    <t>25148</t>
  </si>
  <si>
    <t>25166</t>
  </si>
  <si>
    <t>25167</t>
  </si>
  <si>
    <t>25168</t>
  </si>
  <si>
    <t>25169</t>
  </si>
  <si>
    <t>25172</t>
  </si>
  <si>
    <t>25173</t>
  </si>
  <si>
    <t>25174</t>
  </si>
  <si>
    <t>25175</t>
  </si>
  <si>
    <t>25176</t>
  </si>
  <si>
    <t>25177</t>
  </si>
  <si>
    <t>25179</t>
  </si>
  <si>
    <t>25181</t>
  </si>
  <si>
    <t>25186</t>
  </si>
  <si>
    <t>25189</t>
  </si>
  <si>
    <t>25191</t>
  </si>
  <si>
    <t>25192</t>
  </si>
  <si>
    <t>25196</t>
  </si>
  <si>
    <t>25216</t>
  </si>
  <si>
    <t>25222</t>
  </si>
  <si>
    <t>25237</t>
  </si>
  <si>
    <t>25238</t>
  </si>
  <si>
    <t>25243</t>
  </si>
  <si>
    <t>25253</t>
  </si>
  <si>
    <t>25254</t>
  </si>
  <si>
    <t>25255</t>
  </si>
  <si>
    <t>25256</t>
  </si>
  <si>
    <t>25266</t>
  </si>
  <si>
    <t>25267</t>
  </si>
  <si>
    <t>25269</t>
  </si>
  <si>
    <t>25270</t>
  </si>
  <si>
    <t>25323</t>
  </si>
  <si>
    <t>25324</t>
  </si>
  <si>
    <t>25327</t>
  </si>
  <si>
    <t>25329</t>
  </si>
  <si>
    <t>25333</t>
  </si>
  <si>
    <t>25335</t>
  </si>
  <si>
    <t>25336</t>
  </si>
  <si>
    <t>25337</t>
  </si>
  <si>
    <t>25338</t>
  </si>
  <si>
    <t>25345</t>
  </si>
  <si>
    <t>25348</t>
  </si>
  <si>
    <t>25349</t>
  </si>
  <si>
    <t>25357</t>
  </si>
  <si>
    <t>25360</t>
  </si>
  <si>
    <t>25362</t>
  </si>
  <si>
    <t>25366</t>
  </si>
  <si>
    <t>25367</t>
  </si>
  <si>
    <t>25477</t>
  </si>
  <si>
    <t>25479</t>
  </si>
  <si>
    <t>25481</t>
  </si>
  <si>
    <t>25482</t>
  </si>
  <si>
    <t>25487</t>
  </si>
  <si>
    <t>25488</t>
  </si>
  <si>
    <t>25492</t>
  </si>
  <si>
    <t>25493</t>
  </si>
  <si>
    <t>25496</t>
  </si>
  <si>
    <t>25497</t>
  </si>
  <si>
    <t>25501</t>
  </si>
  <si>
    <t>25505</t>
  </si>
  <si>
    <t>25507</t>
  </si>
  <si>
    <t>25509</t>
  </si>
  <si>
    <t>25511</t>
  </si>
  <si>
    <t>25516</t>
  </si>
  <si>
    <t>25517</t>
  </si>
  <si>
    <t>25518</t>
  </si>
  <si>
    <t>25519</t>
  </si>
  <si>
    <t>25520</t>
  </si>
  <si>
    <t>25521</t>
  </si>
  <si>
    <t>25522</t>
  </si>
  <si>
    <t>25526</t>
  </si>
  <si>
    <t>25530</t>
  </si>
  <si>
    <t>25538</t>
  </si>
  <si>
    <t>25553</t>
  </si>
  <si>
    <t>25555</t>
  </si>
  <si>
    <t>25611</t>
  </si>
  <si>
    <t>25612</t>
  </si>
  <si>
    <t>25613</t>
  </si>
  <si>
    <t>25614</t>
  </si>
  <si>
    <t>25615</t>
  </si>
  <si>
    <t>25616</t>
  </si>
  <si>
    <t>25617</t>
  </si>
  <si>
    <t>25620</t>
  </si>
  <si>
    <t>25624</t>
  </si>
  <si>
    <t>25626</t>
  </si>
  <si>
    <t>25627</t>
  </si>
  <si>
    <t>25629</t>
  </si>
  <si>
    <t>25630</t>
  </si>
  <si>
    <t>25632</t>
  </si>
  <si>
    <t>25633</t>
  </si>
  <si>
    <t>25635</t>
  </si>
  <si>
    <t>25636</t>
  </si>
  <si>
    <t>25637</t>
  </si>
  <si>
    <t>25638</t>
  </si>
  <si>
    <t>25641</t>
  </si>
  <si>
    <t>25644</t>
  </si>
  <si>
    <t>25747</t>
  </si>
  <si>
    <t>25750</t>
  </si>
  <si>
    <t>25752</t>
  </si>
  <si>
    <t>25754</t>
  </si>
  <si>
    <t>25789</t>
  </si>
  <si>
    <t>25790</t>
  </si>
  <si>
    <t>25791</t>
  </si>
  <si>
    <t>25793</t>
  </si>
  <si>
    <t>25794</t>
  </si>
  <si>
    <t>25795</t>
  </si>
  <si>
    <t>25796</t>
  </si>
  <si>
    <t>25797</t>
  </si>
  <si>
    <t>25802</t>
  </si>
  <si>
    <t>25803</t>
  </si>
  <si>
    <t>25804</t>
  </si>
  <si>
    <t>25805</t>
  </si>
  <si>
    <t>25806</t>
  </si>
  <si>
    <t>25807</t>
  </si>
  <si>
    <t>25809</t>
  </si>
  <si>
    <t>25811</t>
  </si>
  <si>
    <t>25812</t>
  </si>
  <si>
    <t>25813</t>
  </si>
  <si>
    <t>25814</t>
  </si>
  <si>
    <t>25815</t>
  </si>
  <si>
    <t>25818</t>
  </si>
  <si>
    <t>25820</t>
  </si>
  <si>
    <t>25841</t>
  </si>
  <si>
    <t>25851</t>
  </si>
  <si>
    <t>25856</t>
  </si>
  <si>
    <t>25865</t>
  </si>
  <si>
    <t>25866</t>
  </si>
  <si>
    <t>25867</t>
  </si>
  <si>
    <t>25876</t>
  </si>
  <si>
    <t>25902</t>
  </si>
  <si>
    <t>25903</t>
  </si>
  <si>
    <t>25906</t>
  </si>
  <si>
    <t>25907</t>
  </si>
  <si>
    <t>25909</t>
  </si>
  <si>
    <t>25912</t>
  </si>
  <si>
    <t>25914</t>
  </si>
  <si>
    <t>25916</t>
  </si>
  <si>
    <t>25922</t>
  </si>
  <si>
    <t>25923</t>
  </si>
  <si>
    <t>25936</t>
  </si>
  <si>
    <t>25939</t>
  </si>
  <si>
    <t>25944</t>
  </si>
  <si>
    <t>25947</t>
  </si>
  <si>
    <t>25948</t>
  </si>
  <si>
    <t>25949</t>
  </si>
  <si>
    <t>25955</t>
  </si>
  <si>
    <t>25963</t>
  </si>
  <si>
    <t>25994</t>
  </si>
  <si>
    <t>26036</t>
  </si>
  <si>
    <t>26037</t>
  </si>
  <si>
    <t>26038</t>
  </si>
  <si>
    <t>26039</t>
  </si>
  <si>
    <t>26040</t>
  </si>
  <si>
    <t>26067</t>
  </si>
  <si>
    <t>26072</t>
  </si>
  <si>
    <t>26077</t>
  </si>
  <si>
    <t>26082</t>
  </si>
  <si>
    <t>26085</t>
  </si>
  <si>
    <t>26101</t>
  </si>
  <si>
    <t>26620</t>
  </si>
  <si>
    <t>26623</t>
  </si>
  <si>
    <t>26646</t>
  </si>
  <si>
    <t>26647</t>
  </si>
  <si>
    <t>26743</t>
  </si>
  <si>
    <t>26744</t>
  </si>
  <si>
    <t>26745</t>
  </si>
  <si>
    <t>26747</t>
  </si>
  <si>
    <t>26748</t>
  </si>
  <si>
    <t>26749</t>
  </si>
  <si>
    <t>26751</t>
  </si>
  <si>
    <t>26763</t>
  </si>
  <si>
    <t>26765</t>
  </si>
  <si>
    <t>26768</t>
  </si>
  <si>
    <t>26771</t>
  </si>
  <si>
    <t>26777</t>
  </si>
  <si>
    <t>26795</t>
  </si>
  <si>
    <t>26798</t>
  </si>
  <si>
    <t>26800</t>
  </si>
  <si>
    <t>26809</t>
  </si>
  <si>
    <t>26889</t>
  </si>
  <si>
    <t>26893</t>
  </si>
  <si>
    <t>26897</t>
  </si>
  <si>
    <t>26898</t>
  </si>
  <si>
    <t>26899</t>
  </si>
  <si>
    <t>26900</t>
  </si>
  <si>
    <t>26901</t>
  </si>
  <si>
    <t>26911</t>
  </si>
  <si>
    <t>26912</t>
  </si>
  <si>
    <t>26913</t>
  </si>
  <si>
    <t>26914</t>
  </si>
  <si>
    <t>26915</t>
  </si>
  <si>
    <t>26916</t>
  </si>
  <si>
    <t>26917</t>
  </si>
  <si>
    <t>26919</t>
  </si>
  <si>
    <t>26924</t>
  </si>
  <si>
    <t>26925</t>
  </si>
  <si>
    <t>26926</t>
  </si>
  <si>
    <t>26927</t>
  </si>
  <si>
    <t>26928</t>
  </si>
  <si>
    <t>26929</t>
  </si>
  <si>
    <t>26932</t>
  </si>
  <si>
    <t>26939</t>
  </si>
  <si>
    <t>26941</t>
  </si>
  <si>
    <t>26964</t>
  </si>
  <si>
    <t>26965</t>
  </si>
  <si>
    <t>26968</t>
  </si>
  <si>
    <t>26974</t>
  </si>
  <si>
    <t>26977</t>
  </si>
  <si>
    <t>26984</t>
  </si>
  <si>
    <t>26985</t>
  </si>
  <si>
    <t>26988</t>
  </si>
  <si>
    <t>26989</t>
  </si>
  <si>
    <t>27028</t>
  </si>
  <si>
    <t>27031</t>
  </si>
  <si>
    <t>27032</t>
  </si>
  <si>
    <t>27035</t>
  </si>
  <si>
    <t>27047</t>
  </si>
  <si>
    <t>27050</t>
  </si>
  <si>
    <t>27056</t>
  </si>
  <si>
    <t>27058</t>
  </si>
  <si>
    <t>27061</t>
  </si>
  <si>
    <t>27065</t>
  </si>
  <si>
    <t>27067</t>
  </si>
  <si>
    <t>27069</t>
  </si>
  <si>
    <t>27070</t>
  </si>
  <si>
    <t>27075</t>
  </si>
  <si>
    <t>27076</t>
  </si>
  <si>
    <t>27080</t>
  </si>
  <si>
    <t>27081</t>
  </si>
  <si>
    <t>27082</t>
  </si>
  <si>
    <t>27090</t>
  </si>
  <si>
    <t>27091</t>
  </si>
  <si>
    <t>27093</t>
  </si>
  <si>
    <t>27097</t>
  </si>
  <si>
    <t>27098</t>
  </si>
  <si>
    <t>27099</t>
  </si>
  <si>
    <t>27100</t>
  </si>
  <si>
    <t>27101</t>
  </si>
  <si>
    <t>27102</t>
  </si>
  <si>
    <t>27104</t>
  </si>
  <si>
    <t>27107</t>
  </si>
  <si>
    <t>27109</t>
  </si>
  <si>
    <t>27145</t>
  </si>
  <si>
    <t>27147</t>
  </si>
  <si>
    <t>27174</t>
  </si>
  <si>
    <t>27177</t>
  </si>
  <si>
    <t>27213</t>
  </si>
  <si>
    <t>27219</t>
  </si>
  <si>
    <t>27235</t>
  </si>
  <si>
    <t>27238</t>
  </si>
  <si>
    <t>27239</t>
  </si>
  <si>
    <t>27241</t>
  </si>
  <si>
    <t>27242</t>
  </si>
  <si>
    <t>27246</t>
  </si>
  <si>
    <t>27249</t>
  </si>
  <si>
    <t>27253</t>
  </si>
  <si>
    <t>27256</t>
  </si>
  <si>
    <t>27257</t>
  </si>
  <si>
    <t>27259</t>
  </si>
  <si>
    <t>27402</t>
  </si>
  <si>
    <t>27404</t>
  </si>
  <si>
    <t>27408</t>
  </si>
  <si>
    <t>27409</t>
  </si>
  <si>
    <t>27413</t>
  </si>
  <si>
    <t>27422</t>
  </si>
  <si>
    <t>27433</t>
  </si>
  <si>
    <t>27434</t>
  </si>
  <si>
    <t>27436</t>
  </si>
  <si>
    <t>27438</t>
  </si>
  <si>
    <t>27442</t>
  </si>
  <si>
    <t>27455</t>
  </si>
  <si>
    <t>27456</t>
  </si>
  <si>
    <t>27458</t>
  </si>
  <si>
    <t>27462</t>
  </si>
  <si>
    <t>27467</t>
  </si>
  <si>
    <t>27470</t>
  </si>
  <si>
    <t>27471</t>
  </si>
  <si>
    <t>27474</t>
  </si>
  <si>
    <t>27475</t>
  </si>
  <si>
    <t>27476</t>
  </si>
  <si>
    <t>27478</t>
  </si>
  <si>
    <t>27479</t>
  </si>
  <si>
    <t>27482</t>
  </si>
  <si>
    <t>27485</t>
  </si>
  <si>
    <t>27486</t>
  </si>
  <si>
    <t>27487</t>
  </si>
  <si>
    <t>27492</t>
  </si>
  <si>
    <t>27649</t>
  </si>
  <si>
    <t>27650</t>
  </si>
  <si>
    <t>27651</t>
  </si>
  <si>
    <t>27652</t>
  </si>
  <si>
    <t>27653</t>
  </si>
  <si>
    <t>27654</t>
  </si>
  <si>
    <t>27656</t>
  </si>
  <si>
    <t>27657</t>
  </si>
  <si>
    <t>27658</t>
  </si>
  <si>
    <t>27659</t>
  </si>
  <si>
    <t>27661</t>
  </si>
  <si>
    <t>27664</t>
  </si>
  <si>
    <t>27665</t>
  </si>
  <si>
    <t>27667</t>
  </si>
  <si>
    <t>27669</t>
  </si>
  <si>
    <t>27670</t>
  </si>
  <si>
    <t>27672</t>
  </si>
  <si>
    <t>27673</t>
  </si>
  <si>
    <t>27677</t>
  </si>
  <si>
    <t>27684</t>
  </si>
  <si>
    <t>27685</t>
  </si>
  <si>
    <t>27687</t>
  </si>
  <si>
    <t>27688</t>
  </si>
  <si>
    <t>27691</t>
  </si>
  <si>
    <t>27693</t>
  </si>
  <si>
    <t>27694</t>
  </si>
  <si>
    <t>27695</t>
  </si>
  <si>
    <t>27697</t>
  </si>
  <si>
    <t>27700</t>
  </si>
  <si>
    <t>27701</t>
  </si>
  <si>
    <t>27702</t>
  </si>
  <si>
    <t>27727</t>
  </si>
  <si>
    <t>27733</t>
  </si>
  <si>
    <t>27777</t>
  </si>
  <si>
    <t>27827</t>
  </si>
  <si>
    <t>27837</t>
  </si>
  <si>
    <t>27840</t>
  </si>
  <si>
    <t>27852</t>
  </si>
  <si>
    <t>27855</t>
  </si>
  <si>
    <t>27954</t>
  </si>
  <si>
    <t>27959</t>
  </si>
  <si>
    <t>27960</t>
  </si>
  <si>
    <t>27965</t>
  </si>
  <si>
    <t>27967</t>
  </si>
  <si>
    <t>27972</t>
  </si>
  <si>
    <t>27975</t>
  </si>
  <si>
    <t>27987</t>
  </si>
  <si>
    <t>27993</t>
  </si>
  <si>
    <t>28005</t>
  </si>
  <si>
    <t>28007</t>
  </si>
  <si>
    <t>28017</t>
  </si>
  <si>
    <t>28020</t>
  </si>
  <si>
    <t>28026</t>
  </si>
  <si>
    <t>28033</t>
  </si>
  <si>
    <t>28035</t>
  </si>
  <si>
    <t>28036</t>
  </si>
  <si>
    <t>28042</t>
  </si>
  <si>
    <t>28043</t>
  </si>
  <si>
    <t>28045</t>
  </si>
  <si>
    <t>28046</t>
  </si>
  <si>
    <t>28048</t>
  </si>
  <si>
    <t>28049</t>
  </si>
  <si>
    <t>28054</t>
  </si>
  <si>
    <t>28056</t>
  </si>
  <si>
    <t>28057</t>
  </si>
  <si>
    <t>28059</t>
  </si>
  <si>
    <t>28065</t>
  </si>
  <si>
    <t>28066</t>
  </si>
  <si>
    <t>28068</t>
  </si>
  <si>
    <t>28070</t>
  </si>
  <si>
    <t>28071</t>
  </si>
  <si>
    <t>28073</t>
  </si>
  <si>
    <t>28079</t>
  </si>
  <si>
    <t>28081</t>
  </si>
  <si>
    <t>28086</t>
  </si>
  <si>
    <t>28091</t>
  </si>
  <si>
    <t>28094</t>
  </si>
  <si>
    <t>28097</t>
  </si>
  <si>
    <t>28099</t>
  </si>
  <si>
    <t>28100</t>
  </si>
  <si>
    <t>28101</t>
  </si>
  <si>
    <t>28102</t>
  </si>
  <si>
    <t>28105</t>
  </si>
  <si>
    <t>28107</t>
  </si>
  <si>
    <t>28109</t>
  </si>
  <si>
    <t>28116</t>
  </si>
  <si>
    <t>28117</t>
  </si>
  <si>
    <t>28118</t>
  </si>
  <si>
    <t>28119</t>
  </si>
  <si>
    <t>28120</t>
  </si>
  <si>
    <t>28121</t>
  </si>
  <si>
    <t>28122</t>
  </si>
  <si>
    <t>28125</t>
  </si>
  <si>
    <t>28126</t>
  </si>
  <si>
    <t>28136</t>
  </si>
  <si>
    <t>28137</t>
  </si>
  <si>
    <t>28139</t>
  </si>
  <si>
    <t>28145</t>
  </si>
  <si>
    <t>28146</t>
  </si>
  <si>
    <t>28147</t>
  </si>
  <si>
    <t>28148</t>
  </si>
  <si>
    <t>28149</t>
  </si>
  <si>
    <t>28150</t>
  </si>
  <si>
    <t>28155</t>
  </si>
  <si>
    <t>28159</t>
  </si>
  <si>
    <t>28161</t>
  </si>
  <si>
    <t>28163</t>
  </si>
  <si>
    <t>28164</t>
  </si>
  <si>
    <t>28198</t>
  </si>
  <si>
    <t>28199</t>
  </si>
  <si>
    <t>28200</t>
  </si>
  <si>
    <t>28201</t>
  </si>
  <si>
    <t>28202</t>
  </si>
  <si>
    <t>28203</t>
  </si>
  <si>
    <t>28204</t>
  </si>
  <si>
    <t>28205</t>
  </si>
  <si>
    <t>28208</t>
  </si>
  <si>
    <t>28209</t>
  </si>
  <si>
    <t>28272</t>
  </si>
  <si>
    <t>28274</t>
  </si>
  <si>
    <t>28277</t>
  </si>
  <si>
    <t>28279</t>
  </si>
  <si>
    <t>28280</t>
  </si>
  <si>
    <t>28281</t>
  </si>
  <si>
    <t>28292</t>
  </si>
  <si>
    <t>28311</t>
  </si>
  <si>
    <t>28312</t>
  </si>
  <si>
    <t>28315</t>
  </si>
  <si>
    <t>28318</t>
  </si>
  <si>
    <t>28320</t>
  </si>
  <si>
    <t>28323</t>
  </si>
  <si>
    <t>28324</t>
  </si>
  <si>
    <t>28325</t>
  </si>
  <si>
    <t>28327</t>
  </si>
  <si>
    <t>28350</t>
  </si>
  <si>
    <t>28351</t>
  </si>
  <si>
    <t>28354</t>
  </si>
  <si>
    <t>28355</t>
  </si>
  <si>
    <t>28356</t>
  </si>
  <si>
    <t>28493</t>
  </si>
  <si>
    <t>28496</t>
  </si>
  <si>
    <t>28503</t>
  </si>
  <si>
    <t>28505</t>
  </si>
  <si>
    <t>28509</t>
  </si>
  <si>
    <t>28519</t>
  </si>
  <si>
    <t>28521</t>
  </si>
  <si>
    <t>28526</t>
  </si>
  <si>
    <t>28528</t>
  </si>
  <si>
    <t>28611</t>
  </si>
  <si>
    <t>28613</t>
  </si>
  <si>
    <t>28620</t>
  </si>
  <si>
    <t>28658</t>
  </si>
  <si>
    <t>28659</t>
  </si>
  <si>
    <t>28660</t>
  </si>
  <si>
    <t>28661</t>
  </si>
  <si>
    <t>28662</t>
  </si>
  <si>
    <t>28664</t>
  </si>
  <si>
    <t>28670</t>
  </si>
  <si>
    <t>60</t>
  </si>
  <si>
    <t>77</t>
  </si>
  <si>
    <t>79</t>
  </si>
  <si>
    <t>82</t>
  </si>
  <si>
    <t>520</t>
  </si>
  <si>
    <t>525</t>
  </si>
  <si>
    <t>526</t>
  </si>
  <si>
    <t>532</t>
  </si>
  <si>
    <t>533</t>
  </si>
  <si>
    <t>535</t>
  </si>
  <si>
    <t>538</t>
  </si>
  <si>
    <t>539</t>
  </si>
  <si>
    <t>540</t>
  </si>
  <si>
    <t>541</t>
  </si>
  <si>
    <t>570</t>
  </si>
  <si>
    <t>572</t>
  </si>
  <si>
    <t>583</t>
  </si>
  <si>
    <t>585</t>
  </si>
  <si>
    <t>596</t>
  </si>
  <si>
    <t>602</t>
  </si>
  <si>
    <t>607</t>
  </si>
  <si>
    <t>624</t>
  </si>
  <si>
    <t>627</t>
  </si>
  <si>
    <t>629</t>
  </si>
  <si>
    <t>722</t>
  </si>
  <si>
    <t>724</t>
  </si>
  <si>
    <t>726</t>
  </si>
  <si>
    <t>727</t>
  </si>
  <si>
    <t>733</t>
  </si>
  <si>
    <t>734</t>
  </si>
  <si>
    <t>737</t>
  </si>
  <si>
    <t>738</t>
  </si>
  <si>
    <t>742</t>
  </si>
  <si>
    <t>755</t>
  </si>
  <si>
    <t>763</t>
  </si>
  <si>
    <t>764</t>
  </si>
  <si>
    <t>767</t>
  </si>
  <si>
    <t>779</t>
  </si>
  <si>
    <t>782</t>
  </si>
  <si>
    <t>784</t>
  </si>
  <si>
    <t>839</t>
  </si>
  <si>
    <t>888</t>
  </si>
  <si>
    <t>916</t>
  </si>
  <si>
    <t>950</t>
  </si>
  <si>
    <t>955</t>
  </si>
  <si>
    <t>982</t>
  </si>
  <si>
    <t>988</t>
  </si>
  <si>
    <t>990</t>
  </si>
  <si>
    <t>995</t>
  </si>
  <si>
    <t>1016</t>
  </si>
  <si>
    <t>1031</t>
  </si>
  <si>
    <t>1034</t>
  </si>
  <si>
    <t>1037</t>
  </si>
  <si>
    <t>1043</t>
  </si>
  <si>
    <t>1044</t>
  </si>
  <si>
    <t>1045</t>
  </si>
  <si>
    <t>1051</t>
  </si>
  <si>
    <t>1053</t>
  </si>
  <si>
    <t>1082</t>
  </si>
  <si>
    <t>1083</t>
  </si>
  <si>
    <t>1085</t>
  </si>
  <si>
    <t>1088</t>
  </si>
  <si>
    <t>1089</t>
  </si>
  <si>
    <t>1091</t>
  </si>
  <si>
    <t>1129</t>
  </si>
  <si>
    <t>1130</t>
  </si>
  <si>
    <t>1131</t>
  </si>
  <si>
    <t>1135</t>
  </si>
  <si>
    <t>1137</t>
  </si>
  <si>
    <t>1142</t>
  </si>
  <si>
    <t>1144</t>
  </si>
  <si>
    <t>1181</t>
  </si>
  <si>
    <t>1183</t>
  </si>
  <si>
    <t>1195</t>
  </si>
  <si>
    <t>1196</t>
  </si>
  <si>
    <t>1199</t>
  </si>
  <si>
    <t>1210</t>
  </si>
  <si>
    <t>1587</t>
  </si>
  <si>
    <t>2490</t>
  </si>
  <si>
    <t>2493</t>
  </si>
  <si>
    <t>2501</t>
  </si>
  <si>
    <t>2516</t>
  </si>
  <si>
    <t>2518</t>
  </si>
  <si>
    <t>2521</t>
  </si>
  <si>
    <t>2541</t>
  </si>
  <si>
    <t>2545</t>
  </si>
  <si>
    <t>2630</t>
  </si>
  <si>
    <t>2635</t>
  </si>
  <si>
    <t>2646</t>
  </si>
  <si>
    <t>2656</t>
  </si>
  <si>
    <t>2658</t>
  </si>
  <si>
    <t>2664</t>
  </si>
  <si>
    <t>2666</t>
  </si>
  <si>
    <t>2668</t>
  </si>
  <si>
    <t>2669</t>
  </si>
  <si>
    <t>2671</t>
  </si>
  <si>
    <t>2674</t>
  </si>
  <si>
    <t>2695</t>
  </si>
  <si>
    <t>2732</t>
  </si>
  <si>
    <t>2757</t>
  </si>
  <si>
    <t>2759</t>
  </si>
  <si>
    <t>2896</t>
  </si>
  <si>
    <t>2900</t>
  </si>
  <si>
    <t>2932</t>
  </si>
  <si>
    <t>2946</t>
  </si>
  <si>
    <t>2994</t>
  </si>
  <si>
    <t>2996</t>
  </si>
  <si>
    <t>2997</t>
  </si>
  <si>
    <t>3012</t>
  </si>
  <si>
    <t>3037</t>
  </si>
  <si>
    <t>3104</t>
  </si>
  <si>
    <t>3105</t>
  </si>
  <si>
    <t>3153</t>
  </si>
  <si>
    <t>3155</t>
  </si>
  <si>
    <t>3158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</si>
  <si>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</si>
  <si>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</si>
  <si>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</si>
  <si>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</si>
  <si>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</si>
  <si>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</si>
  <si>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</si>
  <si>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</si>
  <si>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</si>
  <si>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3171</t>
  </si>
  <si>
    <t>3172</t>
  </si>
  <si>
    <t>3173</t>
  </si>
  <si>
    <t>3176</t>
  </si>
  <si>
    <t>3177</t>
  </si>
  <si>
    <t>3179</t>
  </si>
  <si>
    <t>3180</t>
  </si>
  <si>
    <t>3185</t>
  </si>
  <si>
    <t>3186</t>
  </si>
  <si>
    <t>3187</t>
  </si>
  <si>
    <t>3188</t>
  </si>
  <si>
    <t>3193</t>
  </si>
  <si>
    <t>3194</t>
  </si>
  <si>
    <t>3195</t>
  </si>
  <si>
    <t>3196</t>
  </si>
  <si>
    <t>3199</t>
  </si>
  <si>
    <t>3203</t>
  </si>
  <si>
    <t>3204</t>
  </si>
  <si>
    <t>3211</t>
  </si>
  <si>
    <t>3213</t>
  </si>
  <si>
    <t>3216</t>
  </si>
  <si>
    <t>3219</t>
  </si>
  <si>
    <t>3221</t>
  </si>
  <si>
    <t>3223</t>
  </si>
  <si>
    <t>3225</t>
  </si>
  <si>
    <t>3227</t>
  </si>
  <si>
    <t>3228</t>
  </si>
  <si>
    <t>3232</t>
  </si>
  <si>
    <t>3235</t>
  </si>
  <si>
    <t>3237</t>
  </si>
  <si>
    <t>3240</t>
  </si>
  <si>
    <t>3241</t>
  </si>
  <si>
    <t>3243</t>
  </si>
  <si>
    <t>3245</t>
  </si>
  <si>
    <t>3246</t>
  </si>
  <si>
    <t>3250</t>
  </si>
  <si>
    <t>3251</t>
  </si>
  <si>
    <t>3255</t>
  </si>
  <si>
    <t>3267</t>
  </si>
  <si>
    <t>3270</t>
  </si>
  <si>
    <t>3272</t>
  </si>
  <si>
    <t>3274</t>
  </si>
  <si>
    <t>3275</t>
  </si>
  <si>
    <t>3276</t>
  </si>
  <si>
    <t>3280</t>
  </si>
  <si>
    <t>3281</t>
  </si>
  <si>
    <t>3283</t>
  </si>
  <si>
    <t>3284</t>
  </si>
  <si>
    <t>3285</t>
  </si>
  <si>
    <t>3287</t>
  </si>
  <si>
    <t>3312</t>
  </si>
  <si>
    <t>3315</t>
  </si>
  <si>
    <t>3316</t>
  </si>
  <si>
    <t>3317</t>
  </si>
  <si>
    <t>3320</t>
  </si>
  <si>
    <t>3321</t>
  </si>
  <si>
    <t>3325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</si>
  <si>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</si>
  <si>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</si>
  <si>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</si>
  <si>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</si>
  <si>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</si>
  <si>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</si>
  <si>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</si>
  <si>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</si>
  <si>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</si>
  <si>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</si>
  <si>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</si>
  <si>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</si>
  <si>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</si>
  <si>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3341</t>
  </si>
  <si>
    <t>3342</t>
  </si>
  <si>
    <t>3343</t>
  </si>
  <si>
    <t>3344</t>
  </si>
  <si>
    <t>3345</t>
  </si>
  <si>
    <t>3348</t>
  </si>
  <si>
    <t>3349</t>
  </si>
  <si>
    <t>3350</t>
  </si>
  <si>
    <t>3351</t>
  </si>
  <si>
    <t>3352</t>
  </si>
  <si>
    <t>3354</t>
  </si>
  <si>
    <t>3355</t>
  </si>
  <si>
    <t>3356</t>
  </si>
  <si>
    <t>3357</t>
  </si>
  <si>
    <t>3360</t>
  </si>
  <si>
    <t>3361</t>
  </si>
  <si>
    <t>3362</t>
  </si>
  <si>
    <t>3365</t>
  </si>
  <si>
    <t>3366</t>
  </si>
  <si>
    <t>3367</t>
  </si>
  <si>
    <t>3368</t>
  </si>
  <si>
    <t>3370</t>
  </si>
  <si>
    <t>3371</t>
  </si>
  <si>
    <t>3372</t>
  </si>
  <si>
    <t>3374</t>
  </si>
  <si>
    <t>3375</t>
  </si>
  <si>
    <t>3376</t>
  </si>
  <si>
    <t>3377</t>
  </si>
  <si>
    <t>3378</t>
  </si>
  <si>
    <t>3380</t>
  </si>
  <si>
    <t>3381</t>
  </si>
  <si>
    <t>3383</t>
  </si>
  <si>
    <t>3386</t>
  </si>
  <si>
    <t>3388</t>
  </si>
  <si>
    <t>3391</t>
  </si>
  <si>
    <t>3395</t>
  </si>
  <si>
    <t>3397</t>
  </si>
  <si>
    <t>3399</t>
  </si>
  <si>
    <t>3400</t>
  </si>
  <si>
    <t>3401</t>
  </si>
  <si>
    <t>3403</t>
  </si>
  <si>
    <t>3404</t>
  </si>
  <si>
    <t>3407</t>
  </si>
  <si>
    <t>3409</t>
  </si>
  <si>
    <t>3411</t>
  </si>
  <si>
    <t>3412</t>
  </si>
  <si>
    <t>3415</t>
  </si>
  <si>
    <t>3417</t>
  </si>
  <si>
    <t>3419</t>
  </si>
  <si>
    <t>3420</t>
  </si>
  <si>
    <t>3421</t>
  </si>
  <si>
    <t>3423</t>
  </si>
  <si>
    <t>3424</t>
  </si>
  <si>
    <t>3425</t>
  </si>
  <si>
    <t>3426</t>
  </si>
  <si>
    <t>3427</t>
  </si>
  <si>
    <t>3428</t>
  </si>
  <si>
    <t>3429</t>
  </si>
  <si>
    <t>3431</t>
  </si>
  <si>
    <t>3432</t>
  </si>
  <si>
    <t>3433</t>
  </si>
  <si>
    <t>3434</t>
  </si>
  <si>
    <t>3436</t>
  </si>
  <si>
    <t>3438</t>
  </si>
  <si>
    <t>3439</t>
  </si>
  <si>
    <t>3440</t>
  </si>
  <si>
    <t>3441</t>
  </si>
  <si>
    <t>3443</t>
  </si>
  <si>
    <t>3446</t>
  </si>
  <si>
    <t>3447</t>
  </si>
  <si>
    <t>3448</t>
  </si>
  <si>
    <t>3449</t>
  </si>
  <si>
    <t>3450</t>
  </si>
  <si>
    <t>3454</t>
  </si>
  <si>
    <t>3455</t>
  </si>
  <si>
    <t>3456</t>
  </si>
  <si>
    <t>3457</t>
  </si>
  <si>
    <t>3459</t>
  </si>
  <si>
    <t>3460</t>
  </si>
  <si>
    <t>3461</t>
  </si>
  <si>
    <t>3462</t>
  </si>
  <si>
    <t>3464</t>
  </si>
  <si>
    <t>3466</t>
  </si>
  <si>
    <t>3467</t>
  </si>
  <si>
    <t>3468</t>
  </si>
  <si>
    <t>3469</t>
  </si>
  <si>
    <t>3472</t>
  </si>
  <si>
    <t>3474</t>
  </si>
  <si>
    <t>3475</t>
  </si>
  <si>
    <t>3476</t>
  </si>
  <si>
    <t>3477</t>
  </si>
  <si>
    <t>3479</t>
  </si>
  <si>
    <t>3480</t>
  </si>
  <si>
    <t>3484</t>
  </si>
  <si>
    <t>3485</t>
  </si>
  <si>
    <t>3489</t>
  </si>
  <si>
    <t>3491</t>
  </si>
  <si>
    <t>3492</t>
  </si>
  <si>
    <t>3493</t>
  </si>
  <si>
    <t>3494</t>
  </si>
  <si>
    <t>3495</t>
  </si>
  <si>
    <t>3497</t>
  </si>
  <si>
    <t>3499</t>
  </si>
  <si>
    <t>3500</t>
  </si>
  <si>
    <t>3501</t>
  </si>
  <si>
    <t>3502</t>
  </si>
  <si>
    <t>3503</t>
  </si>
  <si>
    <t>3504</t>
  </si>
  <si>
    <t>3506</t>
  </si>
  <si>
    <t>3507</t>
  </si>
  <si>
    <t>3508</t>
  </si>
  <si>
    <t>3509</t>
  </si>
  <si>
    <t>3510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</si>
  <si>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</si>
  <si>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</si>
  <si>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</si>
  <si>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</si>
  <si>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</si>
  <si>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</si>
  <si>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</si>
  <si>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</si>
  <si>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</si>
  <si>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</si>
  <si>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</si>
  <si>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</si>
  <si>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</si>
  <si>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</si>
  <si>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3562</t>
  </si>
  <si>
    <t>3566</t>
  </si>
  <si>
    <t>3568</t>
  </si>
  <si>
    <t>3569</t>
  </si>
  <si>
    <t>3570</t>
  </si>
  <si>
    <t>3571</t>
  </si>
  <si>
    <t>3573</t>
  </si>
  <si>
    <t>3574</t>
  </si>
  <si>
    <t>3576</t>
  </si>
  <si>
    <t>3577</t>
  </si>
  <si>
    <t>3579</t>
  </si>
  <si>
    <t>3581</t>
  </si>
  <si>
    <t>3583</t>
  </si>
  <si>
    <t>3584</t>
  </si>
  <si>
    <t>3585</t>
  </si>
  <si>
    <t>3587</t>
  </si>
  <si>
    <t>3589</t>
  </si>
  <si>
    <t>3592</t>
  </si>
  <si>
    <t>3596</t>
  </si>
  <si>
    <t>3598</t>
  </si>
  <si>
    <t>3599</t>
  </si>
  <si>
    <t>3600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</si>
  <si>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</si>
  <si>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</si>
  <si>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</si>
  <si>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</si>
  <si>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</si>
  <si>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</si>
  <si>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</si>
  <si>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</si>
  <si>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</si>
  <si>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3615</t>
  </si>
  <si>
    <t>3616</t>
  </si>
  <si>
    <t>3617</t>
  </si>
  <si>
    <t>3619</t>
  </si>
  <si>
    <t>3622</t>
  </si>
  <si>
    <t>3625</t>
  </si>
  <si>
    <t>3626</t>
  </si>
  <si>
    <t>3627</t>
  </si>
  <si>
    <t>3631</t>
  </si>
  <si>
    <t>3632</t>
  </si>
  <si>
    <t>3635</t>
  </si>
  <si>
    <t>3636</t>
  </si>
  <si>
    <t>3637</t>
  </si>
  <si>
    <t>3639</t>
  </si>
  <si>
    <t>3642</t>
  </si>
  <si>
    <t>3643</t>
  </si>
  <si>
    <t>3644</t>
  </si>
  <si>
    <t>3645</t>
  </si>
  <si>
    <t>3646</t>
  </si>
  <si>
    <t>3647</t>
  </si>
  <si>
    <t>3648</t>
  </si>
  <si>
    <t>3650</t>
  </si>
  <si>
    <t>3651</t>
  </si>
  <si>
    <t>3653</t>
  </si>
  <si>
    <t>3654</t>
  </si>
  <si>
    <t>3655</t>
  </si>
  <si>
    <t>3657</t>
  </si>
  <si>
    <t>3658</t>
  </si>
  <si>
    <t>3660</t>
  </si>
  <si>
    <t>3661</t>
  </si>
  <si>
    <t>3662</t>
  </si>
  <si>
    <t>3663</t>
  </si>
  <si>
    <t>3665</t>
  </si>
  <si>
    <t>3666</t>
  </si>
  <si>
    <t>3667</t>
  </si>
  <si>
    <t>3674</t>
  </si>
  <si>
    <t>3675</t>
  </si>
  <si>
    <t>3676</t>
  </si>
  <si>
    <t>3677</t>
  </si>
  <si>
    <t>3681</t>
  </si>
  <si>
    <t>3682</t>
  </si>
  <si>
    <t>3684</t>
  </si>
  <si>
    <t>3685</t>
  </si>
  <si>
    <t>3686</t>
  </si>
  <si>
    <t>3688</t>
  </si>
  <si>
    <t>3690</t>
  </si>
  <si>
    <t>3692</t>
  </si>
  <si>
    <t>3693</t>
  </si>
  <si>
    <t>3695</t>
  </si>
  <si>
    <t>3696</t>
  </si>
  <si>
    <t>3698</t>
  </si>
  <si>
    <t>3700</t>
  </si>
  <si>
    <t>3701</t>
  </si>
  <si>
    <t>3702</t>
  </si>
  <si>
    <t>3704</t>
  </si>
  <si>
    <t>3706</t>
  </si>
  <si>
    <t>3707</t>
  </si>
  <si>
    <t>3710</t>
  </si>
  <si>
    <t>3712</t>
  </si>
  <si>
    <t>3713</t>
  </si>
  <si>
    <t>3714</t>
  </si>
  <si>
    <t>3715</t>
  </si>
  <si>
    <t>3716</t>
  </si>
  <si>
    <t>3718</t>
  </si>
  <si>
    <t>3727</t>
  </si>
  <si>
    <t>3729</t>
  </si>
  <si>
    <t>3730</t>
  </si>
  <si>
    <t>3731</t>
  </si>
  <si>
    <t>3732</t>
  </si>
  <si>
    <t>3733</t>
  </si>
  <si>
    <t>3734</t>
  </si>
  <si>
    <t>3736</t>
  </si>
  <si>
    <t>3739</t>
  </si>
  <si>
    <t>3740</t>
  </si>
  <si>
    <t>3741</t>
  </si>
  <si>
    <t>3743</t>
  </si>
  <si>
    <t>3744</t>
  </si>
  <si>
    <t>3745</t>
  </si>
  <si>
    <t>3751</t>
  </si>
  <si>
    <t>3752</t>
  </si>
  <si>
    <t>3753</t>
  </si>
  <si>
    <t>3754</t>
  </si>
  <si>
    <t>3763</t>
  </si>
  <si>
    <t>3767</t>
  </si>
  <si>
    <t>3771</t>
  </si>
  <si>
    <t>3774</t>
  </si>
  <si>
    <t>3814</t>
  </si>
  <si>
    <t>3815</t>
  </si>
  <si>
    <t>3816</t>
  </si>
  <si>
    <t>3817</t>
  </si>
  <si>
    <t>3818</t>
  </si>
  <si>
    <t>3819</t>
  </si>
  <si>
    <t>3820</t>
  </si>
  <si>
    <t>3822</t>
  </si>
  <si>
    <t>3903</t>
  </si>
  <si>
    <t>3912</t>
  </si>
  <si>
    <t>3918</t>
  </si>
  <si>
    <t>3920</t>
  </si>
  <si>
    <t>3930</t>
  </si>
  <si>
    <t>3931</t>
  </si>
  <si>
    <t>3932</t>
  </si>
  <si>
    <t>3938</t>
  </si>
  <si>
    <t>3939</t>
  </si>
  <si>
    <t>3942</t>
  </si>
  <si>
    <t>3944</t>
  </si>
  <si>
    <t>3950</t>
  </si>
  <si>
    <t>3979</t>
  </si>
  <si>
    <t>4062</t>
  </si>
  <si>
    <t>4066</t>
  </si>
  <si>
    <t>4070</t>
  </si>
  <si>
    <t>4071</t>
  </si>
  <si>
    <t>4072</t>
  </si>
  <si>
    <t>4074</t>
  </si>
  <si>
    <t>4075</t>
  </si>
  <si>
    <t>4077</t>
  </si>
  <si>
    <t>4079</t>
  </si>
  <si>
    <t>4080</t>
  </si>
  <si>
    <t>4084</t>
  </si>
  <si>
    <t>4089</t>
  </si>
  <si>
    <t>4093</t>
  </si>
  <si>
    <t>4094</t>
  </si>
  <si>
    <t>4097</t>
  </si>
  <si>
    <t>4100</t>
  </si>
  <si>
    <t>4101</t>
  </si>
  <si>
    <t>4102</t>
  </si>
  <si>
    <t>4106</t>
  </si>
  <si>
    <t>4118</t>
  </si>
  <si>
    <t>4119</t>
  </si>
  <si>
    <t>4124</t>
  </si>
  <si>
    <t>4127</t>
  </si>
  <si>
    <t>4129</t>
  </si>
  <si>
    <t>4133</t>
  </si>
  <si>
    <t>4137</t>
  </si>
  <si>
    <t>4139</t>
  </si>
  <si>
    <t>4143</t>
  </si>
  <si>
    <t>4144</t>
  </si>
  <si>
    <t>4148</t>
  </si>
  <si>
    <t>4150</t>
  </si>
  <si>
    <t>4153</t>
  </si>
  <si>
    <t>4157</t>
  </si>
  <si>
    <t>4158</t>
  </si>
  <si>
    <t>4161</t>
  </si>
  <si>
    <t>4162</t>
  </si>
  <si>
    <t>4164</t>
  </si>
  <si>
    <t>4166</t>
  </si>
  <si>
    <t>4167</t>
  </si>
  <si>
    <t>4168</t>
  </si>
  <si>
    <t>4185</t>
  </si>
  <si>
    <t>4220</t>
  </si>
  <si>
    <t>4234</t>
  </si>
  <si>
    <t>4244</t>
  </si>
  <si>
    <t>4263</t>
  </si>
  <si>
    <t>4336</t>
  </si>
  <si>
    <t>4392</t>
  </si>
  <si>
    <t>4423</t>
  </si>
  <si>
    <t>4440</t>
  </si>
  <si>
    <t>4463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</si>
  <si>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</si>
  <si>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</si>
  <si>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</si>
  <si>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</si>
  <si>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</si>
  <si>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</si>
  <si>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</si>
  <si>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</si>
  <si>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</si>
  <si>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4475</t>
  </si>
  <si>
    <t>4476</t>
  </si>
  <si>
    <t>4477</t>
  </si>
  <si>
    <t>4479</t>
  </si>
  <si>
    <t>4480</t>
  </si>
  <si>
    <t>4481</t>
  </si>
  <si>
    <t>4483</t>
  </si>
  <si>
    <t>4484</t>
  </si>
  <si>
    <t>4486</t>
  </si>
  <si>
    <t>4487</t>
  </si>
  <si>
    <t>4489</t>
  </si>
  <si>
    <t>4490</t>
  </si>
  <si>
    <t>4492</t>
  </si>
  <si>
    <t>4493</t>
  </si>
  <si>
    <t>4495</t>
  </si>
  <si>
    <t>4497</t>
  </si>
  <si>
    <t>4498</t>
  </si>
  <si>
    <t>4499</t>
  </si>
  <si>
    <t>4500</t>
  </si>
  <si>
    <t>4503</t>
  </si>
  <si>
    <t>4505</t>
  </si>
  <si>
    <t>4506</t>
  </si>
  <si>
    <t>4508</t>
  </si>
  <si>
    <t>4509</t>
  </si>
  <si>
    <t>4510</t>
  </si>
  <si>
    <t>4513</t>
  </si>
  <si>
    <t>4514</t>
  </si>
  <si>
    <t>4515</t>
  </si>
  <si>
    <t>4517</t>
  </si>
  <si>
    <t>4518</t>
  </si>
  <si>
    <t>4524</t>
  </si>
  <si>
    <t>4525</t>
  </si>
  <si>
    <t>4535</t>
  </si>
  <si>
    <t>4536</t>
  </si>
  <si>
    <t>4539</t>
  </si>
  <si>
    <t>4540</t>
  </si>
  <si>
    <t>4543</t>
  </si>
  <si>
    <t>4547</t>
  </si>
  <si>
    <t>4549</t>
  </si>
  <si>
    <t>4553</t>
  </si>
  <si>
    <t>4555</t>
  </si>
  <si>
    <t>4558</t>
  </si>
  <si>
    <t>4560</t>
  </si>
  <si>
    <t>4563</t>
  </si>
  <si>
    <t>4564</t>
  </si>
  <si>
    <t>4566</t>
  </si>
  <si>
    <t>4567</t>
  </si>
  <si>
    <t>4569</t>
  </si>
  <si>
    <t>4571</t>
  </si>
  <si>
    <t>4573</t>
  </si>
  <si>
    <t>4576</t>
  </si>
  <si>
    <t>4579</t>
  </si>
  <si>
    <t>4583</t>
  </si>
  <si>
    <t>4586</t>
  </si>
  <si>
    <t>4587</t>
  </si>
  <si>
    <t>4590</t>
  </si>
  <si>
    <t>4592</t>
  </si>
  <si>
    <t>4595</t>
  </si>
  <si>
    <t>4597</t>
  </si>
  <si>
    <t>4600</t>
  </si>
  <si>
    <t>4608</t>
  </si>
  <si>
    <t>4610</t>
  </si>
  <si>
    <t>4615</t>
  </si>
  <si>
    <t>4620</t>
  </si>
  <si>
    <t>4621</t>
  </si>
  <si>
    <t>4625</t>
  </si>
  <si>
    <t>4628</t>
  </si>
  <si>
    <t>4634</t>
  </si>
  <si>
    <t>4637</t>
  </si>
  <si>
    <t>4638</t>
  </si>
  <si>
    <t>4641</t>
  </si>
  <si>
    <t>4650</t>
  </si>
  <si>
    <t>4653</t>
  </si>
  <si>
    <t>4654</t>
  </si>
  <si>
    <t>4657</t>
  </si>
  <si>
    <t>4659</t>
  </si>
  <si>
    <t>4661</t>
  </si>
  <si>
    <t>4664</t>
  </si>
  <si>
    <t>4665</t>
  </si>
  <si>
    <t>4667</t>
  </si>
  <si>
    <t>4668</t>
  </si>
  <si>
    <t>4673</t>
  </si>
  <si>
    <t>4678</t>
  </si>
  <si>
    <t>4680</t>
  </si>
  <si>
    <t>4682</t>
  </si>
  <si>
    <t>4685</t>
  </si>
  <si>
    <t>4686</t>
  </si>
  <si>
    <t>4688</t>
  </si>
  <si>
    <t>4689</t>
  </si>
  <si>
    <t>4692</t>
  </si>
  <si>
    <t>4693</t>
  </si>
  <si>
    <t>4695</t>
  </si>
  <si>
    <t>4700</t>
  </si>
  <si>
    <t>4703</t>
  </si>
  <si>
    <t>4705</t>
  </si>
  <si>
    <t>4706</t>
  </si>
  <si>
    <t>4708</t>
  </si>
  <si>
    <t>4711</t>
  </si>
  <si>
    <t>4713</t>
  </si>
  <si>
    <t>4715</t>
  </si>
  <si>
    <t>4718</t>
  </si>
  <si>
    <t>4721</t>
  </si>
  <si>
    <t>4730</t>
  </si>
  <si>
    <t>4731</t>
  </si>
  <si>
    <t>4732</t>
  </si>
  <si>
    <t>4733</t>
  </si>
  <si>
    <t>4943</t>
  </si>
  <si>
    <t>5118</t>
  </si>
  <si>
    <t>5175</t>
  </si>
  <si>
    <t>5182</t>
  </si>
  <si>
    <t>5187</t>
  </si>
  <si>
    <t>5203</t>
  </si>
  <si>
    <t>5204</t>
  </si>
  <si>
    <t>5207</t>
  </si>
  <si>
    <t>5209</t>
  </si>
  <si>
    <t>5210</t>
  </si>
  <si>
    <t>5213</t>
  </si>
  <si>
    <t>5214</t>
  </si>
  <si>
    <t>5215</t>
  </si>
  <si>
    <t>5216</t>
  </si>
  <si>
    <t>5248</t>
  </si>
  <si>
    <t>5499</t>
  </si>
  <si>
    <t>5683</t>
  </si>
  <si>
    <t>5879</t>
  </si>
  <si>
    <t>5940</t>
  </si>
  <si>
    <t>6050</t>
  </si>
  <si>
    <t>6059</t>
  </si>
  <si>
    <t>6086</t>
  </si>
  <si>
    <t>6750</t>
  </si>
  <si>
    <t>6991</t>
  </si>
  <si>
    <t>7597</t>
  </si>
  <si>
    <t>7913</t>
  </si>
  <si>
    <t>7969</t>
  </si>
  <si>
    <t>8017</t>
  </si>
  <si>
    <t>8020</t>
  </si>
  <si>
    <t>8025</t>
  </si>
  <si>
    <t>8032</t>
  </si>
  <si>
    <t>8072</t>
  </si>
  <si>
    <t>8077</t>
  </si>
  <si>
    <t>8223</t>
  </si>
  <si>
    <t>8404</t>
  </si>
  <si>
    <t>8408</t>
  </si>
  <si>
    <t>8411</t>
  </si>
  <si>
    <t>8414</t>
  </si>
  <si>
    <t>8415</t>
  </si>
  <si>
    <t>8603</t>
  </si>
  <si>
    <t>8608</t>
  </si>
  <si>
    <t>8611</t>
  </si>
  <si>
    <t>8618</t>
  </si>
  <si>
    <t>8624</t>
  </si>
  <si>
    <t>8625</t>
  </si>
  <si>
    <t>8628</t>
  </si>
  <si>
    <t>8629</t>
  </si>
  <si>
    <t>8630</t>
  </si>
  <si>
    <t>8634</t>
  </si>
  <si>
    <t>8699</t>
  </si>
  <si>
    <t>8700</t>
  </si>
  <si>
    <t>8701</t>
  </si>
  <si>
    <t>8727</t>
  </si>
  <si>
    <t>8730</t>
  </si>
  <si>
    <t>8731</t>
  </si>
  <si>
    <t>8732</t>
  </si>
  <si>
    <t>8735</t>
  </si>
  <si>
    <t>8736</t>
  </si>
  <si>
    <t>8737</t>
  </si>
  <si>
    <t>8739</t>
  </si>
  <si>
    <t>8741</t>
  </si>
  <si>
    <t>8742</t>
  </si>
  <si>
    <t>8743</t>
  </si>
  <si>
    <t>8745</t>
  </si>
  <si>
    <t>8747</t>
  </si>
  <si>
    <t>8749</t>
  </si>
  <si>
    <t>8751</t>
  </si>
  <si>
    <t>8753</t>
  </si>
  <si>
    <t>8754</t>
  </si>
  <si>
    <t>8756</t>
  </si>
  <si>
    <t>8757</t>
  </si>
  <si>
    <t>8758</t>
  </si>
  <si>
    <t>8764</t>
  </si>
  <si>
    <t>8765</t>
  </si>
  <si>
    <t>8766</t>
  </si>
  <si>
    <t>8767</t>
  </si>
  <si>
    <t>8768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</si>
  <si>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</si>
  <si>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</si>
  <si>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</si>
  <si>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</si>
  <si>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</si>
  <si>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</si>
  <si>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</si>
  <si>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</si>
  <si>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</si>
  <si>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8780</t>
  </si>
  <si>
    <t>8783</t>
  </si>
  <si>
    <t>8785</t>
  </si>
  <si>
    <t>8786</t>
  </si>
  <si>
    <t>8787</t>
  </si>
  <si>
    <t>8789</t>
  </si>
  <si>
    <t>8790</t>
  </si>
  <si>
    <t>8791</t>
  </si>
  <si>
    <t>8792</t>
  </si>
  <si>
    <t>8793</t>
  </si>
  <si>
    <t>8794</t>
  </si>
  <si>
    <t>8799</t>
  </si>
  <si>
    <t>8800</t>
  </si>
  <si>
    <t>8802</t>
  </si>
  <si>
    <t>8805</t>
  </si>
  <si>
    <t>8806</t>
  </si>
  <si>
    <t>8807</t>
  </si>
  <si>
    <t>8808</t>
  </si>
  <si>
    <t>8809</t>
  </si>
  <si>
    <t>8810</t>
  </si>
  <si>
    <t>8823</t>
  </si>
  <si>
    <t>8825</t>
  </si>
  <si>
    <t>8827</t>
  </si>
  <si>
    <t>8833</t>
  </si>
  <si>
    <t>8834</t>
  </si>
  <si>
    <t>8835</t>
  </si>
  <si>
    <t>8836</t>
  </si>
  <si>
    <t>8837</t>
  </si>
  <si>
    <t>8838</t>
  </si>
  <si>
    <t>8839</t>
  </si>
  <si>
    <t>8848</t>
  </si>
  <si>
    <t>8858</t>
  </si>
  <si>
    <t>8859</t>
  </si>
  <si>
    <t>8861</t>
  </si>
  <si>
    <t>8864</t>
  </si>
  <si>
    <t>8867</t>
  </si>
  <si>
    <t>8869</t>
  </si>
  <si>
    <t>8870</t>
  </si>
  <si>
    <t>8871</t>
  </si>
  <si>
    <t>8872</t>
  </si>
  <si>
    <t>8873</t>
  </si>
  <si>
    <t>8874</t>
  </si>
  <si>
    <t>8875</t>
  </si>
  <si>
    <t>8882</t>
  </si>
  <si>
    <t>8888</t>
  </si>
  <si>
    <t>8893</t>
  </si>
  <si>
    <t>8894</t>
  </si>
  <si>
    <t>8898</t>
  </si>
  <si>
    <t>8903</t>
  </si>
  <si>
    <t>8911</t>
  </si>
  <si>
    <t>8913</t>
  </si>
  <si>
    <t>8920</t>
  </si>
  <si>
    <t>8922</t>
  </si>
  <si>
    <t>8923</t>
  </si>
  <si>
    <t>8926</t>
  </si>
  <si>
    <t>8928</t>
  </si>
  <si>
    <t>8929</t>
  </si>
  <si>
    <t>8931</t>
  </si>
  <si>
    <t>8932</t>
  </si>
  <si>
    <t>8934</t>
  </si>
  <si>
    <t>8936</t>
  </si>
  <si>
    <t>8937</t>
  </si>
  <si>
    <t>8940</t>
  </si>
  <si>
    <t>8942</t>
  </si>
  <si>
    <t>8943</t>
  </si>
  <si>
    <t>8945</t>
  </si>
  <si>
    <t>8952</t>
  </si>
  <si>
    <t>8953</t>
  </si>
  <si>
    <t>8955</t>
  </si>
  <si>
    <t>8958</t>
  </si>
  <si>
    <t>8959</t>
  </si>
  <si>
    <t>8961</t>
  </si>
  <si>
    <t>8962</t>
  </si>
  <si>
    <t>8963</t>
  </si>
  <si>
    <t>8966</t>
  </si>
  <si>
    <t>8967</t>
  </si>
  <si>
    <t>8972</t>
  </si>
  <si>
    <t>8975</t>
  </si>
  <si>
    <t>8978</t>
  </si>
  <si>
    <t>8980</t>
  </si>
  <si>
    <t>8981</t>
  </si>
  <si>
    <t>8982</t>
  </si>
  <si>
    <t>8986</t>
  </si>
  <si>
    <t>8987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</si>
  <si>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</si>
  <si>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</si>
  <si>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</si>
  <si>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</si>
  <si>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</si>
  <si>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</si>
  <si>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</si>
  <si>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</si>
  <si>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</si>
  <si>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</si>
  <si>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</si>
  <si>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</si>
  <si>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</si>
  <si>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</si>
  <si>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</si>
  <si>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</si>
  <si>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</si>
  <si>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</si>
  <si>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</si>
  <si>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</si>
  <si>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</si>
  <si>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</si>
  <si>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</si>
  <si>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</si>
  <si>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</si>
  <si>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</si>
  <si>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</si>
  <si>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</si>
  <si>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</si>
  <si>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</si>
  <si>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</si>
  <si>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</si>
  <si>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</si>
  <si>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</si>
  <si>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</si>
  <si>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</si>
  <si>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9031</t>
  </si>
  <si>
    <t>9033</t>
  </si>
  <si>
    <t>9036</t>
  </si>
  <si>
    <t>9037</t>
  </si>
  <si>
    <t>9040</t>
  </si>
  <si>
    <t>9041</t>
  </si>
  <si>
    <t>9049</t>
  </si>
  <si>
    <t>9050</t>
  </si>
  <si>
    <t>9051</t>
  </si>
  <si>
    <t>9052</t>
  </si>
  <si>
    <t>9053</t>
  </si>
  <si>
    <t>9055</t>
  </si>
  <si>
    <t>9056</t>
  </si>
  <si>
    <t>9057</t>
  </si>
  <si>
    <t>9058</t>
  </si>
  <si>
    <t>9059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</si>
  <si>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</si>
  <si>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</si>
  <si>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</si>
  <si>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</si>
  <si>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</si>
  <si>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</si>
  <si>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</si>
  <si>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</si>
  <si>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</si>
  <si>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9071</t>
  </si>
  <si>
    <t>9072</t>
  </si>
  <si>
    <t>9073</t>
  </si>
  <si>
    <t>9074</t>
  </si>
  <si>
    <t>9075</t>
  </si>
  <si>
    <t>9076</t>
  </si>
  <si>
    <t>9077</t>
  </si>
  <si>
    <t>9078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</si>
  <si>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</si>
  <si>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</si>
  <si>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</si>
  <si>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</si>
  <si>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</si>
  <si>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</si>
  <si>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</si>
  <si>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</si>
  <si>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</si>
  <si>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</si>
  <si>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</si>
  <si>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</si>
  <si>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</si>
  <si>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</si>
  <si>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</si>
  <si>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</si>
  <si>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</si>
  <si>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</si>
  <si>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9102</t>
  </si>
  <si>
    <t>9181</t>
  </si>
  <si>
    <t>9188</t>
  </si>
  <si>
    <t>9217</t>
  </si>
  <si>
    <t>9219</t>
  </si>
  <si>
    <t>9221</t>
  </si>
  <si>
    <t>9226</t>
  </si>
  <si>
    <t>9231</t>
  </si>
  <si>
    <t>9236</t>
  </si>
  <si>
    <t>9238</t>
  </si>
  <si>
    <t>9289</t>
  </si>
  <si>
    <t>9291</t>
  </si>
  <si>
    <t>9292</t>
  </si>
  <si>
    <t>9294</t>
  </si>
  <si>
    <t>9318</t>
  </si>
  <si>
    <t>9328</t>
  </si>
  <si>
    <t>9329</t>
  </si>
  <si>
    <t>9333</t>
  </si>
  <si>
    <t>9349</t>
  </si>
  <si>
    <t>9350</t>
  </si>
  <si>
    <t>9353</t>
  </si>
  <si>
    <t>9354</t>
  </si>
  <si>
    <t>9355</t>
  </si>
  <si>
    <t>9360</t>
  </si>
  <si>
    <t>9362</t>
  </si>
  <si>
    <t>9365</t>
  </si>
  <si>
    <t>9375</t>
  </si>
  <si>
    <t>9390</t>
  </si>
  <si>
    <t>9391</t>
  </si>
  <si>
    <t>9931</t>
  </si>
  <si>
    <t>9932</t>
  </si>
  <si>
    <t>9934</t>
  </si>
  <si>
    <t>9935</t>
  </si>
  <si>
    <t>9936</t>
  </si>
  <si>
    <t>9938</t>
  </si>
  <si>
    <t>9944</t>
  </si>
  <si>
    <t>9945</t>
  </si>
  <si>
    <t>9957</t>
  </si>
  <si>
    <t>9958</t>
  </si>
  <si>
    <t>9960</t>
  </si>
  <si>
    <t>9966</t>
  </si>
  <si>
    <t>9970</t>
  </si>
  <si>
    <t>9977</t>
  </si>
  <si>
    <t>9982</t>
  </si>
  <si>
    <t>9988</t>
  </si>
  <si>
    <t>9990</t>
  </si>
  <si>
    <t>9991</t>
  </si>
  <si>
    <t>9992</t>
  </si>
  <si>
    <t>9993</t>
  </si>
  <si>
    <t>9996</t>
  </si>
  <si>
    <t>9998</t>
  </si>
  <si>
    <t>9999</t>
  </si>
  <si>
    <t>10000</t>
  </si>
  <si>
    <t>10001</t>
  </si>
  <si>
    <t>10005</t>
  </si>
  <si>
    <t>10006</t>
  </si>
  <si>
    <t>10007</t>
  </si>
  <si>
    <t>10008</t>
  </si>
  <si>
    <t>10009</t>
  </si>
  <si>
    <t>10010</t>
  </si>
  <si>
    <t>10012</t>
  </si>
  <si>
    <t>10013</t>
  </si>
  <si>
    <t>10015</t>
  </si>
  <si>
    <t>10016</t>
  </si>
  <si>
    <t>10017</t>
  </si>
  <si>
    <t>10019</t>
  </si>
  <si>
    <t>10020</t>
  </si>
  <si>
    <t>10022</t>
  </si>
  <si>
    <t>10024</t>
  </si>
  <si>
    <t>10026</t>
  </si>
  <si>
    <t>10027</t>
  </si>
  <si>
    <t>10030</t>
  </si>
  <si>
    <t>10031</t>
  </si>
  <si>
    <t>10032</t>
  </si>
  <si>
    <t>10033</t>
  </si>
  <si>
    <t>10034</t>
  </si>
  <si>
    <t>10035</t>
  </si>
  <si>
    <t>10037</t>
  </si>
  <si>
    <t>10039</t>
  </si>
  <si>
    <t>10041</t>
  </si>
  <si>
    <t>10043</t>
  </si>
  <si>
    <t>10044</t>
  </si>
  <si>
    <t>10046</t>
  </si>
  <si>
    <t>10048</t>
  </si>
  <si>
    <t>10049</t>
  </si>
  <si>
    <t>10050</t>
  </si>
  <si>
    <t>10051</t>
  </si>
  <si>
    <t>10052</t>
  </si>
  <si>
    <t>10055</t>
  </si>
  <si>
    <t>10056</t>
  </si>
  <si>
    <t>10057</t>
  </si>
  <si>
    <t>10060</t>
  </si>
  <si>
    <t>10061</t>
  </si>
  <si>
    <t>10062</t>
  </si>
  <si>
    <t>10064</t>
  </si>
  <si>
    <t>10065</t>
  </si>
  <si>
    <t>10072</t>
  </si>
  <si>
    <t>10820</t>
  </si>
  <si>
    <t>10833</t>
  </si>
  <si>
    <t>10835</t>
  </si>
  <si>
    <t>10843</t>
  </si>
  <si>
    <t>10845</t>
  </si>
  <si>
    <t>10847</t>
  </si>
  <si>
    <t>10853</t>
  </si>
  <si>
    <t>10854</t>
  </si>
  <si>
    <t>10856</t>
  </si>
  <si>
    <t>10859</t>
  </si>
  <si>
    <t>10863</t>
  </si>
  <si>
    <t>10871</t>
  </si>
  <si>
    <t>10874</t>
  </si>
  <si>
    <t>10875</t>
  </si>
  <si>
    <t>10877</t>
  </si>
  <si>
    <t>10878</t>
  </si>
  <si>
    <t>10880</t>
  </si>
  <si>
    <t>10881</t>
  </si>
  <si>
    <t>10882</t>
  </si>
  <si>
    <t>10883</t>
  </si>
  <si>
    <t>10884</t>
  </si>
  <si>
    <t>10885</t>
  </si>
  <si>
    <t>10888</t>
  </si>
  <si>
    <t>10889</t>
  </si>
  <si>
    <t>10894</t>
  </si>
  <si>
    <t>10896</t>
  </si>
  <si>
    <t>10900</t>
  </si>
  <si>
    <t>10901</t>
  </si>
  <si>
    <t>10905</t>
  </si>
  <si>
    <t>10906</t>
  </si>
  <si>
    <t>10907</t>
  </si>
  <si>
    <t>10908</t>
  </si>
  <si>
    <t>10909</t>
  </si>
  <si>
    <t>10910</t>
  </si>
  <si>
    <t>10911</t>
  </si>
  <si>
    <t>10915</t>
  </si>
  <si>
    <t>10916</t>
  </si>
  <si>
    <t>10917</t>
  </si>
  <si>
    <t>10918</t>
  </si>
  <si>
    <t>10920</t>
  </si>
  <si>
    <t>10921</t>
  </si>
  <si>
    <t>10922</t>
  </si>
  <si>
    <t>10925</t>
  </si>
  <si>
    <t>10926</t>
  </si>
  <si>
    <t>10927</t>
  </si>
  <si>
    <t>10928</t>
  </si>
  <si>
    <t>10930</t>
  </si>
  <si>
    <t>10931</t>
  </si>
  <si>
    <t>10932</t>
  </si>
  <si>
    <t>10933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</si>
  <si>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</si>
  <si>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</si>
  <si>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</si>
  <si>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</si>
  <si>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</si>
  <si>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</si>
  <si>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</si>
  <si>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</si>
  <si>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</si>
  <si>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</si>
  <si>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</si>
  <si>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</si>
  <si>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</si>
  <si>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</si>
  <si>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</si>
  <si>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</si>
  <si>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</si>
  <si>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</si>
  <si>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10955</t>
  </si>
  <si>
    <t>10956</t>
  </si>
  <si>
    <t>10957</t>
  </si>
  <si>
    <t>10959</t>
  </si>
  <si>
    <t>10960</t>
  </si>
  <si>
    <t>10961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</si>
  <si>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</si>
  <si>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</si>
  <si>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</si>
  <si>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</si>
  <si>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</si>
  <si>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</si>
  <si>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</si>
  <si>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</si>
  <si>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</si>
  <si>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</si>
  <si>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11385</t>
  </si>
  <si>
    <t>11386</t>
  </si>
  <si>
    <t>11392</t>
  </si>
  <si>
    <t>11396</t>
  </si>
  <si>
    <t>11397</t>
  </si>
  <si>
    <t>11398</t>
  </si>
  <si>
    <t>11399</t>
  </si>
  <si>
    <t>11401</t>
  </si>
  <si>
    <t>11405</t>
  </si>
  <si>
    <t>11406</t>
  </si>
  <si>
    <t>11407</t>
  </si>
  <si>
    <t>11409</t>
  </si>
  <si>
    <t>11414</t>
  </si>
  <si>
    <t>11418</t>
  </si>
  <si>
    <t>11419</t>
  </si>
  <si>
    <t>11421</t>
  </si>
  <si>
    <t>11425</t>
  </si>
  <si>
    <t>11427</t>
  </si>
  <si>
    <t>11428</t>
  </si>
  <si>
    <t>11429</t>
  </si>
  <si>
    <t>11430</t>
  </si>
  <si>
    <t>11434</t>
  </si>
  <si>
    <t>11435</t>
  </si>
  <si>
    <t>11437</t>
  </si>
  <si>
    <t>11438</t>
  </si>
  <si>
    <t>11439</t>
  </si>
  <si>
    <t>11441</t>
  </si>
  <si>
    <t>11443</t>
  </si>
  <si>
    <t>11444</t>
  </si>
  <si>
    <t>11445</t>
  </si>
  <si>
    <t>11446</t>
  </si>
  <si>
    <t>11447</t>
  </si>
  <si>
    <t>11448</t>
  </si>
  <si>
    <t>11450</t>
  </si>
  <si>
    <t>11451</t>
  </si>
  <si>
    <t>11452</t>
  </si>
  <si>
    <t>11453</t>
  </si>
  <si>
    <t>11455</t>
  </si>
  <si>
    <t>11463</t>
  </si>
  <si>
    <t>11464</t>
  </si>
  <si>
    <t>11465</t>
  </si>
  <si>
    <t>11466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</si>
  <si>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</si>
  <si>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</si>
  <si>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</si>
  <si>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</si>
  <si>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</si>
  <si>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</si>
  <si>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</si>
  <si>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</si>
  <si>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11487</t>
  </si>
  <si>
    <t>11493</t>
  </si>
  <si>
    <t>11494</t>
  </si>
  <si>
    <t>11500</t>
  </si>
  <si>
    <t>11504</t>
  </si>
  <si>
    <t>11506</t>
  </si>
  <si>
    <t>11508</t>
  </si>
  <si>
    <t>11511</t>
  </si>
  <si>
    <t>11515</t>
  </si>
  <si>
    <t>11547</t>
  </si>
  <si>
    <t>11548</t>
  </si>
  <si>
    <t>11549</t>
  </si>
  <si>
    <t>11550</t>
  </si>
  <si>
    <t>11551</t>
  </si>
  <si>
    <t>11553</t>
  </si>
  <si>
    <t>11554</t>
  </si>
  <si>
    <t>11555</t>
  </si>
  <si>
    <t>11557</t>
  </si>
  <si>
    <t>11567</t>
  </si>
  <si>
    <t>11572</t>
  </si>
  <si>
    <t>11580</t>
  </si>
  <si>
    <t>11582</t>
  </si>
  <si>
    <t>11613</t>
  </si>
  <si>
    <t>11617</t>
  </si>
  <si>
    <t>11619</t>
  </si>
  <si>
    <t>11628</t>
  </si>
  <si>
    <t>11967</t>
  </si>
  <si>
    <t>11968</t>
  </si>
  <si>
    <t>11970</t>
  </si>
  <si>
    <t>11971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</si>
  <si>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</si>
  <si>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</si>
  <si>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</si>
  <si>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</si>
  <si>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</si>
  <si>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</si>
  <si>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</si>
  <si>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</si>
  <si>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11983</t>
  </si>
  <si>
    <t>11984</t>
  </si>
  <si>
    <t>11987</t>
  </si>
  <si>
    <t>11988</t>
  </si>
  <si>
    <t>11990</t>
  </si>
  <si>
    <t>11991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</si>
  <si>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</si>
  <si>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</si>
  <si>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</si>
  <si>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</si>
  <si>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</si>
  <si>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</si>
  <si>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</si>
  <si>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</si>
  <si>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12002</t>
  </si>
  <si>
    <t>12003</t>
  </si>
  <si>
    <t>12004</t>
  </si>
  <si>
    <t>12010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</si>
  <si>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</si>
  <si>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</si>
  <si>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</si>
  <si>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</si>
  <si>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</si>
  <si>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</si>
  <si>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</si>
  <si>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</si>
  <si>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12021</t>
  </si>
  <si>
    <t>12022</t>
  </si>
  <si>
    <t>12023</t>
  </si>
  <si>
    <t>12024</t>
  </si>
  <si>
    <t>12026</t>
  </si>
  <si>
    <t>12028</t>
  </si>
  <si>
    <t>12038</t>
  </si>
  <si>
    <t>12040</t>
  </si>
  <si>
    <t>12041</t>
  </si>
  <si>
    <t>12043</t>
  </si>
  <si>
    <t>12044</t>
  </si>
  <si>
    <t>12045</t>
  </si>
  <si>
    <t>12047</t>
  </si>
  <si>
    <t>12049</t>
  </si>
  <si>
    <t>12050</t>
  </si>
  <si>
    <t>12052</t>
  </si>
  <si>
    <t>12053</t>
  </si>
  <si>
    <t>12054</t>
  </si>
  <si>
    <t>12056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</si>
  <si>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</si>
  <si>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</si>
  <si>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</si>
  <si>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</si>
  <si>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</si>
  <si>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</si>
  <si>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</si>
  <si>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</si>
  <si>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</si>
  <si>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</si>
  <si>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</si>
  <si>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</si>
  <si>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</si>
  <si>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</si>
  <si>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12073</t>
  </si>
  <si>
    <t>12074</t>
  </si>
  <si>
    <t>12077</t>
  </si>
  <si>
    <t>12078</t>
  </si>
  <si>
    <t>12081</t>
  </si>
  <si>
    <t>12082</t>
  </si>
  <si>
    <t>12083</t>
  </si>
  <si>
    <t>12084</t>
  </si>
  <si>
    <t>12085</t>
  </si>
  <si>
    <t>12086</t>
  </si>
  <si>
    <t>12088</t>
  </si>
  <si>
    <t>12089</t>
  </si>
  <si>
    <t>12092</t>
  </si>
  <si>
    <t>12093</t>
  </si>
  <si>
    <t>12094</t>
  </si>
  <si>
    <t>12096</t>
  </si>
  <si>
    <t>12098</t>
  </si>
  <si>
    <t>12099</t>
  </si>
  <si>
    <t>12101</t>
  </si>
  <si>
    <t>12103</t>
  </si>
  <si>
    <t>12139</t>
  </si>
  <si>
    <t>12141</t>
  </si>
  <si>
    <t>12143</t>
  </si>
  <si>
    <t>12145</t>
  </si>
  <si>
    <t>12146</t>
  </si>
  <si>
    <t>12148</t>
  </si>
  <si>
    <t>12149</t>
  </si>
  <si>
    <t>12151</t>
  </si>
  <si>
    <t>12156</t>
  </si>
  <si>
    <t>12157</t>
  </si>
  <si>
    <t>12159</t>
  </si>
  <si>
    <t>12161</t>
  </si>
  <si>
    <t>12162</t>
  </si>
  <si>
    <t>12164</t>
  </si>
  <si>
    <t>12166</t>
  </si>
  <si>
    <t>12167</t>
  </si>
  <si>
    <t>12169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</si>
  <si>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</si>
  <si>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</si>
  <si>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</si>
  <si>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</si>
  <si>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</si>
  <si>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</si>
  <si>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</si>
  <si>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</si>
  <si>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12182</t>
  </si>
  <si>
    <t>12183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</si>
  <si>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</si>
  <si>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</si>
  <si>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</si>
  <si>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</si>
  <si>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</si>
  <si>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</si>
  <si>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</si>
  <si>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</si>
  <si>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12194</t>
  </si>
  <si>
    <t>12196</t>
  </si>
  <si>
    <t>12197</t>
  </si>
  <si>
    <t>12198</t>
  </si>
  <si>
    <t>12200</t>
  </si>
  <si>
    <t>12201</t>
  </si>
  <si>
    <t>12202</t>
  </si>
  <si>
    <t>12203</t>
  </si>
  <si>
    <t>12207</t>
  </si>
  <si>
    <t>12208</t>
  </si>
  <si>
    <t>12209</t>
  </si>
  <si>
    <t>12210</t>
  </si>
  <si>
    <t>12211</t>
  </si>
  <si>
    <t>12213</t>
  </si>
  <si>
    <t>12215</t>
  </si>
  <si>
    <t>12217</t>
  </si>
  <si>
    <t>12218</t>
  </si>
  <si>
    <t>12219</t>
  </si>
  <si>
    <t>12220</t>
  </si>
  <si>
    <t>12221</t>
  </si>
  <si>
    <t>12222</t>
  </si>
  <si>
    <t>12226</t>
  </si>
  <si>
    <t>12227</t>
  </si>
  <si>
    <t>12230</t>
  </si>
  <si>
    <t>12231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</si>
  <si>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</si>
  <si>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</si>
  <si>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</si>
  <si>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</si>
  <si>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</si>
  <si>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</si>
  <si>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</si>
  <si>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</si>
  <si>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</si>
  <si>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12243</t>
  </si>
  <si>
    <t>12244</t>
  </si>
  <si>
    <t>12246</t>
  </si>
  <si>
    <t>12247</t>
  </si>
  <si>
    <t>12250</t>
  </si>
  <si>
    <t>12251</t>
  </si>
  <si>
    <t>12253</t>
  </si>
  <si>
    <t>12254</t>
  </si>
  <si>
    <t>12255</t>
  </si>
  <si>
    <t>12256</t>
  </si>
  <si>
    <t>12258</t>
  </si>
  <si>
    <t>12368</t>
  </si>
  <si>
    <t>12370</t>
  </si>
  <si>
    <t>12371</t>
  </si>
  <si>
    <t>12373</t>
  </si>
  <si>
    <t>12374</t>
  </si>
  <si>
    <t>13287</t>
  </si>
  <si>
    <t>13777</t>
  </si>
  <si>
    <t>13816</t>
  </si>
  <si>
    <t>13885</t>
  </si>
  <si>
    <t>14169</t>
  </si>
  <si>
    <t>14604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</si>
  <si>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</si>
  <si>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</si>
  <si>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</si>
  <si>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</si>
  <si>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</si>
  <si>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</si>
  <si>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</si>
  <si>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</si>
  <si>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</si>
  <si>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</si>
  <si>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14617</t>
  </si>
  <si>
    <t>14620</t>
  </si>
  <si>
    <t>14621</t>
  </si>
  <si>
    <t>14623</t>
  </si>
  <si>
    <t>14625</t>
  </si>
  <si>
    <t>14626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</si>
  <si>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</si>
  <si>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</si>
  <si>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</si>
  <si>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</si>
  <si>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</si>
  <si>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</si>
  <si>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</si>
  <si>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</si>
  <si>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</si>
  <si>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</si>
  <si>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</si>
  <si>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</si>
  <si>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</si>
  <si>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</si>
  <si>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14643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</si>
  <si>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</si>
  <si>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</si>
  <si>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</si>
  <si>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</si>
  <si>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</si>
  <si>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</si>
  <si>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</si>
  <si>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</si>
  <si>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14656</t>
  </si>
  <si>
    <t>14657</t>
  </si>
  <si>
    <t>14658</t>
  </si>
  <si>
    <t>14659</t>
  </si>
  <si>
    <t>14661</t>
  </si>
  <si>
    <t>14662</t>
  </si>
  <si>
    <t>14663</t>
  </si>
  <si>
    <t>14664</t>
  </si>
  <si>
    <t>14666</t>
  </si>
  <si>
    <t>14667</t>
  </si>
  <si>
    <t>14671</t>
  </si>
  <si>
    <t>14672</t>
  </si>
  <si>
    <t>14673</t>
  </si>
  <si>
    <t>14677</t>
  </si>
  <si>
    <t>14680</t>
  </si>
  <si>
    <t>14682</t>
  </si>
  <si>
    <t>14684</t>
  </si>
  <si>
    <t>14686</t>
  </si>
  <si>
    <t>14687</t>
  </si>
  <si>
    <t>14689</t>
  </si>
  <si>
    <t>14690</t>
  </si>
  <si>
    <t>14691</t>
  </si>
  <si>
    <t>14692</t>
  </si>
  <si>
    <t>14693</t>
  </si>
  <si>
    <t>14695</t>
  </si>
  <si>
    <t>14696</t>
  </si>
  <si>
    <t>14697</t>
  </si>
  <si>
    <t>14698</t>
  </si>
  <si>
    <t>14699</t>
  </si>
  <si>
    <t>14703</t>
  </si>
  <si>
    <t>14707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</si>
  <si>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</si>
  <si>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</si>
  <si>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</si>
  <si>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</si>
  <si>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</si>
  <si>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</si>
  <si>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</si>
  <si>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</si>
  <si>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</si>
  <si>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14723</t>
  </si>
  <si>
    <t>14726</t>
  </si>
  <si>
    <t>14727</t>
  </si>
  <si>
    <t>14729</t>
  </si>
  <si>
    <t>14730</t>
  </si>
  <si>
    <t>14731</t>
  </si>
  <si>
    <t>14733</t>
  </si>
  <si>
    <t>14734</t>
  </si>
  <si>
    <t>14735</t>
  </si>
  <si>
    <t>14737</t>
  </si>
  <si>
    <t>14738</t>
  </si>
  <si>
    <t>14739</t>
  </si>
  <si>
    <t>14740</t>
  </si>
  <si>
    <t>14741</t>
  </si>
  <si>
    <t>14743</t>
  </si>
  <si>
    <t>14744</t>
  </si>
  <si>
    <t>14745</t>
  </si>
  <si>
    <t>14746</t>
  </si>
  <si>
    <t>14747</t>
  </si>
  <si>
    <t>14748</t>
  </si>
  <si>
    <t>14749</t>
  </si>
  <si>
    <t>14751</t>
  </si>
  <si>
    <t>14752</t>
  </si>
  <si>
    <t>14755</t>
  </si>
  <si>
    <t>14764</t>
  </si>
  <si>
    <t>14765</t>
  </si>
  <si>
    <t>14766</t>
  </si>
  <si>
    <t>14767</t>
  </si>
  <si>
    <t>14779</t>
  </si>
  <si>
    <t>14780</t>
  </si>
  <si>
    <t>14781</t>
  </si>
  <si>
    <t>14783</t>
  </si>
  <si>
    <t>14784</t>
  </si>
  <si>
    <t>14787</t>
  </si>
  <si>
    <t>14788</t>
  </si>
  <si>
    <t>14789</t>
  </si>
  <si>
    <t>14791</t>
  </si>
  <si>
    <t>14792</t>
  </si>
  <si>
    <t>14795</t>
  </si>
  <si>
    <t>14798</t>
  </si>
  <si>
    <t>14802</t>
  </si>
  <si>
    <t>14813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</si>
</sst>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40A]d&quot; de &quot;mmmm&quot; de &quot;yyyy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8"/>
      <color rgb="FFFFFFFF"/>
      <name val="Arial"/>
      <family val="2"/>
    </font>
    <font>
      <b/>
      <sz val="9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33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8">
    <xf numFmtId="0" fontId="0" fillId="0" borderId="0" xfId="0"/>
    <xf numFmtId="0" fontId="19" fillId="0" borderId="0" xfId="0" applyFont="1" applyAlignment="1">
      <alignment horizontal="center" vertical="center" wrapText="1"/>
    </xf>
    <xf numFmtId="0" fontId="19" fillId="34" borderId="0" xfId="0" applyFont="1" applyFill="1" applyAlignment="1">
      <alignment horizontal="center" vertical="center" wrapText="1"/>
    </xf>
    <xf numFmtId="0" fontId="20" fillId="33" borderId="0" xfId="0" applyFont="1" applyFill="1" applyAlignment="1">
      <alignment horizontal="center" vertical="center" wrapText="1"/>
    </xf>
    <xf numFmtId="0" fontId="20" fillId="34" borderId="0" xfId="0" applyFont="1" applyFill="1" applyAlignment="1">
      <alignment horizontal="center" vertical="center" wrapText="1"/>
    </xf>
    <xf numFmtId="0" fontId="21" fillId="33" borderId="0" xfId="0" applyFont="1" applyFill="1" applyAlignment="1">
      <alignment horizontal="center" vertical="center" wrapText="1"/>
    </xf>
    <xf numFmtId="0" fontId="20" fillId="33" borderId="0" xfId="42" applyFont="1" applyFill="1" applyAlignment="1">
      <alignment horizontal="center" vertical="center" wrapText="1"/>
    </xf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19" fillId="0" borderId="0" xfId="0" applyNumberFormat="1" applyFont="1" applyAlignment="1">
      <alignment horizontal="center" vertical="center" wrapText="1"/>
    </xf>
    <xf numFmtId="14" fontId="0" fillId="0" borderId="0" xfId="0" applyNumberFormat="1"/>
    <xf numFmtId="164" fontId="19" fillId="34" borderId="0" xfId="0" applyNumberFormat="1" applyFont="1" applyFill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22" fontId="0" fillId="0" borderId="0" xfId="0" applyNumberFormat="1"/>
    <xf numFmtId="3" fontId="0" fillId="0" borderId="0" xfId="0" applyNumberFormat="1"/>
    <xf numFmtId="14" fontId="19" fillId="34" borderId="0" xfId="0" applyNumberFormat="1" applyFont="1" applyFill="1" applyAlignment="1">
      <alignment horizontal="center" vertical="center" wrapText="1"/>
    </xf>
    <xf numFmtId="49" fontId="0" fillId="0" borderId="0" xfId="0" applyNumberForma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 xr:uid="{A2DFCBB8-90EA-42F7-81B9-F44FF67F3D60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6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fill>
        <patternFill patternType="solid">
          <fgColor indexed="64"/>
          <bgColor rgb="FF33339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dd/mm/yyyy\ h:mm\ AM/P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fill>
        <patternFill patternType="solid">
          <fgColor indexed="64"/>
          <bgColor rgb="FF333399"/>
        </patternFill>
      </fill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textRotation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19" formatCode="d/mm/yyyy"/>
    </dxf>
    <dxf>
      <numFmt numFmtId="19" formatCode="d/mm/yyyy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textRotation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27" formatCode="d/mm/yyyy\ h:mm"/>
    </dxf>
    <dxf>
      <numFmt numFmtId="27" formatCode="d/mm/yyyy\ h:mm"/>
    </dxf>
    <dxf>
      <numFmt numFmtId="1" formatCode="0"/>
    </dxf>
    <dxf>
      <numFmt numFmtId="27" formatCode="d/mm/yyyy\ h:mm"/>
    </dxf>
    <dxf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7253C2-457E-401D-9528-5CDCAF886EF1}" name="Tabla1" displayName="Tabla1" ref="A1:AC320" totalsRowShown="0" headerRowDxfId="44">
  <autoFilter ref="A1:AC320" xr:uid="{A17253C2-457E-401D-9528-5CDCAF886EF1}"/>
  <tableColumns count="29">
    <tableColumn id="1" xr3:uid="{2DF0E1C5-799D-43F1-9621-B1F87AB88397}" name="Consecutivo radicación (Núm. Trámite)" dataDxfId="43"/>
    <tableColumn id="2" xr3:uid="{5E93F09C-EE64-45D0-B683-EBDD5FECF11D}" name="Gestor de tramite"/>
    <tableColumn id="3" xr3:uid="{1BD09C59-CCC9-43D5-B6A8-3E4C34756554}" name="Razón para el estado"/>
    <tableColumn id="4" xr3:uid="{D1300665-DCAE-4A76-A3FD-022FF3436CBE}" name="Observaciones"/>
    <tableColumn id="5" xr3:uid="{4403B1F9-97B4-4B76-BB0B-915571CE2E49}" name="Recordatorio"/>
    <tableColumn id="6" xr3:uid="{C819C8B2-EA2D-48A9-AC9F-4CF4A9EAB139}" name="Fecha de creación (Fecha último requerimiento)" dataDxfId="42"/>
    <tableColumn id="7" xr3:uid="{D5527152-D705-436C-B41C-A5EF75208598}" name="Número de documento del contacto" dataDxfId="41"/>
    <tableColumn id="8" xr3:uid="{61B2FD4F-AB27-4084-8DD3-24B21644C7AE}" name="Contacto"/>
    <tableColumn id="9" xr3:uid="{781E4C6E-CF7C-42CB-872B-4CCD70FDC813}" name="Correo electrónico (Contacto)"/>
    <tableColumn id="10" xr3:uid="{53BA525B-90E9-4FC9-BC57-5958F0603C24}" name="Tipo trámite"/>
    <tableColumn id="11" xr3:uid="{1E4779F3-9756-4DD0-84D4-89E124BD6D7A}" name="Eliminar Dupl."/>
    <tableColumn id="12" xr3:uid="{212692CA-AC30-4E93-92C2-AE2B877B6774}" name="Fecha (Fecha de archivo)" dataDxfId="40"/>
    <tableColumn id="13" xr3:uid="{DE6FFC7E-8B6D-4B5A-95C4-84F67505B6C3}" name="Dias. Dif"/>
    <tableColumn id="14" xr3:uid="{EE24BF76-5A7E-4134-B6DD-ABB17C013678}" name="Mas de 1 Reque."/>
    <tableColumn id="15" xr3:uid="{AB745B2A-D4D6-45FD-9026-B6E465B7A059}" name="Mayor a 30 días"/>
    <tableColumn id="16" xr3:uid="{0438BAEA-C5BF-407C-B60B-A43F80D806F2}" name="Fecha de radicación (Trámite)" dataDxfId="39"/>
    <tableColumn id="17" xr3:uid="{0565A3CE-2FDE-489C-85B6-CA0FA332A5F2}" name="Tipo de documento del contacto"/>
    <tableColumn id="18" xr3:uid="{905C49C1-8F10-4F88-8BF1-9CFBCE564C93}" name="Número de resolución de archivo" dataDxfId="38">
      <calculatedColumnFormula>IFERROR(VLOOKUP(Tabla1[[#This Row],[Número de documento del contacto]],'Resoluciones 1 (Res)'!$A:$C,2,0),"")</calculatedColumnFormula>
    </tableColumn>
    <tableColumn id="19" xr3:uid="{773E0A32-4F65-430C-99CF-D790BD1E76CF}" name="Fecha de resolución de archivo" dataDxfId="37">
      <calculatedColumnFormula>IFERROR(VLOOKUP(Tabla1[[#This Row],[Número de documento del contacto]],'Resoluciones 1 (Res)'!$A:$C,3,0),"")</calculatedColumnFormula>
    </tableColumn>
    <tableColumn id="20" xr3:uid="{953062E1-8BEB-4818-B658-6F97E9E44096}" name="Número de requerimento" dataDxfId="36">
      <calculatedColumnFormula>IFERROR(VLOOKUP(Tabla1[[#This Row],[Número de documento del contacto]],'Resoluciones 2 (Req)'!$B:$E,3,0),"")</calculatedColumnFormula>
    </tableColumn>
    <tableColumn id="21" xr3:uid="{C46AA0FA-B303-4DEA-A345-E75581808D69}" name="Texto Fecha de creación (Fecha último requerimiento)" dataDxfId="35">
      <calculatedColumnFormula>TEXT(F2, "d ""de"" mmmm ""de"" yyyy")</calculatedColumnFormula>
    </tableColumn>
    <tableColumn id="22" xr3:uid="{4F9C5762-A82B-451F-A67A-4AA948805F10}" name="Texto Fecha de radicación (Trámite)" dataDxfId="34">
      <calculatedColumnFormula>TEXT(P2, "d ""de"" mmmm ""de"" yyyy")</calculatedColumnFormula>
    </tableColumn>
    <tableColumn id="23" xr3:uid="{CC788869-A47D-4C94-BA12-06ECCA3506FD}" name="Num. Automatico de pdf" dataDxfId="33">
      <calculatedColumnFormula>"1-" &amp; ROWS($W$2:W2) &amp; ".pdf"</calculatedColumnFormula>
    </tableColumn>
    <tableColumn id="24" xr3:uid="{2C3A7CC3-DE9F-4751-8241-5370F482E74C}" name="Archivo de resolución" dataDxfId="32">
      <calculatedColumnFormula>Tabla1[[#This Row],[Número de documento del contacto]]&amp;"-"&amp;Tabla1[[#This Row],[Número de resolución de archivo]]&amp;".pdf"</calculatedColumnFormula>
    </tableColumn>
    <tableColumn id="25" xr3:uid="{4D68479B-1512-4735-9D87-58264F84D7FB}" name="Nombre del archivo de resolución" dataDxfId="31">
      <calculatedColumnFormula>"ren """ &amp; W2 &amp; """ """ &amp; X2 &amp; """"</calculatedColumnFormula>
    </tableColumn>
    <tableColumn id="26" xr3:uid="{05504E3E-FA4B-476A-B06B-E5C3BFF59D07}" name="Nombre PDF / cedula + num resolucion" dataDxfId="1">
      <calculatedColumnFormula>Tabla1[[#This Row],[Número de documento del contacto]]&amp;"_"&amp;Tabla1[[#This Row],[Número de resolución de archivo]]&amp;".pdf"</calculatedColumnFormula>
    </tableColumn>
    <tableColumn id="27" xr3:uid="{B42DB91B-E910-495D-A55C-A3CDBB7CA807}" name="instructivo" dataDxfId="30"/>
    <tableColumn id="28" xr3:uid="{D6917EFA-5C8B-46E3-860B-40B16F437EDC}" name="Resolucion + instrucctivo separado de ;" dataDxfId="29">
      <calculatedColumnFormula>Tabla1[[#This Row],[Nombre PDF / cedula + num resolucion]]&amp;";"&amp;Tabla1[[#This Row],[instructivo]]</calculatedColumnFormula>
    </tableColumn>
    <tableColumn id="29" xr3:uid="{939A963E-EB85-43EB-8FCC-C2D62F2D51C0}" name="Nombre carpeta" dataDxfId="0">
      <calculatedColumnFormula>Tabla1[[#This Row],[Número de resolución de archivo]]&amp;"_"&amp;Tabla1[[#This Row],[Número de documento del contacto]]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9E054C-2CBB-41EC-A8E3-12C95C1227CD}" name="Tabla15" displayName="Tabla15" ref="A1:AC3" totalsRowShown="0" headerRowDxfId="28">
  <autoFilter ref="A1:AC3" xr:uid="{A17253C2-457E-401D-9528-5CDCAF886EF1}"/>
  <tableColumns count="29">
    <tableColumn id="1" xr3:uid="{19616E0C-6F1B-44D5-A083-8F4A081C9FEA}" name="Consecutivo radicación (Núm. Trámite)"/>
    <tableColumn id="2" xr3:uid="{B6412436-25EF-44D1-8C66-CB1700ABC976}" name="Gestor de tramite"/>
    <tableColumn id="3" xr3:uid="{65F7AF9E-7C59-4604-BBF3-FCFAAE053086}" name="Razón para el estado"/>
    <tableColumn id="4" xr3:uid="{47F71EF4-67AE-40F2-BBC3-C7070403CE27}" name="Observaciones"/>
    <tableColumn id="5" xr3:uid="{847E8E45-7B2F-4FD7-A88C-27D6056DCB8A}" name="Recordatorio"/>
    <tableColumn id="6" xr3:uid="{5FF20B38-FB95-4DD2-BFE8-8B4D5C273193}" name="Fecha de creación (Fecha último requerimiento)" dataDxfId="27"/>
    <tableColumn id="7" xr3:uid="{FF4F8E60-CE5B-4481-AD4D-A5EA77F60537}" name="Número de documento del contacto"/>
    <tableColumn id="8" xr3:uid="{FEB655A4-86E0-4BF2-97E4-6D7569E6D893}" name="Contacto"/>
    <tableColumn id="9" xr3:uid="{15AFDE60-CA3C-4438-8B56-BF30689F82D1}" name="Correo electrónico (Contacto)"/>
    <tableColumn id="10" xr3:uid="{C433275F-6820-4DFF-A787-00E5E2130C3E}" name="Tipo trámite"/>
    <tableColumn id="11" xr3:uid="{E7AEFCDB-88BF-4F27-B347-3108796AFAC1}" name="Eliminar Dupl."/>
    <tableColumn id="12" xr3:uid="{5EE35F86-29A9-4714-8282-9A996AF33A6B}" name="Fecha (Fecha de archivo)" dataDxfId="26"/>
    <tableColumn id="13" xr3:uid="{3D5AE635-4BDE-41B3-BB9F-84DFDED001E4}" name="Dias. Dif"/>
    <tableColumn id="14" xr3:uid="{27EFF331-C9EB-4EF6-B6D9-72EEFA7F157C}" name="Mas de 1 Reque."/>
    <tableColumn id="15" xr3:uid="{111EA062-B71F-4E1E-A5CD-12FD676AB7CA}" name="Mayor a 30 días"/>
    <tableColumn id="16" xr3:uid="{CCC9EBE7-F83F-47E9-80CE-204850FED626}" name="Fecha de radicación (Trámite)" dataDxfId="25"/>
    <tableColumn id="17" xr3:uid="{7DF45CB4-A594-4C19-9A5F-5A66FE28AF99}" name="Tipo de documento del contacto"/>
    <tableColumn id="18" xr3:uid="{550A682F-34B9-48DF-B7BA-4D17C5E217DA}" name="Número de resolución de archivo" dataDxfId="24">
      <calculatedColumnFormula>IFERROR(VLOOKUP(Tabla15[[#This Row],[Número de documento del contacto]],'Resoluciones 1 (Res)'!$A:$C,2,0),"")</calculatedColumnFormula>
    </tableColumn>
    <tableColumn id="19" xr3:uid="{7B71013D-D6DE-492E-82E7-1FB9BC8313F8}" name="Fecha de resolución de archivo" dataDxfId="23">
      <calculatedColumnFormula>IFERROR(VLOOKUP(Tabla15[[#This Row],[Número de documento del contacto]],'Resoluciones 1 (Res)'!$A:$C,3,0),"")</calculatedColumnFormula>
    </tableColumn>
    <tableColumn id="20" xr3:uid="{9021C295-DC49-441C-B0D6-5C9A4B7A8982}" name="Número de requerimento" dataDxfId="22">
      <calculatedColumnFormula>IFERROR(VLOOKUP(Tabla15[[#This Row],[Número de documento del contacto]],'Resoluciones 2 (Req)'!$A:$E,4,0),"")</calculatedColumnFormula>
    </tableColumn>
    <tableColumn id="21" xr3:uid="{41011C5F-C656-4F78-98D0-C37675011012}" name="Texto Fecha de creación (Fecha último requerimiento)" dataDxfId="21">
      <calculatedColumnFormula>TEXT(F2, "d ""de"" mmmm ""de"" yyyy")</calculatedColumnFormula>
    </tableColumn>
    <tableColumn id="22" xr3:uid="{1CD0AF41-313A-4C62-AB05-10974A365D83}" name="Texto Fecha de radicación (Trámite)" dataDxfId="20">
      <calculatedColumnFormula>TEXT(P2, "d ""de"" mmmm ""de"" yyyy")</calculatedColumnFormula>
    </tableColumn>
    <tableColumn id="23" xr3:uid="{47E3205E-B362-48FE-9A73-D8B9154504A5}" name="Num. Automatico de pdf" dataDxfId="19">
      <calculatedColumnFormula>"1-" &amp; ROWS($W$2:W2) &amp; ".pdf"</calculatedColumnFormula>
    </tableColumn>
    <tableColumn id="24" xr3:uid="{AFA82BE7-179D-4F0B-B584-56EC5EBE57BD}" name="Archivo de resolución" dataDxfId="18">
      <calculatedColumnFormula>Tabla15[[#This Row],[Número de documento del contacto]]&amp;"-"&amp;Tabla15[[#This Row],[Número de resolución de archivo]]&amp;".pdf"</calculatedColumnFormula>
    </tableColumn>
    <tableColumn id="25" xr3:uid="{58EC32E5-0783-4996-845E-6065371B545D}" name="Nombre del archivo de resolución" dataDxfId="17">
      <calculatedColumnFormula>"ren """ &amp; W2 &amp; """ """ &amp; X2 &amp; """"</calculatedColumnFormula>
    </tableColumn>
    <tableColumn id="26" xr3:uid="{8EDC43E0-1768-413C-9791-68A9C549C26C}" name="Nombre PDF / cedula + num resolucion" dataDxfId="16">
      <calculatedColumnFormula>Tabla15[[#This Row],[Número de documento del contacto]]&amp;" - "&amp;Tabla15[[#This Row],[Número de resolución de archivo]]&amp;".pdf"</calculatedColumnFormula>
    </tableColumn>
    <tableColumn id="27" xr3:uid="{C6900B54-B19C-4480-AEAA-1E5AE46A0B43}" name="instructivo" dataDxfId="15"/>
    <tableColumn id="28" xr3:uid="{37232F35-9A81-4A4C-97FA-5E136957037A}" name="Resolucion + instrucctivo separado de ;" dataDxfId="14">
      <calculatedColumnFormula>Tabla15[[#This Row],[Nombre PDF / cedula + num resolucion]]&amp;";"&amp;Tabla15[[#This Row],[instructivo]]</calculatedColumnFormula>
    </tableColumn>
    <tableColumn id="29" xr3:uid="{8E98A625-6D2C-4698-8C9B-C3517978EE62}" name="Nombre carpeta" dataDxfId="13">
      <calculatedColumnFormula>Tabla15[[#This Row],[Número de resolución de archivo]]&amp;" - "&amp;Tabla15[[#This Row],[Número de documento del contacto]]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2BD771-E176-4B08-BF97-81186015B92C}" name="Tabla2" displayName="Tabla2" ref="A1:C320" totalsRowShown="0" headerRowDxfId="12" dataDxfId="11" headerRowCellStyle="Normal 2" dataCellStyle="Normal 2">
  <autoFilter ref="A1:C320" xr:uid="{192BD771-E176-4B08-BF97-81186015B92C}"/>
  <tableColumns count="3">
    <tableColumn id="1" xr3:uid="{8AF25E78-4F1D-4748-939F-383AF0F595AF}" name="Número de documento" dataDxfId="10" dataCellStyle="Normal 2"/>
    <tableColumn id="2" xr3:uid="{94256740-4058-4D45-9C7C-6312AD0D3F88}" name="Número de resolución" dataDxfId="9" dataCellStyle="Normal 2"/>
    <tableColumn id="3" xr3:uid="{D7309ECE-8401-4148-BFD8-57834D57A484}" name="Fecha de creación" dataDxfId="8" dataCellStyle="Normal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C4469C-0903-4BA0-81C5-3293096AEA80}" name="Tabla3" displayName="Tabla3" ref="A1:E3971" totalsRowShown="0" headerRowDxfId="7" dataDxfId="6">
  <autoFilter ref="A1:E3971" xr:uid="{8412CB64-16AC-4DFC-898B-43466B93D3AE}">
    <filterColumn colId="4">
      <filters>
        <filter val="Único"/>
      </filters>
    </filterColumn>
  </autoFilter>
  <sortState xmlns:xlrd2="http://schemas.microsoft.com/office/spreadsheetml/2017/richdata2" ref="A2:E3971">
    <sortCondition ref="B1:B3971"/>
  </sortState>
  <tableColumns count="5">
    <tableColumn id="1" xr3:uid="{B7ABCAB8-03A7-4BCF-9AAD-6A7B7E66ECD0}" name="Consecutivo radicación (Trámite)" dataDxfId="5"/>
    <tableColumn id="2" xr3:uid="{14152F7F-BFD7-4BA0-94D1-55F592A42A4D}" name="Número de documento del contacto (Trámite)" dataDxfId="4"/>
    <tableColumn id="3" xr3:uid="{B74E71E4-7028-49AD-99A4-4245252F4BCF}" name="Fecha de creación" dataDxfId="3"/>
    <tableColumn id="4" xr3:uid="{0E57C439-D920-421E-BF1C-E5C3C1159743}" name="Código" dataDxfId="2"/>
    <tableColumn id="5" xr3:uid="{6095E71A-D8A9-4B3B-B462-5FAE43E52CFF}" name="Duplicado">
      <calculatedColumnFormula>IF(COUNTIF($B$2:B2,B2)&gt;1,"Duplicado","Único")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C640"/>
  <sheetViews>
    <sheetView tabSelected="1" zoomScale="85" zoomScaleNormal="85" workbookViewId="0">
      <pane xSplit="17" ySplit="1" topLeftCell="R2" activePane="bottomRight" state="frozen"/>
      <selection pane="topRight" activeCell="R1" sqref="R1"/>
      <selection pane="bottomLeft" activeCell="A2" sqref="A2"/>
      <selection pane="bottomRight" activeCell="R2" sqref="R2:R3"/>
    </sheetView>
  </sheetViews>
  <sheetFormatPr baseColWidth="10" defaultRowHeight="15" x14ac:dyDescent="0.25"/>
  <cols>
    <col min="1" max="1" width="11.85546875" customWidth="1"/>
    <col min="2" max="3" width="11.140625" customWidth="1"/>
    <col min="4" max="4" width="14.5703125" customWidth="1"/>
    <col min="5" max="5" width="9.5703125" customWidth="1"/>
    <col min="6" max="6" width="19.28515625" style="11" customWidth="1"/>
    <col min="7" max="7" width="15.140625" customWidth="1"/>
    <col min="8" max="8" width="15" customWidth="1"/>
    <col min="9" max="9" width="11.140625" customWidth="1"/>
    <col min="10" max="10" width="13.28515625" customWidth="1"/>
    <col min="11" max="11" width="7.5703125" customWidth="1"/>
    <col min="12" max="12" width="15.140625" style="11" customWidth="1"/>
    <col min="13" max="15" width="7.7109375" customWidth="1"/>
    <col min="16" max="16" width="16.42578125" style="11" customWidth="1"/>
    <col min="17" max="17" width="11.140625" customWidth="1"/>
    <col min="19" max="19" width="11.42578125" style="11"/>
    <col min="21" max="22" width="20" customWidth="1"/>
    <col min="23" max="23" width="11.42578125" style="9"/>
    <col min="24" max="24" width="20" customWidth="1"/>
    <col min="25" max="25" width="49" customWidth="1"/>
    <col min="26" max="26" width="20.28515625" customWidth="1"/>
    <col min="27" max="27" width="17.140625" customWidth="1"/>
    <col min="28" max="28" width="82" bestFit="1" customWidth="1"/>
  </cols>
  <sheetData>
    <row r="1" spans="1:29" s="1" customFormat="1" ht="42" customHeight="1" x14ac:dyDescent="0.25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0" t="s">
        <v>31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0" t="s">
        <v>32</v>
      </c>
      <c r="M1" s="1" t="s">
        <v>10</v>
      </c>
      <c r="N1" s="1" t="s">
        <v>11</v>
      </c>
      <c r="O1" s="1" t="s">
        <v>12</v>
      </c>
      <c r="P1" s="10" t="s">
        <v>29</v>
      </c>
      <c r="Q1" s="1" t="s">
        <v>13</v>
      </c>
      <c r="R1" s="2" t="s">
        <v>33</v>
      </c>
      <c r="S1" s="16" t="s">
        <v>34</v>
      </c>
      <c r="T1" s="2" t="s">
        <v>37</v>
      </c>
      <c r="U1" s="12" t="s">
        <v>39</v>
      </c>
      <c r="V1" s="12" t="s">
        <v>40</v>
      </c>
      <c r="W1" s="2" t="s">
        <v>41</v>
      </c>
      <c r="X1" s="2" t="s">
        <v>43</v>
      </c>
      <c r="Y1" s="2" t="s">
        <v>42</v>
      </c>
      <c r="Z1" s="13" t="s">
        <v>45</v>
      </c>
      <c r="AA1" s="13" t="s">
        <v>46</v>
      </c>
      <c r="AB1" s="13" t="s">
        <v>47</v>
      </c>
      <c r="AC1" s="13" t="s">
        <v>48</v>
      </c>
    </row>
    <row r="2" spans="1:29" x14ac:dyDescent="0.25">
      <c r="A2">
        <v>20193</v>
      </c>
      <c r="B2" t="s">
        <v>14</v>
      </c>
      <c r="C2" t="s">
        <v>15</v>
      </c>
      <c r="D2" t="s">
        <v>16</v>
      </c>
      <c r="E2" t="s">
        <v>17</v>
      </c>
      <c r="F2" s="14">
        <v>46150</v>
      </c>
      <c r="G2">
        <v>1026564480</v>
      </c>
      <c r="H2" t="s">
        <v>50</v>
      </c>
      <c r="I2" t="s">
        <v>51</v>
      </c>
      <c r="J2" t="s">
        <v>20</v>
      </c>
      <c r="K2" t="s">
        <v>21</v>
      </c>
      <c r="L2" s="14">
        <v>46184</v>
      </c>
      <c r="M2">
        <v>34</v>
      </c>
      <c r="N2" t="s">
        <v>22</v>
      </c>
      <c r="O2" t="s">
        <v>22</v>
      </c>
      <c r="P2" s="14">
        <v>46126</v>
      </c>
      <c r="Q2" t="s">
        <v>23</v>
      </c>
      <c r="R2" s="7">
        <f>IFERROR(VLOOKUP(Tabla1[[#This Row],[Número de documento del contacto]],'Resoluciones 1 (Res)'!$A:$C,2,0),"")</f>
        <v>7480</v>
      </c>
      <c r="S2" s="11">
        <f>IFERROR(VLOOKUP(Tabla1[[#This Row],[Número de documento del contacto]],'Resoluciones 1 (Res)'!$A:$C,3,0),"")</f>
        <v>46184.606747685197</v>
      </c>
      <c r="T2" s="7" t="str">
        <f>IFERROR(VLOOKUP(Tabla1[[#This Row],[Número de documento del contacto]],'Resoluciones 2 (Req)'!$B:$E,3,0),"")</f>
        <v>14813</v>
      </c>
      <c r="U2" s="7" t="str">
        <f t="shared" ref="U2:U9" si="0">TEXT(F2, "d ""de"" mmmm ""de"" yyyy")</f>
        <v>8 de mayo de 2026</v>
      </c>
      <c r="V2" s="7" t="str">
        <f t="shared" ref="V2:V9" si="1">TEXT(P2, "d ""de"" mmmm ""de"" yyyy")</f>
        <v>14 de abril de 2026</v>
      </c>
      <c r="W2" s="8" t="str">
        <f>"1-" &amp; ROWS($W$2:W2) &amp; ".pdf"</f>
        <v>1-1.pdf</v>
      </c>
      <c r="X2" s="7" t="str">
        <f>Tabla1[[#This Row],[Número de documento del contacto]]&amp;"-"&amp;Tabla1[[#This Row],[Número de resolución de archivo]]&amp;".pdf"</f>
        <v>1026564480-7480.pdf</v>
      </c>
      <c r="Y2" s="7" t="str">
        <f t="shared" ref="Y2:Y9" si="2">"ren """ &amp; W2 &amp; """ """ &amp; X2 &amp; """"</f>
        <v>ren "1-1.pdf" "1026564480-7480.pdf"</v>
      </c>
      <c r="Z2" s="7" t="str">
        <f>Tabla1[[#This Row],[Número de documento del contacto]]&amp;"_"&amp;Tabla1[[#This Row],[Número de resolución de archivo]]&amp;".pdf"</f>
        <v>1026564480_7480.pdf</v>
      </c>
      <c r="AA2" s="7" t="s">
        <v>49</v>
      </c>
      <c r="AB2" s="7" t="str">
        <f>Tabla1[[#This Row],[Nombre PDF / cedula + num resolucion]]&amp;";"&amp;Tabla1[[#This Row],[instructivo]]</f>
        <v>1026564480_7480.pdf;10. Instructivo_Radicar_Activación_Credencial_DIGITAL_SIRNA.pdf</v>
      </c>
      <c r="AC2" s="7" t="str">
        <f>Tabla1[[#This Row],[Número de resolución de archivo]]&amp;"_"&amp;Tabla1[[#This Row],[Número de documento del contacto]]</f>
        <v>7480_1026564480</v>
      </c>
    </row>
    <row r="3" spans="1:29" x14ac:dyDescent="0.25">
      <c r="A3">
        <v>17938</v>
      </c>
      <c r="B3" t="s">
        <v>14</v>
      </c>
      <c r="C3" t="s">
        <v>15</v>
      </c>
      <c r="D3" t="s">
        <v>16</v>
      </c>
      <c r="E3" t="s">
        <v>17</v>
      </c>
      <c r="F3" s="14">
        <v>46149</v>
      </c>
      <c r="G3">
        <v>5307571</v>
      </c>
      <c r="H3" t="s">
        <v>52</v>
      </c>
      <c r="I3" t="s">
        <v>53</v>
      </c>
      <c r="J3" t="s">
        <v>20</v>
      </c>
      <c r="K3" t="s">
        <v>21</v>
      </c>
      <c r="L3" s="14">
        <v>46184</v>
      </c>
      <c r="M3">
        <v>35</v>
      </c>
      <c r="N3" t="s">
        <v>22</v>
      </c>
      <c r="O3" t="s">
        <v>22</v>
      </c>
      <c r="P3" s="14">
        <v>46108</v>
      </c>
      <c r="Q3" t="s">
        <v>23</v>
      </c>
      <c r="R3" s="7">
        <f>IFERROR(VLOOKUP(Tabla1[[#This Row],[Número de documento del contacto]],'Resoluciones 1 (Res)'!$A:$C,2,0),"")</f>
        <v>7693</v>
      </c>
      <c r="S3" s="11">
        <f>IFERROR(VLOOKUP(Tabla1[[#This Row],[Número de documento del contacto]],'Resoluciones 1 (Res)'!$A:$C,3,0),"")</f>
        <v>46184.606747685197</v>
      </c>
      <c r="T3" s="7" t="str">
        <f>IFERROR(VLOOKUP(Tabla1[[#This Row],[Número de documento del contacto]],'Resoluciones 2 (Req)'!$B:$E,3,0),"")</f>
        <v>14604</v>
      </c>
      <c r="U3" s="7" t="str">
        <f t="shared" si="0"/>
        <v>7 de mayo de 2026</v>
      </c>
      <c r="V3" s="7" t="str">
        <f t="shared" si="1"/>
        <v>27 de marzo de 2026</v>
      </c>
      <c r="W3" s="8" t="str">
        <f>"1-" &amp; ROWS($W$2:W3) &amp; ".pdf"</f>
        <v>1-2.pdf</v>
      </c>
      <c r="X3" s="7" t="str">
        <f>Tabla1[[#This Row],[Número de documento del contacto]]&amp;"-"&amp;Tabla1[[#This Row],[Número de resolución de archivo]]&amp;".pdf"</f>
        <v>5307571-7693.pdf</v>
      </c>
      <c r="Y3" s="7" t="str">
        <f t="shared" si="2"/>
        <v>ren "1-2.pdf" "5307571-7693.pdf"</v>
      </c>
      <c r="Z3" s="7" t="str">
        <f>Tabla1[[#This Row],[Número de documento del contacto]]&amp;"_"&amp;Tabla1[[#This Row],[Número de resolución de archivo]]&amp;".pdf"</f>
        <v>5307571_7693.pdf</v>
      </c>
      <c r="AA3" s="7" t="s">
        <v>49</v>
      </c>
      <c r="AB3" s="7" t="str">
        <f>Tabla1[[#This Row],[Nombre PDF / cedula + num resolucion]]&amp;";"&amp;Tabla1[[#This Row],[instructivo]]</f>
        <v>5307571_7693.pdf;10. Instructivo_Radicar_Activación_Credencial_DIGITAL_SIRNA.pdf</v>
      </c>
      <c r="AC3" s="7" t="str">
        <f>Tabla1[[#This Row],[Número de resolución de archivo]]&amp;"_"&amp;Tabla1[[#This Row],[Número de documento del contacto]]</f>
        <v>7693_5307571</v>
      </c>
    </row>
    <row r="4" spans="1:29" x14ac:dyDescent="0.25">
      <c r="A4">
        <v>17782</v>
      </c>
      <c r="B4" t="s">
        <v>14</v>
      </c>
      <c r="C4" t="s">
        <v>15</v>
      </c>
      <c r="D4" t="s">
        <v>16</v>
      </c>
      <c r="E4" t="s">
        <v>17</v>
      </c>
      <c r="F4" s="14">
        <v>46149</v>
      </c>
      <c r="G4">
        <v>1033802942</v>
      </c>
      <c r="H4" t="s">
        <v>54</v>
      </c>
      <c r="I4" t="s">
        <v>55</v>
      </c>
      <c r="J4" t="s">
        <v>20</v>
      </c>
      <c r="K4" t="s">
        <v>21</v>
      </c>
      <c r="L4" s="14">
        <v>46184</v>
      </c>
      <c r="M4">
        <v>35</v>
      </c>
      <c r="N4" t="s">
        <v>22</v>
      </c>
      <c r="O4" t="s">
        <v>22</v>
      </c>
      <c r="P4" s="14">
        <v>46107</v>
      </c>
      <c r="Q4" t="s">
        <v>23</v>
      </c>
      <c r="R4" s="7">
        <f>IFERROR(VLOOKUP(Tabla1[[#This Row],[Número de documento del contacto]],'Resoluciones 1 (Res)'!$A:$C,2,0),"")</f>
        <v>7659</v>
      </c>
      <c r="S4" s="11">
        <f>IFERROR(VLOOKUP(Tabla1[[#This Row],[Número de documento del contacto]],'Resoluciones 1 (Res)'!$A:$C,3,0),"")</f>
        <v>46184.606747685197</v>
      </c>
      <c r="T4" s="7" t="str">
        <f>IFERROR(VLOOKUP(Tabla1[[#This Row],[Número de documento del contacto]],'Resoluciones 2 (Req)'!$B:$E,3,0),"")</f>
        <v>14695</v>
      </c>
      <c r="U4" s="7" t="str">
        <f t="shared" si="0"/>
        <v>7 de mayo de 2026</v>
      </c>
      <c r="V4" s="7" t="str">
        <f t="shared" si="1"/>
        <v>26 de marzo de 2026</v>
      </c>
      <c r="W4" s="8" t="str">
        <f>"1-" &amp; ROWS($W$2:W4) &amp; ".pdf"</f>
        <v>1-3.pdf</v>
      </c>
      <c r="X4" s="7" t="str">
        <f>Tabla1[[#This Row],[Número de documento del contacto]]&amp;"-"&amp;Tabla1[[#This Row],[Número de resolución de archivo]]&amp;".pdf"</f>
        <v>1033802942-7659.pdf</v>
      </c>
      <c r="Y4" s="7" t="str">
        <f t="shared" si="2"/>
        <v>ren "1-3.pdf" "1033802942-7659.pdf"</v>
      </c>
      <c r="Z4" s="7" t="str">
        <f>Tabla1[[#This Row],[Número de documento del contacto]]&amp;"_"&amp;Tabla1[[#This Row],[Número de resolución de archivo]]&amp;".pdf"</f>
        <v>1033802942_7659.pdf</v>
      </c>
      <c r="AA4" s="7" t="s">
        <v>49</v>
      </c>
      <c r="AB4" s="7" t="str">
        <f>Tabla1[[#This Row],[Nombre PDF / cedula + num resolucion]]&amp;";"&amp;Tabla1[[#This Row],[instructivo]]</f>
        <v>1033802942_7659.pdf;10. Instructivo_Radicar_Activación_Credencial_DIGITAL_SIRNA.pdf</v>
      </c>
      <c r="AC4" s="7" t="str">
        <f>Tabla1[[#This Row],[Número de resolución de archivo]]&amp;"_"&amp;Tabla1[[#This Row],[Número de documento del contacto]]</f>
        <v>7659_1033802942</v>
      </c>
    </row>
    <row r="5" spans="1:29" x14ac:dyDescent="0.25">
      <c r="A5">
        <v>17734</v>
      </c>
      <c r="B5" t="s">
        <v>14</v>
      </c>
      <c r="C5" t="s">
        <v>15</v>
      </c>
      <c r="D5" t="s">
        <v>16</v>
      </c>
      <c r="E5" t="s">
        <v>17</v>
      </c>
      <c r="F5" s="14">
        <v>46149</v>
      </c>
      <c r="G5">
        <v>7182978</v>
      </c>
      <c r="H5" t="s">
        <v>56</v>
      </c>
      <c r="I5" t="s">
        <v>57</v>
      </c>
      <c r="J5" t="s">
        <v>20</v>
      </c>
      <c r="K5" t="s">
        <v>21</v>
      </c>
      <c r="L5" s="14">
        <v>46184</v>
      </c>
      <c r="M5">
        <v>35</v>
      </c>
      <c r="N5" t="s">
        <v>22</v>
      </c>
      <c r="O5" t="s">
        <v>22</v>
      </c>
      <c r="P5" s="14">
        <v>46107</v>
      </c>
      <c r="Q5" t="s">
        <v>23</v>
      </c>
      <c r="R5" s="7">
        <f>IFERROR(VLOOKUP(Tabla1[[#This Row],[Número de documento del contacto]],'Resoluciones 1 (Res)'!$A:$C,2,0),"")</f>
        <v>7516</v>
      </c>
      <c r="S5" s="11">
        <f>IFERROR(VLOOKUP(Tabla1[[#This Row],[Número de documento del contacto]],'Resoluciones 1 (Res)'!$A:$C,3,0),"")</f>
        <v>46184.606747685197</v>
      </c>
      <c r="T5" s="7" t="str">
        <f>IFERROR(VLOOKUP(Tabla1[[#This Row],[Número de documento del contacto]],'Resoluciones 2 (Req)'!$B:$E,3,0),"")</f>
        <v>14643</v>
      </c>
      <c r="U5" s="7" t="str">
        <f t="shared" si="0"/>
        <v>7 de mayo de 2026</v>
      </c>
      <c r="V5" s="7" t="str">
        <f t="shared" si="1"/>
        <v>26 de marzo de 2026</v>
      </c>
      <c r="W5" s="8" t="str">
        <f>"1-" &amp; ROWS($W$2:W5) &amp; ".pdf"</f>
        <v>1-4.pdf</v>
      </c>
      <c r="X5" s="7" t="str">
        <f>Tabla1[[#This Row],[Número de documento del contacto]]&amp;"-"&amp;Tabla1[[#This Row],[Número de resolución de archivo]]&amp;".pdf"</f>
        <v>7182978-7516.pdf</v>
      </c>
      <c r="Y5" s="7" t="str">
        <f t="shared" si="2"/>
        <v>ren "1-4.pdf" "7182978-7516.pdf"</v>
      </c>
      <c r="Z5" s="7" t="str">
        <f>Tabla1[[#This Row],[Número de documento del contacto]]&amp;"_"&amp;Tabla1[[#This Row],[Número de resolución de archivo]]&amp;".pdf"</f>
        <v>7182978_7516.pdf</v>
      </c>
      <c r="AA5" s="7" t="s">
        <v>49</v>
      </c>
      <c r="AB5" s="7" t="str">
        <f>Tabla1[[#This Row],[Nombre PDF / cedula + num resolucion]]&amp;";"&amp;Tabla1[[#This Row],[instructivo]]</f>
        <v>7182978_7516.pdf;10. Instructivo_Radicar_Activación_Credencial_DIGITAL_SIRNA.pdf</v>
      </c>
      <c r="AC5" s="7" t="str">
        <f>Tabla1[[#This Row],[Número de resolución de archivo]]&amp;"_"&amp;Tabla1[[#This Row],[Número de documento del contacto]]</f>
        <v>7516_7182978</v>
      </c>
    </row>
    <row r="6" spans="1:29" x14ac:dyDescent="0.25">
      <c r="A6">
        <v>17445</v>
      </c>
      <c r="B6" t="s">
        <v>14</v>
      </c>
      <c r="C6" t="s">
        <v>15</v>
      </c>
      <c r="D6" t="s">
        <v>16</v>
      </c>
      <c r="E6" t="s">
        <v>17</v>
      </c>
      <c r="F6" s="14">
        <v>46149</v>
      </c>
      <c r="G6">
        <v>10026088</v>
      </c>
      <c r="H6" t="s">
        <v>58</v>
      </c>
      <c r="I6" t="s">
        <v>59</v>
      </c>
      <c r="J6" t="s">
        <v>20</v>
      </c>
      <c r="K6" t="s">
        <v>21</v>
      </c>
      <c r="L6" s="14">
        <v>46184</v>
      </c>
      <c r="M6">
        <v>35</v>
      </c>
      <c r="N6" t="s">
        <v>22</v>
      </c>
      <c r="O6" t="s">
        <v>22</v>
      </c>
      <c r="P6" s="14">
        <v>46106</v>
      </c>
      <c r="Q6" t="s">
        <v>23</v>
      </c>
      <c r="R6" s="7">
        <f>IFERROR(VLOOKUP(Tabla1[[#This Row],[Número de documento del contacto]],'Resoluciones 1 (Res)'!$A:$C,2,0),"")</f>
        <v>7565</v>
      </c>
      <c r="S6" s="11">
        <f>IFERROR(VLOOKUP(Tabla1[[#This Row],[Número de documento del contacto]],'Resoluciones 1 (Res)'!$A:$C,3,0),"")</f>
        <v>46184.606747685197</v>
      </c>
      <c r="T6" s="7" t="str">
        <f>IFERROR(VLOOKUP(Tabla1[[#This Row],[Número de documento del contacto]],'Resoluciones 2 (Req)'!$B:$E,3,0),"")</f>
        <v>14645</v>
      </c>
      <c r="U6" s="7" t="str">
        <f t="shared" si="0"/>
        <v>7 de mayo de 2026</v>
      </c>
      <c r="V6" s="7" t="str">
        <f t="shared" si="1"/>
        <v>25 de marzo de 2026</v>
      </c>
      <c r="W6" s="8" t="str">
        <f>"1-" &amp; ROWS($W$2:W6) &amp; ".pdf"</f>
        <v>1-5.pdf</v>
      </c>
      <c r="X6" s="7" t="str">
        <f>Tabla1[[#This Row],[Número de documento del contacto]]&amp;"-"&amp;Tabla1[[#This Row],[Número de resolución de archivo]]&amp;".pdf"</f>
        <v>10026088-7565.pdf</v>
      </c>
      <c r="Y6" s="7" t="str">
        <f t="shared" si="2"/>
        <v>ren "1-5.pdf" "10026088-7565.pdf"</v>
      </c>
      <c r="Z6" s="7" t="str">
        <f>Tabla1[[#This Row],[Número de documento del contacto]]&amp;"_"&amp;Tabla1[[#This Row],[Número de resolución de archivo]]&amp;".pdf"</f>
        <v>10026088_7565.pdf</v>
      </c>
      <c r="AA6" s="7" t="s">
        <v>49</v>
      </c>
      <c r="AB6" s="7" t="str">
        <f>Tabla1[[#This Row],[Nombre PDF / cedula + num resolucion]]&amp;";"&amp;Tabla1[[#This Row],[instructivo]]</f>
        <v>10026088_7565.pdf;10. Instructivo_Radicar_Activación_Credencial_DIGITAL_SIRNA.pdf</v>
      </c>
      <c r="AC6" s="7" t="str">
        <f>Tabla1[[#This Row],[Número de resolución de archivo]]&amp;"_"&amp;Tabla1[[#This Row],[Número de documento del contacto]]</f>
        <v>7565_10026088</v>
      </c>
    </row>
    <row r="7" spans="1:29" x14ac:dyDescent="0.25">
      <c r="A7">
        <v>17229</v>
      </c>
      <c r="B7" t="s">
        <v>14</v>
      </c>
      <c r="C7" t="s">
        <v>15</v>
      </c>
      <c r="D7" t="s">
        <v>16</v>
      </c>
      <c r="E7" t="s">
        <v>17</v>
      </c>
      <c r="F7" s="14">
        <v>46149</v>
      </c>
      <c r="G7">
        <v>12561747</v>
      </c>
      <c r="H7" t="s">
        <v>60</v>
      </c>
      <c r="I7" t="s">
        <v>61</v>
      </c>
      <c r="J7" t="s">
        <v>20</v>
      </c>
      <c r="K7" t="s">
        <v>21</v>
      </c>
      <c r="L7" s="14">
        <v>46184</v>
      </c>
      <c r="M7">
        <v>35</v>
      </c>
      <c r="N7" t="s">
        <v>22</v>
      </c>
      <c r="O7" t="s">
        <v>22</v>
      </c>
      <c r="P7" s="14">
        <v>46105</v>
      </c>
      <c r="Q7" t="s">
        <v>23</v>
      </c>
      <c r="R7" s="7">
        <f>IFERROR(VLOOKUP(Tabla1[[#This Row],[Número de documento del contacto]],'Resoluciones 1 (Res)'!$A:$C,2,0),"")</f>
        <v>7499</v>
      </c>
      <c r="S7" s="11">
        <f>IFERROR(VLOOKUP(Tabla1[[#This Row],[Número de documento del contacto]],'Resoluciones 1 (Res)'!$A:$C,3,0),"")</f>
        <v>46184.606747685197</v>
      </c>
      <c r="T7" s="7" t="str">
        <f>IFERROR(VLOOKUP(Tabla1[[#This Row],[Número de documento del contacto]],'Resoluciones 2 (Req)'!$B:$E,3,0),"")</f>
        <v>14646</v>
      </c>
      <c r="U7" s="7" t="str">
        <f t="shared" si="0"/>
        <v>7 de mayo de 2026</v>
      </c>
      <c r="V7" s="7" t="str">
        <f t="shared" si="1"/>
        <v>24 de marzo de 2026</v>
      </c>
      <c r="W7" s="8" t="str">
        <f>"1-" &amp; ROWS($W$2:W7) &amp; ".pdf"</f>
        <v>1-6.pdf</v>
      </c>
      <c r="X7" s="7" t="str">
        <f>Tabla1[[#This Row],[Número de documento del contacto]]&amp;"-"&amp;Tabla1[[#This Row],[Número de resolución de archivo]]&amp;".pdf"</f>
        <v>12561747-7499.pdf</v>
      </c>
      <c r="Y7" s="7" t="str">
        <f t="shared" si="2"/>
        <v>ren "1-6.pdf" "12561747-7499.pdf"</v>
      </c>
      <c r="Z7" s="7" t="str">
        <f>Tabla1[[#This Row],[Número de documento del contacto]]&amp;"_"&amp;Tabla1[[#This Row],[Número de resolución de archivo]]&amp;".pdf"</f>
        <v>12561747_7499.pdf</v>
      </c>
      <c r="AA7" s="7" t="s">
        <v>49</v>
      </c>
      <c r="AB7" s="7" t="str">
        <f>Tabla1[[#This Row],[Nombre PDF / cedula + num resolucion]]&amp;";"&amp;Tabla1[[#This Row],[instructivo]]</f>
        <v>12561747_7499.pdf;10. Instructivo_Radicar_Activación_Credencial_DIGITAL_SIRNA.pdf</v>
      </c>
      <c r="AC7" s="7" t="str">
        <f>Tabla1[[#This Row],[Número de resolución de archivo]]&amp;"_"&amp;Tabla1[[#This Row],[Número de documento del contacto]]</f>
        <v>7499_12561747</v>
      </c>
    </row>
    <row r="8" spans="1:29" x14ac:dyDescent="0.25">
      <c r="A8">
        <v>17605</v>
      </c>
      <c r="B8" t="s">
        <v>14</v>
      </c>
      <c r="C8" t="s">
        <v>15</v>
      </c>
      <c r="D8" t="s">
        <v>16</v>
      </c>
      <c r="E8" t="s">
        <v>17</v>
      </c>
      <c r="F8" s="14">
        <v>46149</v>
      </c>
      <c r="G8">
        <v>13361702</v>
      </c>
      <c r="H8" t="s">
        <v>62</v>
      </c>
      <c r="I8" t="s">
        <v>63</v>
      </c>
      <c r="J8" t="s">
        <v>20</v>
      </c>
      <c r="K8" t="s">
        <v>21</v>
      </c>
      <c r="L8" s="14">
        <v>46184</v>
      </c>
      <c r="M8">
        <v>35</v>
      </c>
      <c r="N8" t="s">
        <v>22</v>
      </c>
      <c r="O8" t="s">
        <v>22</v>
      </c>
      <c r="P8" s="14">
        <v>46106</v>
      </c>
      <c r="Q8" t="s">
        <v>23</v>
      </c>
      <c r="R8" s="7">
        <f>IFERROR(VLOOKUP(Tabla1[[#This Row],[Número de documento del contacto]],'Resoluciones 1 (Res)'!$A:$C,2,0),"")</f>
        <v>7647</v>
      </c>
      <c r="S8" s="11">
        <f>IFERROR(VLOOKUP(Tabla1[[#This Row],[Número de documento del contacto]],'Resoluciones 1 (Res)'!$A:$C,3,0),"")</f>
        <v>46184.606747685197</v>
      </c>
      <c r="T8" s="7" t="str">
        <f>IFERROR(VLOOKUP(Tabla1[[#This Row],[Número de documento del contacto]],'Resoluciones 2 (Req)'!$B:$E,3,0),"")</f>
        <v>14647</v>
      </c>
      <c r="U8" s="7" t="str">
        <f t="shared" si="0"/>
        <v>7 de mayo de 2026</v>
      </c>
      <c r="V8" s="7" t="str">
        <f t="shared" si="1"/>
        <v>25 de marzo de 2026</v>
      </c>
      <c r="W8" s="8" t="str">
        <f>"1-" &amp; ROWS($W$2:W8) &amp; ".pdf"</f>
        <v>1-7.pdf</v>
      </c>
      <c r="X8" s="7" t="str">
        <f>Tabla1[[#This Row],[Número de documento del contacto]]&amp;"-"&amp;Tabla1[[#This Row],[Número de resolución de archivo]]&amp;".pdf"</f>
        <v>13361702-7647.pdf</v>
      </c>
      <c r="Y8" s="7" t="str">
        <f t="shared" si="2"/>
        <v>ren "1-7.pdf" "13361702-7647.pdf"</v>
      </c>
      <c r="Z8" s="7" t="str">
        <f>Tabla1[[#This Row],[Número de documento del contacto]]&amp;"_"&amp;Tabla1[[#This Row],[Número de resolución de archivo]]&amp;".pdf"</f>
        <v>13361702_7647.pdf</v>
      </c>
      <c r="AA8" s="7" t="s">
        <v>49</v>
      </c>
      <c r="AB8" s="7" t="str">
        <f>Tabla1[[#This Row],[Nombre PDF / cedula + num resolucion]]&amp;";"&amp;Tabla1[[#This Row],[instructivo]]</f>
        <v>13361702_7647.pdf;10. Instructivo_Radicar_Activación_Credencial_DIGITAL_SIRNA.pdf</v>
      </c>
      <c r="AC8" s="7" t="str">
        <f>Tabla1[[#This Row],[Número de resolución de archivo]]&amp;"_"&amp;Tabla1[[#This Row],[Número de documento del contacto]]</f>
        <v>7647_13361702</v>
      </c>
    </row>
    <row r="9" spans="1:29" x14ac:dyDescent="0.25">
      <c r="A9">
        <v>17765</v>
      </c>
      <c r="B9" t="s">
        <v>14</v>
      </c>
      <c r="C9" t="s">
        <v>15</v>
      </c>
      <c r="D9" t="s">
        <v>16</v>
      </c>
      <c r="E9" t="s">
        <v>17</v>
      </c>
      <c r="F9" s="14">
        <v>46149</v>
      </c>
      <c r="G9">
        <v>15442240</v>
      </c>
      <c r="H9" t="s">
        <v>64</v>
      </c>
      <c r="I9" t="s">
        <v>65</v>
      </c>
      <c r="J9" t="s">
        <v>20</v>
      </c>
      <c r="K9" t="s">
        <v>21</v>
      </c>
      <c r="L9" s="14">
        <v>46184</v>
      </c>
      <c r="M9">
        <v>35</v>
      </c>
      <c r="N9" t="s">
        <v>22</v>
      </c>
      <c r="O9" t="s">
        <v>22</v>
      </c>
      <c r="P9" s="14">
        <v>46107</v>
      </c>
      <c r="Q9" t="s">
        <v>23</v>
      </c>
      <c r="R9" s="7">
        <f>IFERROR(VLOOKUP(Tabla1[[#This Row],[Número de documento del contacto]],'Resoluciones 1 (Res)'!$A:$C,2,0),"")</f>
        <v>7748</v>
      </c>
      <c r="S9" s="11">
        <f>IFERROR(VLOOKUP(Tabla1[[#This Row],[Número de documento del contacto]],'Resoluciones 1 (Res)'!$A:$C,3,0),"")</f>
        <v>46184.606747685197</v>
      </c>
      <c r="T9" s="7" t="str">
        <f>IFERROR(VLOOKUP(Tabla1[[#This Row],[Número de documento del contacto]],'Resoluciones 2 (Req)'!$B:$E,3,0),"")</f>
        <v>14648</v>
      </c>
      <c r="U9" s="7" t="str">
        <f t="shared" si="0"/>
        <v>7 de mayo de 2026</v>
      </c>
      <c r="V9" s="7" t="str">
        <f t="shared" si="1"/>
        <v>26 de marzo de 2026</v>
      </c>
      <c r="W9" s="8" t="str">
        <f>"1-" &amp; ROWS($W$2:W9) &amp; ".pdf"</f>
        <v>1-8.pdf</v>
      </c>
      <c r="X9" s="7" t="str">
        <f>Tabla1[[#This Row],[Número de documento del contacto]]&amp;"-"&amp;Tabla1[[#This Row],[Número de resolución de archivo]]&amp;".pdf"</f>
        <v>15442240-7748.pdf</v>
      </c>
      <c r="Y9" s="7" t="str">
        <f t="shared" si="2"/>
        <v>ren "1-8.pdf" "15442240-7748.pdf"</v>
      </c>
      <c r="Z9" s="7" t="str">
        <f>Tabla1[[#This Row],[Número de documento del contacto]]&amp;"_"&amp;Tabla1[[#This Row],[Número de resolución de archivo]]&amp;".pdf"</f>
        <v>15442240_7748.pdf</v>
      </c>
      <c r="AA9" s="7" t="s">
        <v>49</v>
      </c>
      <c r="AB9" s="7" t="str">
        <f>Tabla1[[#This Row],[Nombre PDF / cedula + num resolucion]]&amp;";"&amp;Tabla1[[#This Row],[instructivo]]</f>
        <v>15442240_7748.pdf;10. Instructivo_Radicar_Activación_Credencial_DIGITAL_SIRNA.pdf</v>
      </c>
      <c r="AC9" s="7" t="str">
        <f>Tabla1[[#This Row],[Número de resolución de archivo]]&amp;"_"&amp;Tabla1[[#This Row],[Número de documento del contacto]]</f>
        <v>7748_15442240</v>
      </c>
    </row>
    <row r="10" spans="1:29" x14ac:dyDescent="0.25">
      <c r="A10">
        <v>13460</v>
      </c>
      <c r="B10" t="s">
        <v>14</v>
      </c>
      <c r="C10" t="s">
        <v>15</v>
      </c>
      <c r="D10" t="s">
        <v>16</v>
      </c>
      <c r="E10" t="s">
        <v>17</v>
      </c>
      <c r="F10" s="14">
        <v>46149</v>
      </c>
      <c r="G10">
        <v>18497207</v>
      </c>
      <c r="H10" t="s">
        <v>66</v>
      </c>
      <c r="I10" t="s">
        <v>67</v>
      </c>
      <c r="J10" t="s">
        <v>20</v>
      </c>
      <c r="K10" t="s">
        <v>21</v>
      </c>
      <c r="L10" s="14">
        <v>46184</v>
      </c>
      <c r="M10">
        <v>35</v>
      </c>
      <c r="N10" t="s">
        <v>22</v>
      </c>
      <c r="O10" t="s">
        <v>22</v>
      </c>
      <c r="P10" s="14">
        <v>46082</v>
      </c>
      <c r="Q10" t="s">
        <v>23</v>
      </c>
      <c r="R10" s="7">
        <f>IFERROR(VLOOKUP(Tabla1[[#This Row],[Número de documento del contacto]],'Resoluciones 1 (Res)'!$A:$C,2,0),"")</f>
        <v>7569</v>
      </c>
      <c r="S10" s="11">
        <f>IFERROR(VLOOKUP(Tabla1[[#This Row],[Número de documento del contacto]],'Resoluciones 1 (Res)'!$A:$C,3,0),"")</f>
        <v>46184.606747685197</v>
      </c>
      <c r="T10" s="7" t="str">
        <f>IFERROR(VLOOKUP(Tabla1[[#This Row],[Número de documento del contacto]],'Resoluciones 2 (Req)'!$B:$E,3,0),"")</f>
        <v>14789</v>
      </c>
      <c r="U10" s="7" t="str">
        <f t="shared" ref="U10:U73" si="3">TEXT(F10, "d ""de"" mmmm ""de"" yyyy")</f>
        <v>7 de mayo de 2026</v>
      </c>
      <c r="V10" s="7" t="str">
        <f t="shared" ref="V10:V73" si="4">TEXT(P10, "d ""de"" mmmm ""de"" yyyy")</f>
        <v>1 de marzo de 2026</v>
      </c>
      <c r="W10" s="8" t="str">
        <f>"1-" &amp; ROWS($W$2:W10) &amp; ".pdf"</f>
        <v>1-9.pdf</v>
      </c>
      <c r="X10" s="7" t="str">
        <f>Tabla1[[#This Row],[Número de documento del contacto]]&amp;"-"&amp;Tabla1[[#This Row],[Número de resolución de archivo]]&amp;".pdf"</f>
        <v>18497207-7569.pdf</v>
      </c>
      <c r="Y10" s="7" t="str">
        <f t="shared" ref="Y10:Y73" si="5">"ren """ &amp; W10 &amp; """ """ &amp; X10 &amp; """"</f>
        <v>ren "1-9.pdf" "18497207-7569.pdf"</v>
      </c>
      <c r="Z10" s="7" t="str">
        <f>Tabla1[[#This Row],[Número de documento del contacto]]&amp;"_"&amp;Tabla1[[#This Row],[Número de resolución de archivo]]&amp;".pdf"</f>
        <v>18497207_7569.pdf</v>
      </c>
      <c r="AA10" s="7" t="s">
        <v>49</v>
      </c>
      <c r="AB10" s="7" t="str">
        <f>Tabla1[[#This Row],[Nombre PDF / cedula + num resolucion]]&amp;";"&amp;Tabla1[[#This Row],[instructivo]]</f>
        <v>18497207_7569.pdf;10. Instructivo_Radicar_Activación_Credencial_DIGITAL_SIRNA.pdf</v>
      </c>
      <c r="AC10" s="7" t="str">
        <f>Tabla1[[#This Row],[Número de resolución de archivo]]&amp;"_"&amp;Tabla1[[#This Row],[Número de documento del contacto]]</f>
        <v>7569_18497207</v>
      </c>
    </row>
    <row r="11" spans="1:29" x14ac:dyDescent="0.25">
      <c r="A11">
        <v>17635</v>
      </c>
      <c r="B11" t="s">
        <v>14</v>
      </c>
      <c r="C11" t="s">
        <v>15</v>
      </c>
      <c r="D11" t="s">
        <v>16</v>
      </c>
      <c r="E11" t="s">
        <v>17</v>
      </c>
      <c r="F11" s="14">
        <v>46149</v>
      </c>
      <c r="G11">
        <v>18507721</v>
      </c>
      <c r="H11" t="s">
        <v>68</v>
      </c>
      <c r="I11" t="s">
        <v>69</v>
      </c>
      <c r="J11" t="s">
        <v>20</v>
      </c>
      <c r="K11" t="s">
        <v>21</v>
      </c>
      <c r="L11" s="14">
        <v>46184</v>
      </c>
      <c r="M11">
        <v>35</v>
      </c>
      <c r="N11" t="s">
        <v>22</v>
      </c>
      <c r="O11" t="s">
        <v>22</v>
      </c>
      <c r="P11" s="14">
        <v>46107</v>
      </c>
      <c r="Q11" t="s">
        <v>23</v>
      </c>
      <c r="R11" s="7">
        <f>IFERROR(VLOOKUP(Tabla1[[#This Row],[Número de documento del contacto]],'Resoluciones 1 (Res)'!$A:$C,2,0),"")</f>
        <v>7451</v>
      </c>
      <c r="S11" s="11">
        <f>IFERROR(VLOOKUP(Tabla1[[#This Row],[Número de documento del contacto]],'Resoluciones 1 (Res)'!$A:$C,3,0),"")</f>
        <v>46184.606747685197</v>
      </c>
      <c r="T11" s="7" t="str">
        <f>IFERROR(VLOOKUP(Tabla1[[#This Row],[Número de documento del contacto]],'Resoluciones 2 (Req)'!$B:$E,3,0),"")</f>
        <v>14649</v>
      </c>
      <c r="U11" s="7" t="str">
        <f t="shared" si="3"/>
        <v>7 de mayo de 2026</v>
      </c>
      <c r="V11" s="7" t="str">
        <f t="shared" si="4"/>
        <v>26 de marzo de 2026</v>
      </c>
      <c r="W11" s="8" t="str">
        <f>"1-" &amp; ROWS($W$2:W11) &amp; ".pdf"</f>
        <v>1-10.pdf</v>
      </c>
      <c r="X11" s="7" t="str">
        <f>Tabla1[[#This Row],[Número de documento del contacto]]&amp;"-"&amp;Tabla1[[#This Row],[Número de resolución de archivo]]&amp;".pdf"</f>
        <v>18507721-7451.pdf</v>
      </c>
      <c r="Y11" s="7" t="str">
        <f t="shared" si="5"/>
        <v>ren "1-10.pdf" "18507721-7451.pdf"</v>
      </c>
      <c r="Z11" s="7" t="str">
        <f>Tabla1[[#This Row],[Número de documento del contacto]]&amp;"_"&amp;Tabla1[[#This Row],[Número de resolución de archivo]]&amp;".pdf"</f>
        <v>18507721_7451.pdf</v>
      </c>
      <c r="AA11" s="7" t="s">
        <v>49</v>
      </c>
      <c r="AB11" s="7" t="str">
        <f>Tabla1[[#This Row],[Nombre PDF / cedula + num resolucion]]&amp;";"&amp;Tabla1[[#This Row],[instructivo]]</f>
        <v>18507721_7451.pdf;10. Instructivo_Radicar_Activación_Credencial_DIGITAL_SIRNA.pdf</v>
      </c>
      <c r="AC11" s="7" t="str">
        <f>Tabla1[[#This Row],[Número de resolución de archivo]]&amp;"_"&amp;Tabla1[[#This Row],[Número de documento del contacto]]</f>
        <v>7451_18507721</v>
      </c>
    </row>
    <row r="12" spans="1:29" x14ac:dyDescent="0.25">
      <c r="A12">
        <v>17255</v>
      </c>
      <c r="B12" t="s">
        <v>14</v>
      </c>
      <c r="C12" t="s">
        <v>15</v>
      </c>
      <c r="D12" t="s">
        <v>16</v>
      </c>
      <c r="E12" t="s">
        <v>17</v>
      </c>
      <c r="F12" s="14">
        <v>46149</v>
      </c>
      <c r="G12">
        <v>19444266</v>
      </c>
      <c r="H12" t="s">
        <v>70</v>
      </c>
      <c r="I12" t="s">
        <v>71</v>
      </c>
      <c r="J12" t="s">
        <v>20</v>
      </c>
      <c r="K12" t="s">
        <v>21</v>
      </c>
      <c r="L12" s="14">
        <v>46184</v>
      </c>
      <c r="M12">
        <v>35</v>
      </c>
      <c r="N12" t="s">
        <v>22</v>
      </c>
      <c r="O12" t="s">
        <v>22</v>
      </c>
      <c r="P12" s="14">
        <v>46105</v>
      </c>
      <c r="Q12" t="s">
        <v>23</v>
      </c>
      <c r="R12" s="7">
        <f>IFERROR(VLOOKUP(Tabla1[[#This Row],[Número de documento del contacto]],'Resoluciones 1 (Res)'!$A:$C,2,0),"")</f>
        <v>7640</v>
      </c>
      <c r="S12" s="11">
        <f>IFERROR(VLOOKUP(Tabla1[[#This Row],[Número de documento del contacto]],'Resoluciones 1 (Res)'!$A:$C,3,0),"")</f>
        <v>46184.606747685197</v>
      </c>
      <c r="T12" s="7" t="str">
        <f>IFERROR(VLOOKUP(Tabla1[[#This Row],[Número de documento del contacto]],'Resoluciones 2 (Req)'!$B:$E,3,0),"")</f>
        <v>14650</v>
      </c>
      <c r="U12" s="7" t="str">
        <f t="shared" si="3"/>
        <v>7 de mayo de 2026</v>
      </c>
      <c r="V12" s="7" t="str">
        <f t="shared" si="4"/>
        <v>24 de marzo de 2026</v>
      </c>
      <c r="W12" s="8" t="str">
        <f>"1-" &amp; ROWS($W$2:W12) &amp; ".pdf"</f>
        <v>1-11.pdf</v>
      </c>
      <c r="X12" s="7" t="str">
        <f>Tabla1[[#This Row],[Número de documento del contacto]]&amp;"-"&amp;Tabla1[[#This Row],[Número de resolución de archivo]]&amp;".pdf"</f>
        <v>19444266-7640.pdf</v>
      </c>
      <c r="Y12" s="7" t="str">
        <f t="shared" si="5"/>
        <v>ren "1-11.pdf" "19444266-7640.pdf"</v>
      </c>
      <c r="Z12" s="7" t="str">
        <f>Tabla1[[#This Row],[Número de documento del contacto]]&amp;"_"&amp;Tabla1[[#This Row],[Número de resolución de archivo]]&amp;".pdf"</f>
        <v>19444266_7640.pdf</v>
      </c>
      <c r="AA12" s="7" t="s">
        <v>49</v>
      </c>
      <c r="AB12" s="7" t="str">
        <f>Tabla1[[#This Row],[Nombre PDF / cedula + num resolucion]]&amp;";"&amp;Tabla1[[#This Row],[instructivo]]</f>
        <v>19444266_7640.pdf;10. Instructivo_Radicar_Activación_Credencial_DIGITAL_SIRNA.pdf</v>
      </c>
      <c r="AC12" s="7" t="str">
        <f>Tabla1[[#This Row],[Número de resolución de archivo]]&amp;"_"&amp;Tabla1[[#This Row],[Número de documento del contacto]]</f>
        <v>7640_19444266</v>
      </c>
    </row>
    <row r="13" spans="1:29" x14ac:dyDescent="0.25">
      <c r="A13">
        <v>17792</v>
      </c>
      <c r="B13" t="s">
        <v>14</v>
      </c>
      <c r="C13" t="s">
        <v>15</v>
      </c>
      <c r="D13" t="s">
        <v>16</v>
      </c>
      <c r="E13" t="s">
        <v>17</v>
      </c>
      <c r="F13" s="14">
        <v>46149</v>
      </c>
      <c r="G13">
        <v>22478665</v>
      </c>
      <c r="H13" t="s">
        <v>72</v>
      </c>
      <c r="I13" t="s">
        <v>73</v>
      </c>
      <c r="J13" t="s">
        <v>20</v>
      </c>
      <c r="K13" t="s">
        <v>21</v>
      </c>
      <c r="L13" s="14">
        <v>46184</v>
      </c>
      <c r="M13">
        <v>35</v>
      </c>
      <c r="N13" t="s">
        <v>22</v>
      </c>
      <c r="O13" t="s">
        <v>22</v>
      </c>
      <c r="P13" s="14">
        <v>46107</v>
      </c>
      <c r="Q13" t="s">
        <v>23</v>
      </c>
      <c r="R13" s="7">
        <f>IFERROR(VLOOKUP(Tabla1[[#This Row],[Número de documento del contacto]],'Resoluciones 1 (Res)'!$A:$C,2,0),"")</f>
        <v>7651</v>
      </c>
      <c r="S13" s="11">
        <f>IFERROR(VLOOKUP(Tabla1[[#This Row],[Número de documento del contacto]],'Resoluciones 1 (Res)'!$A:$C,3,0),"")</f>
        <v>46184.606747685197</v>
      </c>
      <c r="T13" s="7" t="str">
        <f>IFERROR(VLOOKUP(Tabla1[[#This Row],[Número de documento del contacto]],'Resoluciones 2 (Req)'!$B:$E,3,0),"")</f>
        <v>14651</v>
      </c>
      <c r="U13" s="7" t="str">
        <f t="shared" si="3"/>
        <v>7 de mayo de 2026</v>
      </c>
      <c r="V13" s="7" t="str">
        <f t="shared" si="4"/>
        <v>26 de marzo de 2026</v>
      </c>
      <c r="W13" s="8" t="str">
        <f>"1-" &amp; ROWS($W$2:W13) &amp; ".pdf"</f>
        <v>1-12.pdf</v>
      </c>
      <c r="X13" s="7" t="str">
        <f>Tabla1[[#This Row],[Número de documento del contacto]]&amp;"-"&amp;Tabla1[[#This Row],[Número de resolución de archivo]]&amp;".pdf"</f>
        <v>22478665-7651.pdf</v>
      </c>
      <c r="Y13" s="7" t="str">
        <f t="shared" si="5"/>
        <v>ren "1-12.pdf" "22478665-7651.pdf"</v>
      </c>
      <c r="Z13" s="7" t="str">
        <f>Tabla1[[#This Row],[Número de documento del contacto]]&amp;"_"&amp;Tabla1[[#This Row],[Número de resolución de archivo]]&amp;".pdf"</f>
        <v>22478665_7651.pdf</v>
      </c>
      <c r="AA13" s="7" t="s">
        <v>49</v>
      </c>
      <c r="AB13" s="7" t="str">
        <f>Tabla1[[#This Row],[Nombre PDF / cedula + num resolucion]]&amp;";"&amp;Tabla1[[#This Row],[instructivo]]</f>
        <v>22478665_7651.pdf;10. Instructivo_Radicar_Activación_Credencial_DIGITAL_SIRNA.pdf</v>
      </c>
      <c r="AC13" s="7" t="str">
        <f>Tabla1[[#This Row],[Número de resolución de archivo]]&amp;"_"&amp;Tabla1[[#This Row],[Número de documento del contacto]]</f>
        <v>7651_22478665</v>
      </c>
    </row>
    <row r="14" spans="1:29" x14ac:dyDescent="0.25">
      <c r="A14">
        <v>17795</v>
      </c>
      <c r="B14" t="s">
        <v>14</v>
      </c>
      <c r="C14" t="s">
        <v>15</v>
      </c>
      <c r="D14" t="s">
        <v>16</v>
      </c>
      <c r="E14" t="s">
        <v>17</v>
      </c>
      <c r="F14" s="14">
        <v>46149</v>
      </c>
      <c r="G14">
        <v>29285093</v>
      </c>
      <c r="H14" t="s">
        <v>74</v>
      </c>
      <c r="I14" t="s">
        <v>75</v>
      </c>
      <c r="J14" t="s">
        <v>20</v>
      </c>
      <c r="K14" t="s">
        <v>21</v>
      </c>
      <c r="L14" s="14">
        <v>46184</v>
      </c>
      <c r="M14">
        <v>35</v>
      </c>
      <c r="N14" t="s">
        <v>22</v>
      </c>
      <c r="O14" t="s">
        <v>22</v>
      </c>
      <c r="P14" s="14">
        <v>46107</v>
      </c>
      <c r="Q14" t="s">
        <v>23</v>
      </c>
      <c r="R14" s="7">
        <f>IFERROR(VLOOKUP(Tabla1[[#This Row],[Número de documento del contacto]],'Resoluciones 1 (Res)'!$A:$C,2,0),"")</f>
        <v>7725</v>
      </c>
      <c r="S14" s="11">
        <f>IFERROR(VLOOKUP(Tabla1[[#This Row],[Número de documento del contacto]],'Resoluciones 1 (Res)'!$A:$C,3,0),"")</f>
        <v>46184.606747685197</v>
      </c>
      <c r="T14" s="7" t="str">
        <f>IFERROR(VLOOKUP(Tabla1[[#This Row],[Número de documento del contacto]],'Resoluciones 2 (Req)'!$B:$E,3,0),"")</f>
        <v>14652</v>
      </c>
      <c r="U14" s="7" t="str">
        <f t="shared" si="3"/>
        <v>7 de mayo de 2026</v>
      </c>
      <c r="V14" s="7" t="str">
        <f t="shared" si="4"/>
        <v>26 de marzo de 2026</v>
      </c>
      <c r="W14" s="8" t="str">
        <f>"1-" &amp; ROWS($W$2:W14) &amp; ".pdf"</f>
        <v>1-13.pdf</v>
      </c>
      <c r="X14" s="7" t="str">
        <f>Tabla1[[#This Row],[Número de documento del contacto]]&amp;"-"&amp;Tabla1[[#This Row],[Número de resolución de archivo]]&amp;".pdf"</f>
        <v>29285093-7725.pdf</v>
      </c>
      <c r="Y14" s="7" t="str">
        <f t="shared" si="5"/>
        <v>ren "1-13.pdf" "29285093-7725.pdf"</v>
      </c>
      <c r="Z14" s="7" t="str">
        <f>Tabla1[[#This Row],[Número de documento del contacto]]&amp;"_"&amp;Tabla1[[#This Row],[Número de resolución de archivo]]&amp;".pdf"</f>
        <v>29285093_7725.pdf</v>
      </c>
      <c r="AA14" s="7" t="s">
        <v>49</v>
      </c>
      <c r="AB14" s="7" t="str">
        <f>Tabla1[[#This Row],[Nombre PDF / cedula + num resolucion]]&amp;";"&amp;Tabla1[[#This Row],[instructivo]]</f>
        <v>29285093_7725.pdf;10. Instructivo_Radicar_Activación_Credencial_DIGITAL_SIRNA.pdf</v>
      </c>
      <c r="AC14" s="7" t="str">
        <f>Tabla1[[#This Row],[Número de resolución de archivo]]&amp;"_"&amp;Tabla1[[#This Row],[Número de documento del contacto]]</f>
        <v>7725_29285093</v>
      </c>
    </row>
    <row r="15" spans="1:29" x14ac:dyDescent="0.25">
      <c r="A15">
        <v>17473</v>
      </c>
      <c r="B15" t="s">
        <v>14</v>
      </c>
      <c r="C15" t="s">
        <v>15</v>
      </c>
      <c r="D15" t="s">
        <v>16</v>
      </c>
      <c r="E15" t="s">
        <v>17</v>
      </c>
      <c r="F15" s="14">
        <v>46149</v>
      </c>
      <c r="G15">
        <v>31574945</v>
      </c>
      <c r="H15" t="s">
        <v>76</v>
      </c>
      <c r="I15" t="s">
        <v>77</v>
      </c>
      <c r="J15" t="s">
        <v>20</v>
      </c>
      <c r="K15" t="s">
        <v>21</v>
      </c>
      <c r="L15" s="14">
        <v>46184</v>
      </c>
      <c r="M15">
        <v>35</v>
      </c>
      <c r="N15" t="s">
        <v>22</v>
      </c>
      <c r="O15" t="s">
        <v>22</v>
      </c>
      <c r="P15" s="14">
        <v>46106</v>
      </c>
      <c r="Q15" t="s">
        <v>23</v>
      </c>
      <c r="R15" s="7">
        <f>IFERROR(VLOOKUP(Tabla1[[#This Row],[Número de documento del contacto]],'Resoluciones 1 (Res)'!$A:$C,2,0),"")</f>
        <v>7728</v>
      </c>
      <c r="S15" s="11">
        <f>IFERROR(VLOOKUP(Tabla1[[#This Row],[Número de documento del contacto]],'Resoluciones 1 (Res)'!$A:$C,3,0),"")</f>
        <v>46184.606747685197</v>
      </c>
      <c r="T15" s="7" t="str">
        <f>IFERROR(VLOOKUP(Tabla1[[#This Row],[Número de documento del contacto]],'Resoluciones 2 (Req)'!$B:$E,3,0),"")</f>
        <v>14653</v>
      </c>
      <c r="U15" s="7" t="str">
        <f t="shared" si="3"/>
        <v>7 de mayo de 2026</v>
      </c>
      <c r="V15" s="7" t="str">
        <f t="shared" si="4"/>
        <v>25 de marzo de 2026</v>
      </c>
      <c r="W15" s="8" t="str">
        <f>"1-" &amp; ROWS($W$2:W15) &amp; ".pdf"</f>
        <v>1-14.pdf</v>
      </c>
      <c r="X15" s="7" t="str">
        <f>Tabla1[[#This Row],[Número de documento del contacto]]&amp;"-"&amp;Tabla1[[#This Row],[Número de resolución de archivo]]&amp;".pdf"</f>
        <v>31574945-7728.pdf</v>
      </c>
      <c r="Y15" s="7" t="str">
        <f t="shared" si="5"/>
        <v>ren "1-14.pdf" "31574945-7728.pdf"</v>
      </c>
      <c r="Z15" s="7" t="str">
        <f>Tabla1[[#This Row],[Número de documento del contacto]]&amp;"_"&amp;Tabla1[[#This Row],[Número de resolución de archivo]]&amp;".pdf"</f>
        <v>31574945_7728.pdf</v>
      </c>
      <c r="AA15" s="7" t="s">
        <v>49</v>
      </c>
      <c r="AB15" s="7" t="str">
        <f>Tabla1[[#This Row],[Nombre PDF / cedula + num resolucion]]&amp;";"&amp;Tabla1[[#This Row],[instructivo]]</f>
        <v>31574945_7728.pdf;10. Instructivo_Radicar_Activación_Credencial_DIGITAL_SIRNA.pdf</v>
      </c>
      <c r="AC15" s="7" t="str">
        <f>Tabla1[[#This Row],[Número de resolución de archivo]]&amp;"_"&amp;Tabla1[[#This Row],[Número de documento del contacto]]</f>
        <v>7728_31574945</v>
      </c>
    </row>
    <row r="16" spans="1:29" x14ac:dyDescent="0.25">
      <c r="A16">
        <v>18184</v>
      </c>
      <c r="B16" t="s">
        <v>14</v>
      </c>
      <c r="C16" t="s">
        <v>15</v>
      </c>
      <c r="D16" t="s">
        <v>16</v>
      </c>
      <c r="E16" t="s">
        <v>17</v>
      </c>
      <c r="F16" s="14">
        <v>46149</v>
      </c>
      <c r="G16">
        <v>32299164</v>
      </c>
      <c r="H16" t="s">
        <v>78</v>
      </c>
      <c r="I16" t="s">
        <v>79</v>
      </c>
      <c r="J16" t="s">
        <v>20</v>
      </c>
      <c r="K16" t="s">
        <v>21</v>
      </c>
      <c r="L16" s="14">
        <v>46184</v>
      </c>
      <c r="M16">
        <v>35</v>
      </c>
      <c r="N16" t="s">
        <v>22</v>
      </c>
      <c r="O16" t="s">
        <v>22</v>
      </c>
      <c r="P16" s="14">
        <v>46111</v>
      </c>
      <c r="Q16" t="s">
        <v>23</v>
      </c>
      <c r="R16" s="7">
        <f>IFERROR(VLOOKUP(Tabla1[[#This Row],[Número de documento del contacto]],'Resoluciones 1 (Res)'!$A:$C,2,0),"")</f>
        <v>7665</v>
      </c>
      <c r="S16" s="11">
        <f>IFERROR(VLOOKUP(Tabla1[[#This Row],[Número de documento del contacto]],'Resoluciones 1 (Res)'!$A:$C,3,0),"")</f>
        <v>46184.606747685197</v>
      </c>
      <c r="T16" s="7" t="str">
        <f>IFERROR(VLOOKUP(Tabla1[[#This Row],[Número de documento del contacto]],'Resoluciones 2 (Req)'!$B:$E,3,0),"")</f>
        <v>14606</v>
      </c>
      <c r="U16" s="7" t="str">
        <f t="shared" si="3"/>
        <v>7 de mayo de 2026</v>
      </c>
      <c r="V16" s="7" t="str">
        <f t="shared" si="4"/>
        <v>30 de marzo de 2026</v>
      </c>
      <c r="W16" s="8" t="str">
        <f>"1-" &amp; ROWS($W$2:W16) &amp; ".pdf"</f>
        <v>1-15.pdf</v>
      </c>
      <c r="X16" s="7" t="str">
        <f>Tabla1[[#This Row],[Número de documento del contacto]]&amp;"-"&amp;Tabla1[[#This Row],[Número de resolución de archivo]]&amp;".pdf"</f>
        <v>32299164-7665.pdf</v>
      </c>
      <c r="Y16" s="7" t="str">
        <f t="shared" si="5"/>
        <v>ren "1-15.pdf" "32299164-7665.pdf"</v>
      </c>
      <c r="Z16" s="7" t="str">
        <f>Tabla1[[#This Row],[Número de documento del contacto]]&amp;"_"&amp;Tabla1[[#This Row],[Número de resolución de archivo]]&amp;".pdf"</f>
        <v>32299164_7665.pdf</v>
      </c>
      <c r="AA16" s="7" t="s">
        <v>49</v>
      </c>
      <c r="AB16" s="7" t="str">
        <f>Tabla1[[#This Row],[Nombre PDF / cedula + num resolucion]]&amp;";"&amp;Tabla1[[#This Row],[instructivo]]</f>
        <v>32299164_7665.pdf;10. Instructivo_Radicar_Activación_Credencial_DIGITAL_SIRNA.pdf</v>
      </c>
      <c r="AC16" s="7" t="str">
        <f>Tabla1[[#This Row],[Número de resolución de archivo]]&amp;"_"&amp;Tabla1[[#This Row],[Número de documento del contacto]]</f>
        <v>7665_32299164</v>
      </c>
    </row>
    <row r="17" spans="1:29" x14ac:dyDescent="0.25">
      <c r="A17">
        <v>17457</v>
      </c>
      <c r="B17" t="s">
        <v>14</v>
      </c>
      <c r="C17" t="s">
        <v>15</v>
      </c>
      <c r="D17" t="s">
        <v>16</v>
      </c>
      <c r="E17" t="s">
        <v>17</v>
      </c>
      <c r="F17" s="14">
        <v>46149</v>
      </c>
      <c r="G17">
        <v>35262016</v>
      </c>
      <c r="H17" t="s">
        <v>80</v>
      </c>
      <c r="I17" t="s">
        <v>81</v>
      </c>
      <c r="J17" t="s">
        <v>20</v>
      </c>
      <c r="K17" t="s">
        <v>21</v>
      </c>
      <c r="L17" s="14">
        <v>46184</v>
      </c>
      <c r="M17">
        <v>35</v>
      </c>
      <c r="N17" t="s">
        <v>22</v>
      </c>
      <c r="O17" t="s">
        <v>22</v>
      </c>
      <c r="P17" s="14">
        <v>46106</v>
      </c>
      <c r="Q17" t="s">
        <v>23</v>
      </c>
      <c r="R17" s="7">
        <f>IFERROR(VLOOKUP(Tabla1[[#This Row],[Número de documento del contacto]],'Resoluciones 1 (Res)'!$A:$C,2,0),"")</f>
        <v>7489</v>
      </c>
      <c r="S17" s="11">
        <f>IFERROR(VLOOKUP(Tabla1[[#This Row],[Número de documento del contacto]],'Resoluciones 1 (Res)'!$A:$C,3,0),"")</f>
        <v>46184.606747685197</v>
      </c>
      <c r="T17" s="7" t="str">
        <f>IFERROR(VLOOKUP(Tabla1[[#This Row],[Número de documento del contacto]],'Resoluciones 2 (Req)'!$B:$E,3,0),"")</f>
        <v>14655</v>
      </c>
      <c r="U17" s="7" t="str">
        <f t="shared" si="3"/>
        <v>7 de mayo de 2026</v>
      </c>
      <c r="V17" s="7" t="str">
        <f t="shared" si="4"/>
        <v>25 de marzo de 2026</v>
      </c>
      <c r="W17" s="8" t="str">
        <f>"1-" &amp; ROWS($W$2:W17) &amp; ".pdf"</f>
        <v>1-16.pdf</v>
      </c>
      <c r="X17" s="7" t="str">
        <f>Tabla1[[#This Row],[Número de documento del contacto]]&amp;"-"&amp;Tabla1[[#This Row],[Número de resolución de archivo]]&amp;".pdf"</f>
        <v>35262016-7489.pdf</v>
      </c>
      <c r="Y17" s="7" t="str">
        <f t="shared" si="5"/>
        <v>ren "1-16.pdf" "35262016-7489.pdf"</v>
      </c>
      <c r="Z17" s="7" t="str">
        <f>Tabla1[[#This Row],[Número de documento del contacto]]&amp;"_"&amp;Tabla1[[#This Row],[Número de resolución de archivo]]&amp;".pdf"</f>
        <v>35262016_7489.pdf</v>
      </c>
      <c r="AA17" s="7" t="s">
        <v>49</v>
      </c>
      <c r="AB17" s="7" t="str">
        <f>Tabla1[[#This Row],[Nombre PDF / cedula + num resolucion]]&amp;";"&amp;Tabla1[[#This Row],[instructivo]]</f>
        <v>35262016_7489.pdf;10. Instructivo_Radicar_Activación_Credencial_DIGITAL_SIRNA.pdf</v>
      </c>
      <c r="AC17" s="7" t="str">
        <f>Tabla1[[#This Row],[Número de resolución de archivo]]&amp;"_"&amp;Tabla1[[#This Row],[Número de documento del contacto]]</f>
        <v>7489_35262016</v>
      </c>
    </row>
    <row r="18" spans="1:29" x14ac:dyDescent="0.25">
      <c r="A18">
        <v>13735</v>
      </c>
      <c r="B18" t="s">
        <v>14</v>
      </c>
      <c r="C18" t="s">
        <v>15</v>
      </c>
      <c r="D18" t="s">
        <v>16</v>
      </c>
      <c r="E18" t="s">
        <v>17</v>
      </c>
      <c r="F18" s="14">
        <v>46149</v>
      </c>
      <c r="G18">
        <v>37581200</v>
      </c>
      <c r="H18" t="s">
        <v>82</v>
      </c>
      <c r="I18" t="s">
        <v>83</v>
      </c>
      <c r="J18" t="s">
        <v>20</v>
      </c>
      <c r="K18" t="s">
        <v>21</v>
      </c>
      <c r="L18" s="14">
        <v>46184</v>
      </c>
      <c r="M18">
        <v>35</v>
      </c>
      <c r="N18" t="s">
        <v>22</v>
      </c>
      <c r="O18" t="s">
        <v>22</v>
      </c>
      <c r="P18" s="14">
        <v>46083</v>
      </c>
      <c r="Q18" t="s">
        <v>23</v>
      </c>
      <c r="R18" s="7">
        <f>IFERROR(VLOOKUP(Tabla1[[#This Row],[Número de documento del contacto]],'Resoluciones 1 (Res)'!$A:$C,2,0),"")</f>
        <v>7583</v>
      </c>
      <c r="S18" s="11">
        <f>IFERROR(VLOOKUP(Tabla1[[#This Row],[Número de documento del contacto]],'Resoluciones 1 (Res)'!$A:$C,3,0),"")</f>
        <v>46184.606747685197</v>
      </c>
      <c r="T18" s="7" t="str">
        <f>IFERROR(VLOOKUP(Tabla1[[#This Row],[Número de documento del contacto]],'Resoluciones 2 (Req)'!$B:$E,3,0),"")</f>
        <v>14791</v>
      </c>
      <c r="U18" s="7" t="str">
        <f t="shared" si="3"/>
        <v>7 de mayo de 2026</v>
      </c>
      <c r="V18" s="7" t="str">
        <f t="shared" si="4"/>
        <v>2 de marzo de 2026</v>
      </c>
      <c r="W18" s="8" t="str">
        <f>"1-" &amp; ROWS($W$2:W18) &amp; ".pdf"</f>
        <v>1-17.pdf</v>
      </c>
      <c r="X18" s="7" t="str">
        <f>Tabla1[[#This Row],[Número de documento del contacto]]&amp;"-"&amp;Tabla1[[#This Row],[Número de resolución de archivo]]&amp;".pdf"</f>
        <v>37581200-7583.pdf</v>
      </c>
      <c r="Y18" s="7" t="str">
        <f t="shared" si="5"/>
        <v>ren "1-17.pdf" "37581200-7583.pdf"</v>
      </c>
      <c r="Z18" s="7" t="str">
        <f>Tabla1[[#This Row],[Número de documento del contacto]]&amp;"_"&amp;Tabla1[[#This Row],[Número de resolución de archivo]]&amp;".pdf"</f>
        <v>37581200_7583.pdf</v>
      </c>
      <c r="AA18" s="7" t="s">
        <v>49</v>
      </c>
      <c r="AB18" s="7" t="str">
        <f>Tabla1[[#This Row],[Nombre PDF / cedula + num resolucion]]&amp;";"&amp;Tabla1[[#This Row],[instructivo]]</f>
        <v>37581200_7583.pdf;10. Instructivo_Radicar_Activación_Credencial_DIGITAL_SIRNA.pdf</v>
      </c>
      <c r="AC18" s="7" t="str">
        <f>Tabla1[[#This Row],[Número de resolución de archivo]]&amp;"_"&amp;Tabla1[[#This Row],[Número de documento del contacto]]</f>
        <v>7583_37581200</v>
      </c>
    </row>
    <row r="19" spans="1:29" x14ac:dyDescent="0.25">
      <c r="A19">
        <v>16862</v>
      </c>
      <c r="B19" t="s">
        <v>14</v>
      </c>
      <c r="C19" t="s">
        <v>15</v>
      </c>
      <c r="D19" t="s">
        <v>16</v>
      </c>
      <c r="E19" t="s">
        <v>17</v>
      </c>
      <c r="F19" s="14">
        <v>46149</v>
      </c>
      <c r="G19">
        <v>37752355</v>
      </c>
      <c r="H19" t="s">
        <v>84</v>
      </c>
      <c r="I19" t="s">
        <v>85</v>
      </c>
      <c r="J19" t="s">
        <v>20</v>
      </c>
      <c r="K19" t="s">
        <v>21</v>
      </c>
      <c r="L19" s="14">
        <v>46184</v>
      </c>
      <c r="M19">
        <v>35</v>
      </c>
      <c r="N19" t="s">
        <v>22</v>
      </c>
      <c r="O19" t="s">
        <v>22</v>
      </c>
      <c r="P19" s="14">
        <v>46101</v>
      </c>
      <c r="Q19" t="s">
        <v>23</v>
      </c>
      <c r="R19" s="7">
        <f>IFERROR(VLOOKUP(Tabla1[[#This Row],[Número de documento del contacto]],'Resoluciones 1 (Res)'!$A:$C,2,0),"")</f>
        <v>7707</v>
      </c>
      <c r="S19" s="11">
        <f>IFERROR(VLOOKUP(Tabla1[[#This Row],[Número de documento del contacto]],'Resoluciones 1 (Res)'!$A:$C,3,0),"")</f>
        <v>46184.606747685197</v>
      </c>
      <c r="T19" s="7" t="str">
        <f>IFERROR(VLOOKUP(Tabla1[[#This Row],[Número de documento del contacto]],'Resoluciones 2 (Req)'!$B:$E,3,0),"")</f>
        <v>14656</v>
      </c>
      <c r="U19" s="7" t="str">
        <f t="shared" si="3"/>
        <v>7 de mayo de 2026</v>
      </c>
      <c r="V19" s="7" t="str">
        <f t="shared" si="4"/>
        <v>20 de marzo de 2026</v>
      </c>
      <c r="W19" s="8" t="str">
        <f>"1-" &amp; ROWS($W$2:W19) &amp; ".pdf"</f>
        <v>1-18.pdf</v>
      </c>
      <c r="X19" s="7" t="str">
        <f>Tabla1[[#This Row],[Número de documento del contacto]]&amp;"-"&amp;Tabla1[[#This Row],[Número de resolución de archivo]]&amp;".pdf"</f>
        <v>37752355-7707.pdf</v>
      </c>
      <c r="Y19" s="7" t="str">
        <f t="shared" si="5"/>
        <v>ren "1-18.pdf" "37752355-7707.pdf"</v>
      </c>
      <c r="Z19" s="7" t="str">
        <f>Tabla1[[#This Row],[Número de documento del contacto]]&amp;"_"&amp;Tabla1[[#This Row],[Número de resolución de archivo]]&amp;".pdf"</f>
        <v>37752355_7707.pdf</v>
      </c>
      <c r="AA19" s="7" t="s">
        <v>49</v>
      </c>
      <c r="AB19" s="7" t="str">
        <f>Tabla1[[#This Row],[Nombre PDF / cedula + num resolucion]]&amp;";"&amp;Tabla1[[#This Row],[instructivo]]</f>
        <v>37752355_7707.pdf;10. Instructivo_Radicar_Activación_Credencial_DIGITAL_SIRNA.pdf</v>
      </c>
      <c r="AC19" s="7" t="str">
        <f>Tabla1[[#This Row],[Número de resolución de archivo]]&amp;"_"&amp;Tabla1[[#This Row],[Número de documento del contacto]]</f>
        <v>7707_37752355</v>
      </c>
    </row>
    <row r="20" spans="1:29" x14ac:dyDescent="0.25">
      <c r="A20">
        <v>18300</v>
      </c>
      <c r="B20" t="s">
        <v>14</v>
      </c>
      <c r="C20" t="s">
        <v>15</v>
      </c>
      <c r="D20" t="s">
        <v>16</v>
      </c>
      <c r="E20" t="s">
        <v>17</v>
      </c>
      <c r="F20" s="14">
        <v>46149</v>
      </c>
      <c r="G20">
        <v>41561606</v>
      </c>
      <c r="H20" t="s">
        <v>86</v>
      </c>
      <c r="I20" t="s">
        <v>87</v>
      </c>
      <c r="J20" t="s">
        <v>20</v>
      </c>
      <c r="K20" t="s">
        <v>21</v>
      </c>
      <c r="L20" s="14">
        <v>46184</v>
      </c>
      <c r="M20">
        <v>35</v>
      </c>
      <c r="N20" t="s">
        <v>22</v>
      </c>
      <c r="O20" t="s">
        <v>22</v>
      </c>
      <c r="P20" s="14">
        <v>46112</v>
      </c>
      <c r="Q20" t="s">
        <v>23</v>
      </c>
      <c r="R20" s="7">
        <f>IFERROR(VLOOKUP(Tabla1[[#This Row],[Número de documento del contacto]],'Resoluciones 1 (Res)'!$A:$C,2,0),"")</f>
        <v>7621</v>
      </c>
      <c r="S20" s="11">
        <f>IFERROR(VLOOKUP(Tabla1[[#This Row],[Número de documento del contacto]],'Resoluciones 1 (Res)'!$A:$C,3,0),"")</f>
        <v>46184.606747685197</v>
      </c>
      <c r="T20" s="7" t="str">
        <f>IFERROR(VLOOKUP(Tabla1[[#This Row],[Número de documento del contacto]],'Resoluciones 2 (Req)'!$B:$E,3,0),"")</f>
        <v>14607</v>
      </c>
      <c r="U20" s="7" t="str">
        <f t="shared" si="3"/>
        <v>7 de mayo de 2026</v>
      </c>
      <c r="V20" s="7" t="str">
        <f t="shared" si="4"/>
        <v>31 de marzo de 2026</v>
      </c>
      <c r="W20" s="8" t="str">
        <f>"1-" &amp; ROWS($W$2:W20) &amp; ".pdf"</f>
        <v>1-19.pdf</v>
      </c>
      <c r="X20" s="7" t="str">
        <f>Tabla1[[#This Row],[Número de documento del contacto]]&amp;"-"&amp;Tabla1[[#This Row],[Número de resolución de archivo]]&amp;".pdf"</f>
        <v>41561606-7621.pdf</v>
      </c>
      <c r="Y20" s="7" t="str">
        <f t="shared" si="5"/>
        <v>ren "1-19.pdf" "41561606-7621.pdf"</v>
      </c>
      <c r="Z20" s="7" t="str">
        <f>Tabla1[[#This Row],[Número de documento del contacto]]&amp;"_"&amp;Tabla1[[#This Row],[Número de resolución de archivo]]&amp;".pdf"</f>
        <v>41561606_7621.pdf</v>
      </c>
      <c r="AA20" s="7" t="s">
        <v>49</v>
      </c>
      <c r="AB20" s="7" t="str">
        <f>Tabla1[[#This Row],[Nombre PDF / cedula + num resolucion]]&amp;";"&amp;Tabla1[[#This Row],[instructivo]]</f>
        <v>41561606_7621.pdf;10. Instructivo_Radicar_Activación_Credencial_DIGITAL_SIRNA.pdf</v>
      </c>
      <c r="AC20" s="7" t="str">
        <f>Tabla1[[#This Row],[Número de resolución de archivo]]&amp;"_"&amp;Tabla1[[#This Row],[Número de documento del contacto]]</f>
        <v>7621_41561606</v>
      </c>
    </row>
    <row r="21" spans="1:29" x14ac:dyDescent="0.25">
      <c r="A21">
        <v>17389</v>
      </c>
      <c r="B21" t="s">
        <v>14</v>
      </c>
      <c r="C21" t="s">
        <v>15</v>
      </c>
      <c r="D21" t="s">
        <v>16</v>
      </c>
      <c r="E21" t="s">
        <v>17</v>
      </c>
      <c r="F21" s="14">
        <v>46149</v>
      </c>
      <c r="G21">
        <v>41898314</v>
      </c>
      <c r="H21" t="s">
        <v>88</v>
      </c>
      <c r="I21" t="s">
        <v>89</v>
      </c>
      <c r="J21" t="s">
        <v>20</v>
      </c>
      <c r="K21" t="s">
        <v>21</v>
      </c>
      <c r="L21" s="14">
        <v>46184</v>
      </c>
      <c r="M21">
        <v>35</v>
      </c>
      <c r="N21" t="s">
        <v>22</v>
      </c>
      <c r="O21" t="s">
        <v>22</v>
      </c>
      <c r="P21" s="14">
        <v>46105</v>
      </c>
      <c r="Q21" t="s">
        <v>23</v>
      </c>
      <c r="R21" s="7">
        <f>IFERROR(VLOOKUP(Tabla1[[#This Row],[Número de documento del contacto]],'Resoluciones 1 (Res)'!$A:$C,2,0),"")</f>
        <v>7608</v>
      </c>
      <c r="S21" s="11">
        <f>IFERROR(VLOOKUP(Tabla1[[#This Row],[Número de documento del contacto]],'Resoluciones 1 (Res)'!$A:$C,3,0),"")</f>
        <v>46184.606747685197</v>
      </c>
      <c r="T21" s="7" t="str">
        <f>IFERROR(VLOOKUP(Tabla1[[#This Row],[Número de documento del contacto]],'Resoluciones 2 (Req)'!$B:$E,3,0),"")</f>
        <v>14657</v>
      </c>
      <c r="U21" s="7" t="str">
        <f t="shared" si="3"/>
        <v>7 de mayo de 2026</v>
      </c>
      <c r="V21" s="7" t="str">
        <f t="shared" si="4"/>
        <v>24 de marzo de 2026</v>
      </c>
      <c r="W21" s="8" t="str">
        <f>"1-" &amp; ROWS($W$2:W21) &amp; ".pdf"</f>
        <v>1-20.pdf</v>
      </c>
      <c r="X21" s="7" t="str">
        <f>Tabla1[[#This Row],[Número de documento del contacto]]&amp;"-"&amp;Tabla1[[#This Row],[Número de resolución de archivo]]&amp;".pdf"</f>
        <v>41898314-7608.pdf</v>
      </c>
      <c r="Y21" s="7" t="str">
        <f t="shared" si="5"/>
        <v>ren "1-20.pdf" "41898314-7608.pdf"</v>
      </c>
      <c r="Z21" s="7" t="str">
        <f>Tabla1[[#This Row],[Número de documento del contacto]]&amp;"_"&amp;Tabla1[[#This Row],[Número de resolución de archivo]]&amp;".pdf"</f>
        <v>41898314_7608.pdf</v>
      </c>
      <c r="AA21" s="7" t="s">
        <v>49</v>
      </c>
      <c r="AB21" s="7" t="str">
        <f>Tabla1[[#This Row],[Nombre PDF / cedula + num resolucion]]&amp;";"&amp;Tabla1[[#This Row],[instructivo]]</f>
        <v>41898314_7608.pdf;10. Instructivo_Radicar_Activación_Credencial_DIGITAL_SIRNA.pdf</v>
      </c>
      <c r="AC21" s="7" t="str">
        <f>Tabla1[[#This Row],[Número de resolución de archivo]]&amp;"_"&amp;Tabla1[[#This Row],[Número de documento del contacto]]</f>
        <v>7608_41898314</v>
      </c>
    </row>
    <row r="22" spans="1:29" x14ac:dyDescent="0.25">
      <c r="A22">
        <v>16809</v>
      </c>
      <c r="B22" t="s">
        <v>14</v>
      </c>
      <c r="C22" t="s">
        <v>15</v>
      </c>
      <c r="D22" t="s">
        <v>16</v>
      </c>
      <c r="E22" t="s">
        <v>17</v>
      </c>
      <c r="F22" s="14">
        <v>46149</v>
      </c>
      <c r="G22">
        <v>42898106</v>
      </c>
      <c r="H22" t="s">
        <v>90</v>
      </c>
      <c r="I22" t="s">
        <v>91</v>
      </c>
      <c r="J22" t="s">
        <v>20</v>
      </c>
      <c r="K22" t="s">
        <v>21</v>
      </c>
      <c r="L22" s="14">
        <v>46184</v>
      </c>
      <c r="M22">
        <v>35</v>
      </c>
      <c r="N22" t="s">
        <v>22</v>
      </c>
      <c r="O22" t="s">
        <v>22</v>
      </c>
      <c r="P22" s="14">
        <v>46101</v>
      </c>
      <c r="Q22" t="s">
        <v>23</v>
      </c>
      <c r="R22" s="7">
        <f>IFERROR(VLOOKUP(Tabla1[[#This Row],[Número de documento del contacto]],'Resoluciones 1 (Res)'!$A:$C,2,0),"")</f>
        <v>7680</v>
      </c>
      <c r="S22" s="11">
        <f>IFERROR(VLOOKUP(Tabla1[[#This Row],[Número de documento del contacto]],'Resoluciones 1 (Res)'!$A:$C,3,0),"")</f>
        <v>46184.606747685197</v>
      </c>
      <c r="T22" s="7" t="str">
        <f>IFERROR(VLOOKUP(Tabla1[[#This Row],[Número de documento del contacto]],'Resoluciones 2 (Req)'!$B:$E,3,0),"")</f>
        <v>14658</v>
      </c>
      <c r="U22" s="7" t="str">
        <f t="shared" si="3"/>
        <v>7 de mayo de 2026</v>
      </c>
      <c r="V22" s="7" t="str">
        <f t="shared" si="4"/>
        <v>20 de marzo de 2026</v>
      </c>
      <c r="W22" s="8" t="str">
        <f>"1-" &amp; ROWS($W$2:W22) &amp; ".pdf"</f>
        <v>1-21.pdf</v>
      </c>
      <c r="X22" s="7" t="str">
        <f>Tabla1[[#This Row],[Número de documento del contacto]]&amp;"-"&amp;Tabla1[[#This Row],[Número de resolución de archivo]]&amp;".pdf"</f>
        <v>42898106-7680.pdf</v>
      </c>
      <c r="Y22" s="7" t="str">
        <f t="shared" si="5"/>
        <v>ren "1-21.pdf" "42898106-7680.pdf"</v>
      </c>
      <c r="Z22" s="7" t="str">
        <f>Tabla1[[#This Row],[Número de documento del contacto]]&amp;"_"&amp;Tabla1[[#This Row],[Número de resolución de archivo]]&amp;".pdf"</f>
        <v>42898106_7680.pdf</v>
      </c>
      <c r="AA22" s="7" t="s">
        <v>49</v>
      </c>
      <c r="AB22" s="7" t="str">
        <f>Tabla1[[#This Row],[Nombre PDF / cedula + num resolucion]]&amp;";"&amp;Tabla1[[#This Row],[instructivo]]</f>
        <v>42898106_7680.pdf;10. Instructivo_Radicar_Activación_Credencial_DIGITAL_SIRNA.pdf</v>
      </c>
      <c r="AC22" s="7" t="str">
        <f>Tabla1[[#This Row],[Número de resolución de archivo]]&amp;"_"&amp;Tabla1[[#This Row],[Número de documento del contacto]]</f>
        <v>7680_42898106</v>
      </c>
    </row>
    <row r="23" spans="1:29" x14ac:dyDescent="0.25">
      <c r="A23">
        <v>17419</v>
      </c>
      <c r="B23" t="s">
        <v>14</v>
      </c>
      <c r="C23" t="s">
        <v>15</v>
      </c>
      <c r="D23" t="s">
        <v>16</v>
      </c>
      <c r="E23" t="s">
        <v>17</v>
      </c>
      <c r="F23" s="14">
        <v>46149</v>
      </c>
      <c r="G23">
        <v>43200568</v>
      </c>
      <c r="H23" t="s">
        <v>92</v>
      </c>
      <c r="I23" t="s">
        <v>93</v>
      </c>
      <c r="J23" t="s">
        <v>20</v>
      </c>
      <c r="K23" t="s">
        <v>21</v>
      </c>
      <c r="L23" s="14">
        <v>46184</v>
      </c>
      <c r="M23">
        <v>35</v>
      </c>
      <c r="N23" t="s">
        <v>22</v>
      </c>
      <c r="O23" t="s">
        <v>22</v>
      </c>
      <c r="P23" s="14">
        <v>46106</v>
      </c>
      <c r="Q23" t="s">
        <v>23</v>
      </c>
      <c r="R23" s="7">
        <f>IFERROR(VLOOKUP(Tabla1[[#This Row],[Número de documento del contacto]],'Resoluciones 1 (Res)'!$A:$C,2,0),"")</f>
        <v>7692</v>
      </c>
      <c r="S23" s="11">
        <f>IFERROR(VLOOKUP(Tabla1[[#This Row],[Número de documento del contacto]],'Resoluciones 1 (Res)'!$A:$C,3,0),"")</f>
        <v>46184.606747685197</v>
      </c>
      <c r="T23" s="7" t="str">
        <f>IFERROR(VLOOKUP(Tabla1[[#This Row],[Número de documento del contacto]],'Resoluciones 2 (Req)'!$B:$E,3,0),"")</f>
        <v>14659</v>
      </c>
      <c r="U23" s="7" t="str">
        <f t="shared" si="3"/>
        <v>7 de mayo de 2026</v>
      </c>
      <c r="V23" s="7" t="str">
        <f t="shared" si="4"/>
        <v>25 de marzo de 2026</v>
      </c>
      <c r="W23" s="8" t="str">
        <f>"1-" &amp; ROWS($W$2:W23) &amp; ".pdf"</f>
        <v>1-22.pdf</v>
      </c>
      <c r="X23" s="7" t="str">
        <f>Tabla1[[#This Row],[Número de documento del contacto]]&amp;"-"&amp;Tabla1[[#This Row],[Número de resolución de archivo]]&amp;".pdf"</f>
        <v>43200568-7692.pdf</v>
      </c>
      <c r="Y23" s="7" t="str">
        <f t="shared" si="5"/>
        <v>ren "1-22.pdf" "43200568-7692.pdf"</v>
      </c>
      <c r="Z23" s="7" t="str">
        <f>Tabla1[[#This Row],[Número de documento del contacto]]&amp;"_"&amp;Tabla1[[#This Row],[Número de resolución de archivo]]&amp;".pdf"</f>
        <v>43200568_7692.pdf</v>
      </c>
      <c r="AA23" s="7" t="s">
        <v>49</v>
      </c>
      <c r="AB23" s="7" t="str">
        <f>Tabla1[[#This Row],[Nombre PDF / cedula + num resolucion]]&amp;";"&amp;Tabla1[[#This Row],[instructivo]]</f>
        <v>43200568_7692.pdf;10. Instructivo_Radicar_Activación_Credencial_DIGITAL_SIRNA.pdf</v>
      </c>
      <c r="AC23" s="7" t="str">
        <f>Tabla1[[#This Row],[Número de resolución de archivo]]&amp;"_"&amp;Tabla1[[#This Row],[Número de documento del contacto]]</f>
        <v>7692_43200568</v>
      </c>
    </row>
    <row r="24" spans="1:29" x14ac:dyDescent="0.25">
      <c r="A24">
        <v>14170</v>
      </c>
      <c r="B24" t="s">
        <v>14</v>
      </c>
      <c r="C24" t="s">
        <v>15</v>
      </c>
      <c r="D24" t="s">
        <v>16</v>
      </c>
      <c r="E24" t="s">
        <v>17</v>
      </c>
      <c r="F24" s="14">
        <v>46149</v>
      </c>
      <c r="G24">
        <v>45565551</v>
      </c>
      <c r="H24" t="s">
        <v>94</v>
      </c>
      <c r="I24" t="s">
        <v>95</v>
      </c>
      <c r="J24" t="s">
        <v>20</v>
      </c>
      <c r="K24" t="s">
        <v>21</v>
      </c>
      <c r="L24" s="14">
        <v>46184</v>
      </c>
      <c r="M24">
        <v>35</v>
      </c>
      <c r="N24" t="s">
        <v>22</v>
      </c>
      <c r="O24" t="s">
        <v>22</v>
      </c>
      <c r="P24" s="14">
        <v>46085</v>
      </c>
      <c r="Q24" t="s">
        <v>23</v>
      </c>
      <c r="R24" s="7">
        <f>IFERROR(VLOOKUP(Tabla1[[#This Row],[Número de documento del contacto]],'Resoluciones 1 (Res)'!$A:$C,2,0),"")</f>
        <v>7448</v>
      </c>
      <c r="S24" s="11">
        <f>IFERROR(VLOOKUP(Tabla1[[#This Row],[Número de documento del contacto]],'Resoluciones 1 (Res)'!$A:$C,3,0),"")</f>
        <v>46184.606747685197</v>
      </c>
      <c r="T24" s="7" t="str">
        <f>IFERROR(VLOOKUP(Tabla1[[#This Row],[Número de documento del contacto]],'Resoluciones 2 (Req)'!$B:$E,3,0),"")</f>
        <v>14737</v>
      </c>
      <c r="U24" s="7" t="str">
        <f t="shared" si="3"/>
        <v>7 de mayo de 2026</v>
      </c>
      <c r="V24" s="7" t="str">
        <f t="shared" si="4"/>
        <v>4 de marzo de 2026</v>
      </c>
      <c r="W24" s="8" t="str">
        <f>"1-" &amp; ROWS($W$2:W24) &amp; ".pdf"</f>
        <v>1-23.pdf</v>
      </c>
      <c r="X24" s="7" t="str">
        <f>Tabla1[[#This Row],[Número de documento del contacto]]&amp;"-"&amp;Tabla1[[#This Row],[Número de resolución de archivo]]&amp;".pdf"</f>
        <v>45565551-7448.pdf</v>
      </c>
      <c r="Y24" s="7" t="str">
        <f t="shared" si="5"/>
        <v>ren "1-23.pdf" "45565551-7448.pdf"</v>
      </c>
      <c r="Z24" s="7" t="str">
        <f>Tabla1[[#This Row],[Número de documento del contacto]]&amp;"_"&amp;Tabla1[[#This Row],[Número de resolución de archivo]]&amp;".pdf"</f>
        <v>45565551_7448.pdf</v>
      </c>
      <c r="AA24" s="7" t="s">
        <v>49</v>
      </c>
      <c r="AB24" s="7" t="str">
        <f>Tabla1[[#This Row],[Nombre PDF / cedula + num resolucion]]&amp;";"&amp;Tabla1[[#This Row],[instructivo]]</f>
        <v>45565551_7448.pdf;10. Instructivo_Radicar_Activación_Credencial_DIGITAL_SIRNA.pdf</v>
      </c>
      <c r="AC24" s="7" t="str">
        <f>Tabla1[[#This Row],[Número de resolución de archivo]]&amp;"_"&amp;Tabla1[[#This Row],[Número de documento del contacto]]</f>
        <v>7448_45565551</v>
      </c>
    </row>
    <row r="25" spans="1:29" x14ac:dyDescent="0.25">
      <c r="A25">
        <v>14207</v>
      </c>
      <c r="B25" t="s">
        <v>14</v>
      </c>
      <c r="C25" t="s">
        <v>15</v>
      </c>
      <c r="D25" t="s">
        <v>16</v>
      </c>
      <c r="E25" t="s">
        <v>17</v>
      </c>
      <c r="F25" s="14">
        <v>46149</v>
      </c>
      <c r="G25">
        <v>51648546</v>
      </c>
      <c r="H25" t="s">
        <v>96</v>
      </c>
      <c r="I25" t="s">
        <v>97</v>
      </c>
      <c r="J25" t="s">
        <v>20</v>
      </c>
      <c r="K25" t="s">
        <v>21</v>
      </c>
      <c r="L25" s="14">
        <v>46184</v>
      </c>
      <c r="M25">
        <v>35</v>
      </c>
      <c r="N25" t="s">
        <v>22</v>
      </c>
      <c r="O25" t="s">
        <v>22</v>
      </c>
      <c r="P25" s="14">
        <v>46085</v>
      </c>
      <c r="Q25" t="s">
        <v>23</v>
      </c>
      <c r="R25" s="7">
        <f>IFERROR(VLOOKUP(Tabla1[[#This Row],[Número de documento del contacto]],'Resoluciones 1 (Res)'!$A:$C,2,0),"")</f>
        <v>7577</v>
      </c>
      <c r="S25" s="11">
        <f>IFERROR(VLOOKUP(Tabla1[[#This Row],[Número de documento del contacto]],'Resoluciones 1 (Res)'!$A:$C,3,0),"")</f>
        <v>46184.606747685197</v>
      </c>
      <c r="T25" s="7" t="str">
        <f>IFERROR(VLOOKUP(Tabla1[[#This Row],[Número de documento del contacto]],'Resoluciones 2 (Req)'!$B:$E,3,0),"")</f>
        <v>14738</v>
      </c>
      <c r="U25" s="7" t="str">
        <f t="shared" si="3"/>
        <v>7 de mayo de 2026</v>
      </c>
      <c r="V25" s="7" t="str">
        <f t="shared" si="4"/>
        <v>4 de marzo de 2026</v>
      </c>
      <c r="W25" s="8" t="str">
        <f>"1-" &amp; ROWS($W$2:W25) &amp; ".pdf"</f>
        <v>1-24.pdf</v>
      </c>
      <c r="X25" s="7" t="str">
        <f>Tabla1[[#This Row],[Número de documento del contacto]]&amp;"-"&amp;Tabla1[[#This Row],[Número de resolución de archivo]]&amp;".pdf"</f>
        <v>51648546-7577.pdf</v>
      </c>
      <c r="Y25" s="7" t="str">
        <f t="shared" si="5"/>
        <v>ren "1-24.pdf" "51648546-7577.pdf"</v>
      </c>
      <c r="Z25" s="7" t="str">
        <f>Tabla1[[#This Row],[Número de documento del contacto]]&amp;"_"&amp;Tabla1[[#This Row],[Número de resolución de archivo]]&amp;".pdf"</f>
        <v>51648546_7577.pdf</v>
      </c>
      <c r="AA25" s="7" t="s">
        <v>49</v>
      </c>
      <c r="AB25" s="7" t="str">
        <f>Tabla1[[#This Row],[Nombre PDF / cedula + num resolucion]]&amp;";"&amp;Tabla1[[#This Row],[instructivo]]</f>
        <v>51648546_7577.pdf;10. Instructivo_Radicar_Activación_Credencial_DIGITAL_SIRNA.pdf</v>
      </c>
      <c r="AC25" s="7" t="str">
        <f>Tabla1[[#This Row],[Número de resolución de archivo]]&amp;"_"&amp;Tabla1[[#This Row],[Número de documento del contacto]]</f>
        <v>7577_51648546</v>
      </c>
    </row>
    <row r="26" spans="1:29" x14ac:dyDescent="0.25">
      <c r="A26">
        <v>17139</v>
      </c>
      <c r="B26" t="s">
        <v>14</v>
      </c>
      <c r="C26" t="s">
        <v>15</v>
      </c>
      <c r="D26" t="s">
        <v>16</v>
      </c>
      <c r="E26" t="s">
        <v>17</v>
      </c>
      <c r="F26" s="14">
        <v>46149</v>
      </c>
      <c r="G26">
        <v>52310091</v>
      </c>
      <c r="H26" t="s">
        <v>98</v>
      </c>
      <c r="I26" t="s">
        <v>99</v>
      </c>
      <c r="J26" t="s">
        <v>20</v>
      </c>
      <c r="K26" t="s">
        <v>21</v>
      </c>
      <c r="L26" s="14">
        <v>46184</v>
      </c>
      <c r="M26">
        <v>35</v>
      </c>
      <c r="N26" t="s">
        <v>22</v>
      </c>
      <c r="O26" t="s">
        <v>22</v>
      </c>
      <c r="P26" s="14">
        <v>46104</v>
      </c>
      <c r="Q26" t="s">
        <v>23</v>
      </c>
      <c r="R26" s="7">
        <f>IFERROR(VLOOKUP(Tabla1[[#This Row],[Número de documento del contacto]],'Resoluciones 1 (Res)'!$A:$C,2,0),"")</f>
        <v>7584</v>
      </c>
      <c r="S26" s="11">
        <f>IFERROR(VLOOKUP(Tabla1[[#This Row],[Número de documento del contacto]],'Resoluciones 1 (Res)'!$A:$C,3,0),"")</f>
        <v>46184.606747685197</v>
      </c>
      <c r="T26" s="7" t="str">
        <f>IFERROR(VLOOKUP(Tabla1[[#This Row],[Número de documento del contacto]],'Resoluciones 2 (Req)'!$B:$E,3,0),"")</f>
        <v>14661</v>
      </c>
      <c r="U26" s="7" t="str">
        <f t="shared" si="3"/>
        <v>7 de mayo de 2026</v>
      </c>
      <c r="V26" s="7" t="str">
        <f t="shared" si="4"/>
        <v>23 de marzo de 2026</v>
      </c>
      <c r="W26" s="8" t="str">
        <f>"1-" &amp; ROWS($W$2:W26) &amp; ".pdf"</f>
        <v>1-25.pdf</v>
      </c>
      <c r="X26" s="7" t="str">
        <f>Tabla1[[#This Row],[Número de documento del contacto]]&amp;"-"&amp;Tabla1[[#This Row],[Número de resolución de archivo]]&amp;".pdf"</f>
        <v>52310091-7584.pdf</v>
      </c>
      <c r="Y26" s="7" t="str">
        <f t="shared" si="5"/>
        <v>ren "1-25.pdf" "52310091-7584.pdf"</v>
      </c>
      <c r="Z26" s="7" t="str">
        <f>Tabla1[[#This Row],[Número de documento del contacto]]&amp;"_"&amp;Tabla1[[#This Row],[Número de resolución de archivo]]&amp;".pdf"</f>
        <v>52310091_7584.pdf</v>
      </c>
      <c r="AA26" s="7" t="s">
        <v>49</v>
      </c>
      <c r="AB26" s="7" t="str">
        <f>Tabla1[[#This Row],[Nombre PDF / cedula + num resolucion]]&amp;";"&amp;Tabla1[[#This Row],[instructivo]]</f>
        <v>52310091_7584.pdf;10. Instructivo_Radicar_Activación_Credencial_DIGITAL_SIRNA.pdf</v>
      </c>
      <c r="AC26" s="7" t="str">
        <f>Tabla1[[#This Row],[Número de resolución de archivo]]&amp;"_"&amp;Tabla1[[#This Row],[Número de documento del contacto]]</f>
        <v>7584_52310091</v>
      </c>
    </row>
    <row r="27" spans="1:29" x14ac:dyDescent="0.25">
      <c r="A27">
        <v>18464</v>
      </c>
      <c r="B27" t="s">
        <v>14</v>
      </c>
      <c r="C27" t="s">
        <v>15</v>
      </c>
      <c r="D27" t="s">
        <v>16</v>
      </c>
      <c r="E27" t="s">
        <v>17</v>
      </c>
      <c r="F27" s="14">
        <v>46149</v>
      </c>
      <c r="G27">
        <v>52383139</v>
      </c>
      <c r="H27" t="s">
        <v>100</v>
      </c>
      <c r="I27" t="s">
        <v>101</v>
      </c>
      <c r="J27" t="s">
        <v>20</v>
      </c>
      <c r="K27" t="s">
        <v>21</v>
      </c>
      <c r="L27" s="14">
        <v>46184</v>
      </c>
      <c r="M27">
        <v>35</v>
      </c>
      <c r="N27" t="s">
        <v>22</v>
      </c>
      <c r="O27" t="s">
        <v>22</v>
      </c>
      <c r="P27" s="14">
        <v>46117</v>
      </c>
      <c r="Q27" t="s">
        <v>23</v>
      </c>
      <c r="R27" s="7">
        <f>IFERROR(VLOOKUP(Tabla1[[#This Row],[Número de documento del contacto]],'Resoluciones 1 (Res)'!$A:$C,2,0),"")</f>
        <v>7702</v>
      </c>
      <c r="S27" s="11">
        <f>IFERROR(VLOOKUP(Tabla1[[#This Row],[Número de documento del contacto]],'Resoluciones 1 (Res)'!$A:$C,3,0),"")</f>
        <v>46184.606747685197</v>
      </c>
      <c r="T27" s="7" t="str">
        <f>IFERROR(VLOOKUP(Tabla1[[#This Row],[Número de documento del contacto]],'Resoluciones 2 (Req)'!$B:$E,3,0),"")</f>
        <v>14608</v>
      </c>
      <c r="U27" s="7" t="str">
        <f t="shared" si="3"/>
        <v>7 de mayo de 2026</v>
      </c>
      <c r="V27" s="7" t="str">
        <f t="shared" si="4"/>
        <v>5 de abril de 2026</v>
      </c>
      <c r="W27" s="8" t="str">
        <f>"1-" &amp; ROWS($W$2:W27) &amp; ".pdf"</f>
        <v>1-26.pdf</v>
      </c>
      <c r="X27" s="7" t="str">
        <f>Tabla1[[#This Row],[Número de documento del contacto]]&amp;"-"&amp;Tabla1[[#This Row],[Número de resolución de archivo]]&amp;".pdf"</f>
        <v>52383139-7702.pdf</v>
      </c>
      <c r="Y27" s="7" t="str">
        <f t="shared" si="5"/>
        <v>ren "1-26.pdf" "52383139-7702.pdf"</v>
      </c>
      <c r="Z27" s="7" t="str">
        <f>Tabla1[[#This Row],[Número de documento del contacto]]&amp;"_"&amp;Tabla1[[#This Row],[Número de resolución de archivo]]&amp;".pdf"</f>
        <v>52383139_7702.pdf</v>
      </c>
      <c r="AA27" s="7" t="s">
        <v>49</v>
      </c>
      <c r="AB27" s="7" t="str">
        <f>Tabla1[[#This Row],[Nombre PDF / cedula + num resolucion]]&amp;";"&amp;Tabla1[[#This Row],[instructivo]]</f>
        <v>52383139_7702.pdf;10. Instructivo_Radicar_Activación_Credencial_DIGITAL_SIRNA.pdf</v>
      </c>
      <c r="AC27" s="7" t="str">
        <f>Tabla1[[#This Row],[Número de resolución de archivo]]&amp;"_"&amp;Tabla1[[#This Row],[Número de documento del contacto]]</f>
        <v>7702_52383139</v>
      </c>
    </row>
    <row r="28" spans="1:29" x14ac:dyDescent="0.25">
      <c r="A28">
        <v>17466</v>
      </c>
      <c r="B28" t="s">
        <v>14</v>
      </c>
      <c r="C28" t="s">
        <v>15</v>
      </c>
      <c r="D28" t="s">
        <v>16</v>
      </c>
      <c r="E28" t="s">
        <v>17</v>
      </c>
      <c r="F28" s="14">
        <v>46149</v>
      </c>
      <c r="G28">
        <v>52539381</v>
      </c>
      <c r="H28" t="s">
        <v>102</v>
      </c>
      <c r="I28" t="s">
        <v>103</v>
      </c>
      <c r="J28" t="s">
        <v>20</v>
      </c>
      <c r="K28" t="s">
        <v>21</v>
      </c>
      <c r="L28" s="14">
        <v>46184</v>
      </c>
      <c r="M28">
        <v>35</v>
      </c>
      <c r="N28" t="s">
        <v>22</v>
      </c>
      <c r="O28" t="s">
        <v>22</v>
      </c>
      <c r="P28" s="14">
        <v>46106</v>
      </c>
      <c r="Q28" t="s">
        <v>23</v>
      </c>
      <c r="R28" s="7">
        <f>IFERROR(VLOOKUP(Tabla1[[#This Row],[Número de documento del contacto]],'Resoluciones 1 (Res)'!$A:$C,2,0),"")</f>
        <v>7709</v>
      </c>
      <c r="S28" s="11">
        <f>IFERROR(VLOOKUP(Tabla1[[#This Row],[Número de documento del contacto]],'Resoluciones 1 (Res)'!$A:$C,3,0),"")</f>
        <v>46184.606747685197</v>
      </c>
      <c r="T28" s="7" t="str">
        <f>IFERROR(VLOOKUP(Tabla1[[#This Row],[Número de documento del contacto]],'Resoluciones 2 (Req)'!$B:$E,3,0),"")</f>
        <v>14662</v>
      </c>
      <c r="U28" s="7" t="str">
        <f t="shared" si="3"/>
        <v>7 de mayo de 2026</v>
      </c>
      <c r="V28" s="7" t="str">
        <f t="shared" si="4"/>
        <v>25 de marzo de 2026</v>
      </c>
      <c r="W28" s="8" t="str">
        <f>"1-" &amp; ROWS($W$2:W28) &amp; ".pdf"</f>
        <v>1-27.pdf</v>
      </c>
      <c r="X28" s="7" t="str">
        <f>Tabla1[[#This Row],[Número de documento del contacto]]&amp;"-"&amp;Tabla1[[#This Row],[Número de resolución de archivo]]&amp;".pdf"</f>
        <v>52539381-7709.pdf</v>
      </c>
      <c r="Y28" s="7" t="str">
        <f t="shared" si="5"/>
        <v>ren "1-27.pdf" "52539381-7709.pdf"</v>
      </c>
      <c r="Z28" s="7" t="str">
        <f>Tabla1[[#This Row],[Número de documento del contacto]]&amp;"_"&amp;Tabla1[[#This Row],[Número de resolución de archivo]]&amp;".pdf"</f>
        <v>52539381_7709.pdf</v>
      </c>
      <c r="AA28" s="7" t="s">
        <v>49</v>
      </c>
      <c r="AB28" s="7" t="str">
        <f>Tabla1[[#This Row],[Nombre PDF / cedula + num resolucion]]&amp;";"&amp;Tabla1[[#This Row],[instructivo]]</f>
        <v>52539381_7709.pdf;10. Instructivo_Radicar_Activación_Credencial_DIGITAL_SIRNA.pdf</v>
      </c>
      <c r="AC28" s="7" t="str">
        <f>Tabla1[[#This Row],[Número de resolución de archivo]]&amp;"_"&amp;Tabla1[[#This Row],[Número de documento del contacto]]</f>
        <v>7709_52539381</v>
      </c>
    </row>
    <row r="29" spans="1:29" x14ac:dyDescent="0.25">
      <c r="A29">
        <v>14108</v>
      </c>
      <c r="B29" t="s">
        <v>14</v>
      </c>
      <c r="C29" t="s">
        <v>15</v>
      </c>
      <c r="D29" t="s">
        <v>16</v>
      </c>
      <c r="E29" t="s">
        <v>17</v>
      </c>
      <c r="F29" s="14">
        <v>46149</v>
      </c>
      <c r="G29">
        <v>52929041</v>
      </c>
      <c r="H29" t="s">
        <v>104</v>
      </c>
      <c r="I29" t="s">
        <v>105</v>
      </c>
      <c r="J29" t="s">
        <v>20</v>
      </c>
      <c r="K29" t="s">
        <v>21</v>
      </c>
      <c r="L29" s="14">
        <v>46184</v>
      </c>
      <c r="M29">
        <v>35</v>
      </c>
      <c r="N29" t="s">
        <v>22</v>
      </c>
      <c r="O29" t="s">
        <v>22</v>
      </c>
      <c r="P29" s="14">
        <v>46085</v>
      </c>
      <c r="Q29" t="s">
        <v>23</v>
      </c>
      <c r="R29" s="7">
        <f>IFERROR(VLOOKUP(Tabla1[[#This Row],[Número de documento del contacto]],'Resoluciones 1 (Res)'!$A:$C,2,0),"")</f>
        <v>7606</v>
      </c>
      <c r="S29" s="11">
        <f>IFERROR(VLOOKUP(Tabla1[[#This Row],[Número de documento del contacto]],'Resoluciones 1 (Res)'!$A:$C,3,0),"")</f>
        <v>46184.606747685197</v>
      </c>
      <c r="T29" s="7" t="str">
        <f>IFERROR(VLOOKUP(Tabla1[[#This Row],[Número de documento del contacto]],'Resoluciones 2 (Req)'!$B:$E,3,0),"")</f>
        <v>14739</v>
      </c>
      <c r="U29" s="7" t="str">
        <f t="shared" si="3"/>
        <v>7 de mayo de 2026</v>
      </c>
      <c r="V29" s="7" t="str">
        <f t="shared" si="4"/>
        <v>4 de marzo de 2026</v>
      </c>
      <c r="W29" s="8" t="str">
        <f>"1-" &amp; ROWS($W$2:W29) &amp; ".pdf"</f>
        <v>1-28.pdf</v>
      </c>
      <c r="X29" s="7" t="str">
        <f>Tabla1[[#This Row],[Número de documento del contacto]]&amp;"-"&amp;Tabla1[[#This Row],[Número de resolución de archivo]]&amp;".pdf"</f>
        <v>52929041-7606.pdf</v>
      </c>
      <c r="Y29" s="7" t="str">
        <f t="shared" si="5"/>
        <v>ren "1-28.pdf" "52929041-7606.pdf"</v>
      </c>
      <c r="Z29" s="7" t="str">
        <f>Tabla1[[#This Row],[Número de documento del contacto]]&amp;"_"&amp;Tabla1[[#This Row],[Número de resolución de archivo]]&amp;".pdf"</f>
        <v>52929041_7606.pdf</v>
      </c>
      <c r="AA29" s="7" t="s">
        <v>49</v>
      </c>
      <c r="AB29" s="7" t="str">
        <f>Tabla1[[#This Row],[Nombre PDF / cedula + num resolucion]]&amp;";"&amp;Tabla1[[#This Row],[instructivo]]</f>
        <v>52929041_7606.pdf;10. Instructivo_Radicar_Activación_Credencial_DIGITAL_SIRNA.pdf</v>
      </c>
      <c r="AC29" s="7" t="str">
        <f>Tabla1[[#This Row],[Número de resolución de archivo]]&amp;"_"&amp;Tabla1[[#This Row],[Número de documento del contacto]]</f>
        <v>7606_52929041</v>
      </c>
    </row>
    <row r="30" spans="1:29" x14ac:dyDescent="0.25">
      <c r="A30">
        <v>17045</v>
      </c>
      <c r="B30" t="s">
        <v>14</v>
      </c>
      <c r="C30" t="s">
        <v>15</v>
      </c>
      <c r="D30" t="s">
        <v>16</v>
      </c>
      <c r="E30" t="s">
        <v>17</v>
      </c>
      <c r="F30" s="14">
        <v>46149</v>
      </c>
      <c r="G30">
        <v>52993493</v>
      </c>
      <c r="H30" t="s">
        <v>106</v>
      </c>
      <c r="I30" t="s">
        <v>107</v>
      </c>
      <c r="J30" t="s">
        <v>20</v>
      </c>
      <c r="K30" t="s">
        <v>21</v>
      </c>
      <c r="L30" s="14">
        <v>46184</v>
      </c>
      <c r="M30">
        <v>35</v>
      </c>
      <c r="N30" t="s">
        <v>22</v>
      </c>
      <c r="O30" t="s">
        <v>22</v>
      </c>
      <c r="P30" s="14">
        <v>46103</v>
      </c>
      <c r="Q30" t="s">
        <v>23</v>
      </c>
      <c r="R30" s="7">
        <f>IFERROR(VLOOKUP(Tabla1[[#This Row],[Número de documento del contacto]],'Resoluciones 1 (Res)'!$A:$C,2,0),"")</f>
        <v>7549</v>
      </c>
      <c r="S30" s="11">
        <f>IFERROR(VLOOKUP(Tabla1[[#This Row],[Número de documento del contacto]],'Resoluciones 1 (Res)'!$A:$C,3,0),"")</f>
        <v>46184.606747685197</v>
      </c>
      <c r="T30" s="7" t="str">
        <f>IFERROR(VLOOKUP(Tabla1[[#This Row],[Número de documento del contacto]],'Resoluciones 2 (Req)'!$B:$E,3,0),"")</f>
        <v>14663</v>
      </c>
      <c r="U30" s="7" t="str">
        <f t="shared" si="3"/>
        <v>7 de mayo de 2026</v>
      </c>
      <c r="V30" s="7" t="str">
        <f t="shared" si="4"/>
        <v>22 de marzo de 2026</v>
      </c>
      <c r="W30" s="8" t="str">
        <f>"1-" &amp; ROWS($W$2:W30) &amp; ".pdf"</f>
        <v>1-29.pdf</v>
      </c>
      <c r="X30" s="7" t="str">
        <f>Tabla1[[#This Row],[Número de documento del contacto]]&amp;"-"&amp;Tabla1[[#This Row],[Número de resolución de archivo]]&amp;".pdf"</f>
        <v>52993493-7549.pdf</v>
      </c>
      <c r="Y30" s="7" t="str">
        <f t="shared" si="5"/>
        <v>ren "1-29.pdf" "52993493-7549.pdf"</v>
      </c>
      <c r="Z30" s="7" t="str">
        <f>Tabla1[[#This Row],[Número de documento del contacto]]&amp;"_"&amp;Tabla1[[#This Row],[Número de resolución de archivo]]&amp;".pdf"</f>
        <v>52993493_7549.pdf</v>
      </c>
      <c r="AA30" s="7" t="s">
        <v>49</v>
      </c>
      <c r="AB30" s="7" t="str">
        <f>Tabla1[[#This Row],[Nombre PDF / cedula + num resolucion]]&amp;";"&amp;Tabla1[[#This Row],[instructivo]]</f>
        <v>52993493_7549.pdf;10. Instructivo_Radicar_Activación_Credencial_DIGITAL_SIRNA.pdf</v>
      </c>
      <c r="AC30" s="7" t="str">
        <f>Tabla1[[#This Row],[Número de resolución de archivo]]&amp;"_"&amp;Tabla1[[#This Row],[Número de documento del contacto]]</f>
        <v>7549_52993493</v>
      </c>
    </row>
    <row r="31" spans="1:29" x14ac:dyDescent="0.25">
      <c r="A31">
        <v>17453</v>
      </c>
      <c r="B31" t="s">
        <v>14</v>
      </c>
      <c r="C31" t="s">
        <v>15</v>
      </c>
      <c r="D31" t="s">
        <v>16</v>
      </c>
      <c r="E31" t="s">
        <v>17</v>
      </c>
      <c r="F31" s="14">
        <v>46149</v>
      </c>
      <c r="G31">
        <v>53116921</v>
      </c>
      <c r="H31" t="s">
        <v>108</v>
      </c>
      <c r="I31" t="s">
        <v>109</v>
      </c>
      <c r="J31" t="s">
        <v>20</v>
      </c>
      <c r="K31" t="s">
        <v>21</v>
      </c>
      <c r="L31" s="14">
        <v>46184</v>
      </c>
      <c r="M31">
        <v>35</v>
      </c>
      <c r="N31" t="s">
        <v>22</v>
      </c>
      <c r="O31" t="s">
        <v>22</v>
      </c>
      <c r="P31" s="14">
        <v>46106</v>
      </c>
      <c r="Q31" t="s">
        <v>23</v>
      </c>
      <c r="R31" s="7">
        <f>IFERROR(VLOOKUP(Tabla1[[#This Row],[Número de documento del contacto]],'Resoluciones 1 (Res)'!$A:$C,2,0),"")</f>
        <v>7638</v>
      </c>
      <c r="S31" s="11">
        <f>IFERROR(VLOOKUP(Tabla1[[#This Row],[Número de documento del contacto]],'Resoluciones 1 (Res)'!$A:$C,3,0),"")</f>
        <v>46184.606747685197</v>
      </c>
      <c r="T31" s="7" t="str">
        <f>IFERROR(VLOOKUP(Tabla1[[#This Row],[Número de documento del contacto]],'Resoluciones 2 (Req)'!$B:$E,3,0),"")</f>
        <v>14664</v>
      </c>
      <c r="U31" s="7" t="str">
        <f t="shared" si="3"/>
        <v>7 de mayo de 2026</v>
      </c>
      <c r="V31" s="7" t="str">
        <f t="shared" si="4"/>
        <v>25 de marzo de 2026</v>
      </c>
      <c r="W31" s="8" t="str">
        <f>"1-" &amp; ROWS($W$2:W31) &amp; ".pdf"</f>
        <v>1-30.pdf</v>
      </c>
      <c r="X31" s="7" t="str">
        <f>Tabla1[[#This Row],[Número de documento del contacto]]&amp;"-"&amp;Tabla1[[#This Row],[Número de resolución de archivo]]&amp;".pdf"</f>
        <v>53116921-7638.pdf</v>
      </c>
      <c r="Y31" s="7" t="str">
        <f t="shared" si="5"/>
        <v>ren "1-30.pdf" "53116921-7638.pdf"</v>
      </c>
      <c r="Z31" s="7" t="str">
        <f>Tabla1[[#This Row],[Número de documento del contacto]]&amp;"_"&amp;Tabla1[[#This Row],[Número de resolución de archivo]]&amp;".pdf"</f>
        <v>53116921_7638.pdf</v>
      </c>
      <c r="AA31" s="7" t="s">
        <v>49</v>
      </c>
      <c r="AB31" s="7" t="str">
        <f>Tabla1[[#This Row],[Nombre PDF / cedula + num resolucion]]&amp;";"&amp;Tabla1[[#This Row],[instructivo]]</f>
        <v>53116921_7638.pdf;10. Instructivo_Radicar_Activación_Credencial_DIGITAL_SIRNA.pdf</v>
      </c>
      <c r="AC31" s="7" t="str">
        <f>Tabla1[[#This Row],[Número de resolución de archivo]]&amp;"_"&amp;Tabla1[[#This Row],[Número de documento del contacto]]</f>
        <v>7638_53116921</v>
      </c>
    </row>
    <row r="32" spans="1:29" x14ac:dyDescent="0.25">
      <c r="A32">
        <v>17155</v>
      </c>
      <c r="B32" t="s">
        <v>14</v>
      </c>
      <c r="C32" t="s">
        <v>15</v>
      </c>
      <c r="D32" t="s">
        <v>16</v>
      </c>
      <c r="E32" t="s">
        <v>17</v>
      </c>
      <c r="F32" s="14">
        <v>46149</v>
      </c>
      <c r="G32">
        <v>57466263</v>
      </c>
      <c r="H32" t="s">
        <v>110</v>
      </c>
      <c r="I32" t="s">
        <v>111</v>
      </c>
      <c r="J32" t="s">
        <v>20</v>
      </c>
      <c r="K32" t="s">
        <v>21</v>
      </c>
      <c r="L32" s="14">
        <v>46184</v>
      </c>
      <c r="M32">
        <v>35</v>
      </c>
      <c r="N32" t="s">
        <v>22</v>
      </c>
      <c r="O32" t="s">
        <v>22</v>
      </c>
      <c r="P32" s="14">
        <v>46105</v>
      </c>
      <c r="Q32" t="s">
        <v>23</v>
      </c>
      <c r="R32" s="7">
        <f>IFERROR(VLOOKUP(Tabla1[[#This Row],[Número de documento del contacto]],'Resoluciones 1 (Res)'!$A:$C,2,0),"")</f>
        <v>7677</v>
      </c>
      <c r="S32" s="11">
        <f>IFERROR(VLOOKUP(Tabla1[[#This Row],[Número de documento del contacto]],'Resoluciones 1 (Res)'!$A:$C,3,0),"")</f>
        <v>46184.606747685197</v>
      </c>
      <c r="T32" s="7" t="str">
        <f>IFERROR(VLOOKUP(Tabla1[[#This Row],[Número de documento del contacto]],'Resoluciones 2 (Req)'!$B:$E,3,0),"")</f>
        <v>14666</v>
      </c>
      <c r="U32" s="7" t="str">
        <f t="shared" si="3"/>
        <v>7 de mayo de 2026</v>
      </c>
      <c r="V32" s="7" t="str">
        <f t="shared" si="4"/>
        <v>24 de marzo de 2026</v>
      </c>
      <c r="W32" s="8" t="str">
        <f>"1-" &amp; ROWS($W$2:W32) &amp; ".pdf"</f>
        <v>1-31.pdf</v>
      </c>
      <c r="X32" s="7" t="str">
        <f>Tabla1[[#This Row],[Número de documento del contacto]]&amp;"-"&amp;Tabla1[[#This Row],[Número de resolución de archivo]]&amp;".pdf"</f>
        <v>57466263-7677.pdf</v>
      </c>
      <c r="Y32" s="7" t="str">
        <f t="shared" si="5"/>
        <v>ren "1-31.pdf" "57466263-7677.pdf"</v>
      </c>
      <c r="Z32" s="7" t="str">
        <f>Tabla1[[#This Row],[Número de documento del contacto]]&amp;"_"&amp;Tabla1[[#This Row],[Número de resolución de archivo]]&amp;".pdf"</f>
        <v>57466263_7677.pdf</v>
      </c>
      <c r="AA32" s="7" t="s">
        <v>49</v>
      </c>
      <c r="AB32" s="7" t="str">
        <f>Tabla1[[#This Row],[Nombre PDF / cedula + num resolucion]]&amp;";"&amp;Tabla1[[#This Row],[instructivo]]</f>
        <v>57466263_7677.pdf;10. Instructivo_Radicar_Activación_Credencial_DIGITAL_SIRNA.pdf</v>
      </c>
      <c r="AC32" s="7" t="str">
        <f>Tabla1[[#This Row],[Número de resolución de archivo]]&amp;"_"&amp;Tabla1[[#This Row],[Número de documento del contacto]]</f>
        <v>7677_57466263</v>
      </c>
    </row>
    <row r="33" spans="1:29" x14ac:dyDescent="0.25">
      <c r="A33">
        <v>17101</v>
      </c>
      <c r="B33" t="s">
        <v>14</v>
      </c>
      <c r="C33" t="s">
        <v>15</v>
      </c>
      <c r="D33" t="s">
        <v>16</v>
      </c>
      <c r="E33" t="s">
        <v>17</v>
      </c>
      <c r="F33" s="14">
        <v>46149</v>
      </c>
      <c r="G33">
        <v>65820550</v>
      </c>
      <c r="H33" t="s">
        <v>112</v>
      </c>
      <c r="I33" t="s">
        <v>113</v>
      </c>
      <c r="J33" t="s">
        <v>20</v>
      </c>
      <c r="K33" t="s">
        <v>21</v>
      </c>
      <c r="L33" s="14">
        <v>46184</v>
      </c>
      <c r="M33">
        <v>35</v>
      </c>
      <c r="N33" t="s">
        <v>22</v>
      </c>
      <c r="O33" t="s">
        <v>22</v>
      </c>
      <c r="P33" s="14">
        <v>46104</v>
      </c>
      <c r="Q33" t="s">
        <v>23</v>
      </c>
      <c r="R33" s="7">
        <f>IFERROR(VLOOKUP(Tabla1[[#This Row],[Número de documento del contacto]],'Resoluciones 1 (Res)'!$A:$C,2,0),"")</f>
        <v>7536</v>
      </c>
      <c r="S33" s="11">
        <f>IFERROR(VLOOKUP(Tabla1[[#This Row],[Número de documento del contacto]],'Resoluciones 1 (Res)'!$A:$C,3,0),"")</f>
        <v>46184.606747685197</v>
      </c>
      <c r="T33" s="7" t="str">
        <f>IFERROR(VLOOKUP(Tabla1[[#This Row],[Número de documento del contacto]],'Resoluciones 2 (Req)'!$B:$E,3,0),"")</f>
        <v>14667</v>
      </c>
      <c r="U33" s="7" t="str">
        <f t="shared" si="3"/>
        <v>7 de mayo de 2026</v>
      </c>
      <c r="V33" s="7" t="str">
        <f t="shared" si="4"/>
        <v>23 de marzo de 2026</v>
      </c>
      <c r="W33" s="8" t="str">
        <f>"1-" &amp; ROWS($W$2:W33) &amp; ".pdf"</f>
        <v>1-32.pdf</v>
      </c>
      <c r="X33" s="7" t="str">
        <f>Tabla1[[#This Row],[Número de documento del contacto]]&amp;"-"&amp;Tabla1[[#This Row],[Número de resolución de archivo]]&amp;".pdf"</f>
        <v>65820550-7536.pdf</v>
      </c>
      <c r="Y33" s="7" t="str">
        <f t="shared" si="5"/>
        <v>ren "1-32.pdf" "65820550-7536.pdf"</v>
      </c>
      <c r="Z33" s="7" t="str">
        <f>Tabla1[[#This Row],[Número de documento del contacto]]&amp;"_"&amp;Tabla1[[#This Row],[Número de resolución de archivo]]&amp;".pdf"</f>
        <v>65820550_7536.pdf</v>
      </c>
      <c r="AA33" s="7" t="s">
        <v>49</v>
      </c>
      <c r="AB33" s="7" t="str">
        <f>Tabla1[[#This Row],[Nombre PDF / cedula + num resolucion]]&amp;";"&amp;Tabla1[[#This Row],[instructivo]]</f>
        <v>65820550_7536.pdf;10. Instructivo_Radicar_Activación_Credencial_DIGITAL_SIRNA.pdf</v>
      </c>
      <c r="AC33" s="7" t="str">
        <f>Tabla1[[#This Row],[Número de resolución de archivo]]&amp;"_"&amp;Tabla1[[#This Row],[Número de documento del contacto]]</f>
        <v>7536_65820550</v>
      </c>
    </row>
    <row r="34" spans="1:29" x14ac:dyDescent="0.25">
      <c r="A34">
        <v>17349</v>
      </c>
      <c r="B34" t="s">
        <v>14</v>
      </c>
      <c r="C34" t="s">
        <v>15</v>
      </c>
      <c r="D34" t="s">
        <v>16</v>
      </c>
      <c r="E34" t="s">
        <v>17</v>
      </c>
      <c r="F34" s="14">
        <v>46149</v>
      </c>
      <c r="G34">
        <v>70041851</v>
      </c>
      <c r="H34" t="s">
        <v>114</v>
      </c>
      <c r="I34" t="s">
        <v>115</v>
      </c>
      <c r="J34" t="s">
        <v>20</v>
      </c>
      <c r="K34" t="s">
        <v>21</v>
      </c>
      <c r="L34" s="14">
        <v>46184</v>
      </c>
      <c r="M34">
        <v>35</v>
      </c>
      <c r="N34" t="s">
        <v>22</v>
      </c>
      <c r="O34" t="s">
        <v>22</v>
      </c>
      <c r="P34" s="14">
        <v>46105</v>
      </c>
      <c r="Q34" t="s">
        <v>23</v>
      </c>
      <c r="R34" s="7">
        <f>IFERROR(VLOOKUP(Tabla1[[#This Row],[Número de documento del contacto]],'Resoluciones 1 (Res)'!$A:$C,2,0),"")</f>
        <v>7432</v>
      </c>
      <c r="S34" s="11">
        <f>IFERROR(VLOOKUP(Tabla1[[#This Row],[Número de documento del contacto]],'Resoluciones 1 (Res)'!$A:$C,3,0),"")</f>
        <v>46184.606747685197</v>
      </c>
      <c r="T34" s="7" t="str">
        <f>IFERROR(VLOOKUP(Tabla1[[#This Row],[Número de documento del contacto]],'Resoluciones 2 (Req)'!$B:$E,3,0),"")</f>
        <v>14669</v>
      </c>
      <c r="U34" s="7" t="str">
        <f t="shared" si="3"/>
        <v>7 de mayo de 2026</v>
      </c>
      <c r="V34" s="7" t="str">
        <f t="shared" si="4"/>
        <v>24 de marzo de 2026</v>
      </c>
      <c r="W34" s="8" t="str">
        <f>"1-" &amp; ROWS($W$2:W34) &amp; ".pdf"</f>
        <v>1-33.pdf</v>
      </c>
      <c r="X34" s="7" t="str">
        <f>Tabla1[[#This Row],[Número de documento del contacto]]&amp;"-"&amp;Tabla1[[#This Row],[Número de resolución de archivo]]&amp;".pdf"</f>
        <v>70041851-7432.pdf</v>
      </c>
      <c r="Y34" s="7" t="str">
        <f t="shared" si="5"/>
        <v>ren "1-33.pdf" "70041851-7432.pdf"</v>
      </c>
      <c r="Z34" s="7" t="str">
        <f>Tabla1[[#This Row],[Número de documento del contacto]]&amp;"_"&amp;Tabla1[[#This Row],[Número de resolución de archivo]]&amp;".pdf"</f>
        <v>70041851_7432.pdf</v>
      </c>
      <c r="AA34" s="7" t="s">
        <v>49</v>
      </c>
      <c r="AB34" s="7" t="str">
        <f>Tabla1[[#This Row],[Nombre PDF / cedula + num resolucion]]&amp;";"&amp;Tabla1[[#This Row],[instructivo]]</f>
        <v>70041851_7432.pdf;10. Instructivo_Radicar_Activación_Credencial_DIGITAL_SIRNA.pdf</v>
      </c>
      <c r="AC34" s="7" t="str">
        <f>Tabla1[[#This Row],[Número de resolución de archivo]]&amp;"_"&amp;Tabla1[[#This Row],[Número de documento del contacto]]</f>
        <v>7432_70041851</v>
      </c>
    </row>
    <row r="35" spans="1:29" x14ac:dyDescent="0.25">
      <c r="A35">
        <v>14095</v>
      </c>
      <c r="B35" t="s">
        <v>14</v>
      </c>
      <c r="C35" t="s">
        <v>15</v>
      </c>
      <c r="D35" t="s">
        <v>16</v>
      </c>
      <c r="E35" t="s">
        <v>17</v>
      </c>
      <c r="F35" s="14">
        <v>46149</v>
      </c>
      <c r="G35">
        <v>70253086</v>
      </c>
      <c r="H35" t="s">
        <v>116</v>
      </c>
      <c r="I35" t="s">
        <v>117</v>
      </c>
      <c r="J35" t="s">
        <v>20</v>
      </c>
      <c r="K35" t="s">
        <v>21</v>
      </c>
      <c r="L35" s="14">
        <v>46184</v>
      </c>
      <c r="M35">
        <v>35</v>
      </c>
      <c r="N35" t="s">
        <v>22</v>
      </c>
      <c r="O35" t="s">
        <v>22</v>
      </c>
      <c r="P35" s="14">
        <v>46085</v>
      </c>
      <c r="Q35" t="s">
        <v>23</v>
      </c>
      <c r="R35" s="7">
        <f>IFERROR(VLOOKUP(Tabla1[[#This Row],[Número de documento del contacto]],'Resoluciones 1 (Res)'!$A:$C,2,0),"")</f>
        <v>7585</v>
      </c>
      <c r="S35" s="11">
        <f>IFERROR(VLOOKUP(Tabla1[[#This Row],[Número de documento del contacto]],'Resoluciones 1 (Res)'!$A:$C,3,0),"")</f>
        <v>46184.606747685197</v>
      </c>
      <c r="T35" s="7" t="str">
        <f>IFERROR(VLOOKUP(Tabla1[[#This Row],[Número de documento del contacto]],'Resoluciones 2 (Req)'!$B:$E,3,0),"")</f>
        <v>14740</v>
      </c>
      <c r="U35" s="7" t="str">
        <f t="shared" si="3"/>
        <v>7 de mayo de 2026</v>
      </c>
      <c r="V35" s="7" t="str">
        <f t="shared" si="4"/>
        <v>4 de marzo de 2026</v>
      </c>
      <c r="W35" s="8" t="str">
        <f>"1-" &amp; ROWS($W$2:W35) &amp; ".pdf"</f>
        <v>1-34.pdf</v>
      </c>
      <c r="X35" s="7" t="str">
        <f>Tabla1[[#This Row],[Número de documento del contacto]]&amp;"-"&amp;Tabla1[[#This Row],[Número de resolución de archivo]]&amp;".pdf"</f>
        <v>70253086-7585.pdf</v>
      </c>
      <c r="Y35" s="7" t="str">
        <f t="shared" si="5"/>
        <v>ren "1-34.pdf" "70253086-7585.pdf"</v>
      </c>
      <c r="Z35" s="7" t="str">
        <f>Tabla1[[#This Row],[Número de documento del contacto]]&amp;"_"&amp;Tabla1[[#This Row],[Número de resolución de archivo]]&amp;".pdf"</f>
        <v>70253086_7585.pdf</v>
      </c>
      <c r="AA35" s="7" t="s">
        <v>49</v>
      </c>
      <c r="AB35" s="7" t="str">
        <f>Tabla1[[#This Row],[Nombre PDF / cedula + num resolucion]]&amp;";"&amp;Tabla1[[#This Row],[instructivo]]</f>
        <v>70253086_7585.pdf;10. Instructivo_Radicar_Activación_Credencial_DIGITAL_SIRNA.pdf</v>
      </c>
      <c r="AC35" s="7" t="str">
        <f>Tabla1[[#This Row],[Número de resolución de archivo]]&amp;"_"&amp;Tabla1[[#This Row],[Número de documento del contacto]]</f>
        <v>7585_70253086</v>
      </c>
    </row>
    <row r="36" spans="1:29" x14ac:dyDescent="0.25">
      <c r="A36">
        <v>14161</v>
      </c>
      <c r="B36" t="s">
        <v>14</v>
      </c>
      <c r="C36" t="s">
        <v>15</v>
      </c>
      <c r="D36" t="s">
        <v>16</v>
      </c>
      <c r="E36" t="s">
        <v>17</v>
      </c>
      <c r="F36" s="14">
        <v>46149</v>
      </c>
      <c r="G36">
        <v>71261876</v>
      </c>
      <c r="H36" t="s">
        <v>118</v>
      </c>
      <c r="I36" t="s">
        <v>119</v>
      </c>
      <c r="J36" t="s">
        <v>20</v>
      </c>
      <c r="K36" t="s">
        <v>21</v>
      </c>
      <c r="L36" s="14">
        <v>46184</v>
      </c>
      <c r="M36">
        <v>35</v>
      </c>
      <c r="N36" t="s">
        <v>22</v>
      </c>
      <c r="O36" t="s">
        <v>22</v>
      </c>
      <c r="P36" s="14">
        <v>46085</v>
      </c>
      <c r="Q36" t="s">
        <v>23</v>
      </c>
      <c r="R36" s="7">
        <f>IFERROR(VLOOKUP(Tabla1[[#This Row],[Número de documento del contacto]],'Resoluciones 1 (Res)'!$A:$C,2,0),"")</f>
        <v>7713</v>
      </c>
      <c r="S36" s="11">
        <f>IFERROR(VLOOKUP(Tabla1[[#This Row],[Número de documento del contacto]],'Resoluciones 1 (Res)'!$A:$C,3,0),"")</f>
        <v>46184.606747685197</v>
      </c>
      <c r="T36" s="7" t="str">
        <f>IFERROR(VLOOKUP(Tabla1[[#This Row],[Número de documento del contacto]],'Resoluciones 2 (Req)'!$B:$E,3,0),"")</f>
        <v>14741</v>
      </c>
      <c r="U36" s="7" t="str">
        <f t="shared" si="3"/>
        <v>7 de mayo de 2026</v>
      </c>
      <c r="V36" s="7" t="str">
        <f t="shared" si="4"/>
        <v>4 de marzo de 2026</v>
      </c>
      <c r="W36" s="8" t="str">
        <f>"1-" &amp; ROWS($W$2:W36) &amp; ".pdf"</f>
        <v>1-35.pdf</v>
      </c>
      <c r="X36" s="7" t="str">
        <f>Tabla1[[#This Row],[Número de documento del contacto]]&amp;"-"&amp;Tabla1[[#This Row],[Número de resolución de archivo]]&amp;".pdf"</f>
        <v>71261876-7713.pdf</v>
      </c>
      <c r="Y36" s="7" t="str">
        <f t="shared" si="5"/>
        <v>ren "1-35.pdf" "71261876-7713.pdf"</v>
      </c>
      <c r="Z36" s="7" t="str">
        <f>Tabla1[[#This Row],[Número de documento del contacto]]&amp;"_"&amp;Tabla1[[#This Row],[Número de resolución de archivo]]&amp;".pdf"</f>
        <v>71261876_7713.pdf</v>
      </c>
      <c r="AA36" s="7" t="s">
        <v>49</v>
      </c>
      <c r="AB36" s="7" t="str">
        <f>Tabla1[[#This Row],[Nombre PDF / cedula + num resolucion]]&amp;";"&amp;Tabla1[[#This Row],[instructivo]]</f>
        <v>71261876_7713.pdf;10. Instructivo_Radicar_Activación_Credencial_DIGITAL_SIRNA.pdf</v>
      </c>
      <c r="AC36" s="7" t="str">
        <f>Tabla1[[#This Row],[Número de resolución de archivo]]&amp;"_"&amp;Tabla1[[#This Row],[Número de documento del contacto]]</f>
        <v>7713_71261876</v>
      </c>
    </row>
    <row r="37" spans="1:29" x14ac:dyDescent="0.25">
      <c r="A37">
        <v>17068</v>
      </c>
      <c r="B37" t="s">
        <v>14</v>
      </c>
      <c r="C37" t="s">
        <v>15</v>
      </c>
      <c r="D37" t="s">
        <v>16</v>
      </c>
      <c r="E37" t="s">
        <v>17</v>
      </c>
      <c r="F37" s="14">
        <v>46149</v>
      </c>
      <c r="G37">
        <v>72184935</v>
      </c>
      <c r="H37" t="s">
        <v>120</v>
      </c>
      <c r="I37" t="s">
        <v>121</v>
      </c>
      <c r="J37" t="s">
        <v>20</v>
      </c>
      <c r="K37" t="s">
        <v>21</v>
      </c>
      <c r="L37" s="14">
        <v>46184</v>
      </c>
      <c r="M37">
        <v>35</v>
      </c>
      <c r="N37" t="s">
        <v>22</v>
      </c>
      <c r="O37" t="s">
        <v>22</v>
      </c>
      <c r="P37" s="14">
        <v>46103</v>
      </c>
      <c r="Q37" t="s">
        <v>23</v>
      </c>
      <c r="R37" s="7">
        <f>IFERROR(VLOOKUP(Tabla1[[#This Row],[Número de documento del contacto]],'Resoluciones 1 (Res)'!$A:$C,2,0),"")</f>
        <v>7746</v>
      </c>
      <c r="S37" s="11">
        <f>IFERROR(VLOOKUP(Tabla1[[#This Row],[Número de documento del contacto]],'Resoluciones 1 (Res)'!$A:$C,3,0),"")</f>
        <v>46184.606747685197</v>
      </c>
      <c r="T37" s="7" t="str">
        <f>IFERROR(VLOOKUP(Tabla1[[#This Row],[Número de documento del contacto]],'Resoluciones 2 (Req)'!$B:$E,3,0),"")</f>
        <v>14671</v>
      </c>
      <c r="U37" s="7" t="str">
        <f t="shared" si="3"/>
        <v>7 de mayo de 2026</v>
      </c>
      <c r="V37" s="7" t="str">
        <f t="shared" si="4"/>
        <v>22 de marzo de 2026</v>
      </c>
      <c r="W37" s="8" t="str">
        <f>"1-" &amp; ROWS($W$2:W37) &amp; ".pdf"</f>
        <v>1-36.pdf</v>
      </c>
      <c r="X37" s="7" t="str">
        <f>Tabla1[[#This Row],[Número de documento del contacto]]&amp;"-"&amp;Tabla1[[#This Row],[Número de resolución de archivo]]&amp;".pdf"</f>
        <v>72184935-7746.pdf</v>
      </c>
      <c r="Y37" s="7" t="str">
        <f t="shared" si="5"/>
        <v>ren "1-36.pdf" "72184935-7746.pdf"</v>
      </c>
      <c r="Z37" s="7" t="str">
        <f>Tabla1[[#This Row],[Número de documento del contacto]]&amp;"_"&amp;Tabla1[[#This Row],[Número de resolución de archivo]]&amp;".pdf"</f>
        <v>72184935_7746.pdf</v>
      </c>
      <c r="AA37" s="7" t="s">
        <v>49</v>
      </c>
      <c r="AB37" s="7" t="str">
        <f>Tabla1[[#This Row],[Nombre PDF / cedula + num resolucion]]&amp;";"&amp;Tabla1[[#This Row],[instructivo]]</f>
        <v>72184935_7746.pdf;10. Instructivo_Radicar_Activación_Credencial_DIGITAL_SIRNA.pdf</v>
      </c>
      <c r="AC37" s="7" t="str">
        <f>Tabla1[[#This Row],[Número de resolución de archivo]]&amp;"_"&amp;Tabla1[[#This Row],[Número de documento del contacto]]</f>
        <v>7746_72184935</v>
      </c>
    </row>
    <row r="38" spans="1:29" x14ac:dyDescent="0.25">
      <c r="A38">
        <v>18120</v>
      </c>
      <c r="B38" t="s">
        <v>14</v>
      </c>
      <c r="C38" t="s">
        <v>15</v>
      </c>
      <c r="D38" t="s">
        <v>16</v>
      </c>
      <c r="E38" t="s">
        <v>17</v>
      </c>
      <c r="F38" s="14">
        <v>46149</v>
      </c>
      <c r="G38">
        <v>72297823</v>
      </c>
      <c r="H38" t="s">
        <v>122</v>
      </c>
      <c r="I38" t="s">
        <v>123</v>
      </c>
      <c r="J38" t="s">
        <v>20</v>
      </c>
      <c r="K38" t="s">
        <v>21</v>
      </c>
      <c r="L38" s="14">
        <v>46184</v>
      </c>
      <c r="M38">
        <v>35</v>
      </c>
      <c r="N38" t="s">
        <v>22</v>
      </c>
      <c r="O38" t="s">
        <v>22</v>
      </c>
      <c r="P38" s="14">
        <v>46109</v>
      </c>
      <c r="Q38" t="s">
        <v>23</v>
      </c>
      <c r="R38" s="7">
        <f>IFERROR(VLOOKUP(Tabla1[[#This Row],[Número de documento del contacto]],'Resoluciones 1 (Res)'!$A:$C,2,0),"")</f>
        <v>7576</v>
      </c>
      <c r="S38" s="11">
        <f>IFERROR(VLOOKUP(Tabla1[[#This Row],[Número de documento del contacto]],'Resoluciones 1 (Res)'!$A:$C,3,0),"")</f>
        <v>46184.606747685197</v>
      </c>
      <c r="T38" s="7" t="str">
        <f>IFERROR(VLOOKUP(Tabla1[[#This Row],[Número de documento del contacto]],'Resoluciones 2 (Req)'!$B:$E,3,0),"")</f>
        <v>14609</v>
      </c>
      <c r="U38" s="7" t="str">
        <f t="shared" si="3"/>
        <v>7 de mayo de 2026</v>
      </c>
      <c r="V38" s="7" t="str">
        <f t="shared" si="4"/>
        <v>28 de marzo de 2026</v>
      </c>
      <c r="W38" s="8" t="str">
        <f>"1-" &amp; ROWS($W$2:W38) &amp; ".pdf"</f>
        <v>1-37.pdf</v>
      </c>
      <c r="X38" s="7" t="str">
        <f>Tabla1[[#This Row],[Número de documento del contacto]]&amp;"-"&amp;Tabla1[[#This Row],[Número de resolución de archivo]]&amp;".pdf"</f>
        <v>72297823-7576.pdf</v>
      </c>
      <c r="Y38" s="7" t="str">
        <f t="shared" si="5"/>
        <v>ren "1-37.pdf" "72297823-7576.pdf"</v>
      </c>
      <c r="Z38" s="7" t="str">
        <f>Tabla1[[#This Row],[Número de documento del contacto]]&amp;"_"&amp;Tabla1[[#This Row],[Número de resolución de archivo]]&amp;".pdf"</f>
        <v>72297823_7576.pdf</v>
      </c>
      <c r="AA38" s="7" t="s">
        <v>49</v>
      </c>
      <c r="AB38" s="7" t="str">
        <f>Tabla1[[#This Row],[Nombre PDF / cedula + num resolucion]]&amp;";"&amp;Tabla1[[#This Row],[instructivo]]</f>
        <v>72297823_7576.pdf;10. Instructivo_Radicar_Activación_Credencial_DIGITAL_SIRNA.pdf</v>
      </c>
      <c r="AC38" s="7" t="str">
        <f>Tabla1[[#This Row],[Número de resolución de archivo]]&amp;"_"&amp;Tabla1[[#This Row],[Número de documento del contacto]]</f>
        <v>7576_72297823</v>
      </c>
    </row>
    <row r="39" spans="1:29" x14ac:dyDescent="0.25">
      <c r="A39">
        <v>16806</v>
      </c>
      <c r="B39" t="s">
        <v>14</v>
      </c>
      <c r="C39" t="s">
        <v>15</v>
      </c>
      <c r="D39" t="s">
        <v>16</v>
      </c>
      <c r="E39" t="s">
        <v>17</v>
      </c>
      <c r="F39" s="14">
        <v>46149</v>
      </c>
      <c r="G39">
        <v>75065982</v>
      </c>
      <c r="H39" t="s">
        <v>124</v>
      </c>
      <c r="I39" t="s">
        <v>125</v>
      </c>
      <c r="J39" t="s">
        <v>20</v>
      </c>
      <c r="K39" t="s">
        <v>21</v>
      </c>
      <c r="L39" s="14">
        <v>46184</v>
      </c>
      <c r="M39">
        <v>35</v>
      </c>
      <c r="N39" t="s">
        <v>22</v>
      </c>
      <c r="O39" t="s">
        <v>22</v>
      </c>
      <c r="P39" s="14">
        <v>46101</v>
      </c>
      <c r="Q39" t="s">
        <v>23</v>
      </c>
      <c r="R39" s="7">
        <f>IFERROR(VLOOKUP(Tabla1[[#This Row],[Número de documento del contacto]],'Resoluciones 1 (Res)'!$A:$C,2,0),"")</f>
        <v>7617</v>
      </c>
      <c r="S39" s="11">
        <f>IFERROR(VLOOKUP(Tabla1[[#This Row],[Número de documento del contacto]],'Resoluciones 1 (Res)'!$A:$C,3,0),"")</f>
        <v>46184.606747685197</v>
      </c>
      <c r="T39" s="7" t="str">
        <f>IFERROR(VLOOKUP(Tabla1[[#This Row],[Número de documento del contacto]],'Resoluciones 2 (Req)'!$B:$E,3,0),"")</f>
        <v>14672</v>
      </c>
      <c r="U39" s="7" t="str">
        <f t="shared" si="3"/>
        <v>7 de mayo de 2026</v>
      </c>
      <c r="V39" s="7" t="str">
        <f t="shared" si="4"/>
        <v>20 de marzo de 2026</v>
      </c>
      <c r="W39" s="8" t="str">
        <f>"1-" &amp; ROWS($W$2:W39) &amp; ".pdf"</f>
        <v>1-38.pdf</v>
      </c>
      <c r="X39" s="7" t="str">
        <f>Tabla1[[#This Row],[Número de documento del contacto]]&amp;"-"&amp;Tabla1[[#This Row],[Número de resolución de archivo]]&amp;".pdf"</f>
        <v>75065982-7617.pdf</v>
      </c>
      <c r="Y39" s="7" t="str">
        <f t="shared" si="5"/>
        <v>ren "1-38.pdf" "75065982-7617.pdf"</v>
      </c>
      <c r="Z39" s="7" t="str">
        <f>Tabla1[[#This Row],[Número de documento del contacto]]&amp;"_"&amp;Tabla1[[#This Row],[Número de resolución de archivo]]&amp;".pdf"</f>
        <v>75065982_7617.pdf</v>
      </c>
      <c r="AA39" s="7" t="s">
        <v>49</v>
      </c>
      <c r="AB39" s="7" t="str">
        <f>Tabla1[[#This Row],[Nombre PDF / cedula + num resolucion]]&amp;";"&amp;Tabla1[[#This Row],[instructivo]]</f>
        <v>75065982_7617.pdf;10. Instructivo_Radicar_Activación_Credencial_DIGITAL_SIRNA.pdf</v>
      </c>
      <c r="AC39" s="7" t="str">
        <f>Tabla1[[#This Row],[Número de resolución de archivo]]&amp;"_"&amp;Tabla1[[#This Row],[Número de documento del contacto]]</f>
        <v>7617_75065982</v>
      </c>
    </row>
    <row r="40" spans="1:29" x14ac:dyDescent="0.25">
      <c r="A40">
        <v>17297</v>
      </c>
      <c r="B40" t="s">
        <v>14</v>
      </c>
      <c r="C40" t="s">
        <v>15</v>
      </c>
      <c r="D40" t="s">
        <v>16</v>
      </c>
      <c r="E40" t="s">
        <v>17</v>
      </c>
      <c r="F40" s="14">
        <v>46149</v>
      </c>
      <c r="G40">
        <v>76317803</v>
      </c>
      <c r="H40" t="s">
        <v>126</v>
      </c>
      <c r="I40" t="s">
        <v>127</v>
      </c>
      <c r="J40" t="s">
        <v>20</v>
      </c>
      <c r="K40" t="s">
        <v>21</v>
      </c>
      <c r="L40" s="14">
        <v>46184</v>
      </c>
      <c r="M40">
        <v>35</v>
      </c>
      <c r="N40" t="s">
        <v>22</v>
      </c>
      <c r="O40" t="s">
        <v>22</v>
      </c>
      <c r="P40" s="14">
        <v>46105</v>
      </c>
      <c r="Q40" t="s">
        <v>23</v>
      </c>
      <c r="R40" s="7">
        <f>IFERROR(VLOOKUP(Tabla1[[#This Row],[Número de documento del contacto]],'Resoluciones 1 (Res)'!$A:$C,2,0),"")</f>
        <v>7563</v>
      </c>
      <c r="S40" s="11">
        <f>IFERROR(VLOOKUP(Tabla1[[#This Row],[Número de documento del contacto]],'Resoluciones 1 (Res)'!$A:$C,3,0),"")</f>
        <v>46184.606747685197</v>
      </c>
      <c r="T40" s="7" t="str">
        <f>IFERROR(VLOOKUP(Tabla1[[#This Row],[Número de documento del contacto]],'Resoluciones 2 (Req)'!$B:$E,3,0),"")</f>
        <v>14673</v>
      </c>
      <c r="U40" s="7" t="str">
        <f t="shared" si="3"/>
        <v>7 de mayo de 2026</v>
      </c>
      <c r="V40" s="7" t="str">
        <f t="shared" si="4"/>
        <v>24 de marzo de 2026</v>
      </c>
      <c r="W40" s="8" t="str">
        <f>"1-" &amp; ROWS($W$2:W40) &amp; ".pdf"</f>
        <v>1-39.pdf</v>
      </c>
      <c r="X40" s="7" t="str">
        <f>Tabla1[[#This Row],[Número de documento del contacto]]&amp;"-"&amp;Tabla1[[#This Row],[Número de resolución de archivo]]&amp;".pdf"</f>
        <v>76317803-7563.pdf</v>
      </c>
      <c r="Y40" s="7" t="str">
        <f t="shared" si="5"/>
        <v>ren "1-39.pdf" "76317803-7563.pdf"</v>
      </c>
      <c r="Z40" s="7" t="str">
        <f>Tabla1[[#This Row],[Número de documento del contacto]]&amp;"_"&amp;Tabla1[[#This Row],[Número de resolución de archivo]]&amp;".pdf"</f>
        <v>76317803_7563.pdf</v>
      </c>
      <c r="AA40" s="7" t="s">
        <v>49</v>
      </c>
      <c r="AB40" s="7" t="str">
        <f>Tabla1[[#This Row],[Nombre PDF / cedula + num resolucion]]&amp;";"&amp;Tabla1[[#This Row],[instructivo]]</f>
        <v>76317803_7563.pdf;10. Instructivo_Radicar_Activación_Credencial_DIGITAL_SIRNA.pdf</v>
      </c>
      <c r="AC40" s="7" t="str">
        <f>Tabla1[[#This Row],[Número de resolución de archivo]]&amp;"_"&amp;Tabla1[[#This Row],[Número de documento del contacto]]</f>
        <v>7563_76317803</v>
      </c>
    </row>
    <row r="41" spans="1:29" x14ac:dyDescent="0.25">
      <c r="A41">
        <v>17467</v>
      </c>
      <c r="B41" t="s">
        <v>14</v>
      </c>
      <c r="C41" t="s">
        <v>15</v>
      </c>
      <c r="D41" t="s">
        <v>16</v>
      </c>
      <c r="E41" t="s">
        <v>17</v>
      </c>
      <c r="F41" s="14">
        <v>46149</v>
      </c>
      <c r="G41">
        <v>78687557</v>
      </c>
      <c r="H41" t="s">
        <v>128</v>
      </c>
      <c r="I41" t="s">
        <v>129</v>
      </c>
      <c r="J41" t="s">
        <v>20</v>
      </c>
      <c r="K41" t="s">
        <v>21</v>
      </c>
      <c r="L41" s="14">
        <v>46184</v>
      </c>
      <c r="M41">
        <v>35</v>
      </c>
      <c r="N41" t="s">
        <v>22</v>
      </c>
      <c r="O41" t="s">
        <v>22</v>
      </c>
      <c r="P41" s="14">
        <v>46106</v>
      </c>
      <c r="Q41" t="s">
        <v>23</v>
      </c>
      <c r="R41" s="7">
        <f>IFERROR(VLOOKUP(Tabla1[[#This Row],[Número de documento del contacto]],'Resoluciones 1 (Res)'!$A:$C,2,0),"")</f>
        <v>7589</v>
      </c>
      <c r="S41" s="11">
        <f>IFERROR(VLOOKUP(Tabla1[[#This Row],[Número de documento del contacto]],'Resoluciones 1 (Res)'!$A:$C,3,0),"")</f>
        <v>46184.606747685197</v>
      </c>
      <c r="T41" s="7" t="str">
        <f>IFERROR(VLOOKUP(Tabla1[[#This Row],[Número de documento del contacto]],'Resoluciones 2 (Req)'!$B:$E,3,0),"")</f>
        <v>14674</v>
      </c>
      <c r="U41" s="7" t="str">
        <f t="shared" si="3"/>
        <v>7 de mayo de 2026</v>
      </c>
      <c r="V41" s="7" t="str">
        <f t="shared" si="4"/>
        <v>25 de marzo de 2026</v>
      </c>
      <c r="W41" s="8" t="str">
        <f>"1-" &amp; ROWS($W$2:W41) &amp; ".pdf"</f>
        <v>1-40.pdf</v>
      </c>
      <c r="X41" s="7" t="str">
        <f>Tabla1[[#This Row],[Número de documento del contacto]]&amp;"-"&amp;Tabla1[[#This Row],[Número de resolución de archivo]]&amp;".pdf"</f>
        <v>78687557-7589.pdf</v>
      </c>
      <c r="Y41" s="7" t="str">
        <f t="shared" si="5"/>
        <v>ren "1-40.pdf" "78687557-7589.pdf"</v>
      </c>
      <c r="Z41" s="7" t="str">
        <f>Tabla1[[#This Row],[Número de documento del contacto]]&amp;"_"&amp;Tabla1[[#This Row],[Número de resolución de archivo]]&amp;".pdf"</f>
        <v>78687557_7589.pdf</v>
      </c>
      <c r="AA41" s="7" t="s">
        <v>49</v>
      </c>
      <c r="AB41" s="7" t="str">
        <f>Tabla1[[#This Row],[Nombre PDF / cedula + num resolucion]]&amp;";"&amp;Tabla1[[#This Row],[instructivo]]</f>
        <v>78687557_7589.pdf;10. Instructivo_Radicar_Activación_Credencial_DIGITAL_SIRNA.pdf</v>
      </c>
      <c r="AC41" s="7" t="str">
        <f>Tabla1[[#This Row],[Número de resolución de archivo]]&amp;"_"&amp;Tabla1[[#This Row],[Número de documento del contacto]]</f>
        <v>7589_78687557</v>
      </c>
    </row>
    <row r="42" spans="1:29" x14ac:dyDescent="0.25">
      <c r="A42">
        <v>13543</v>
      </c>
      <c r="B42" t="s">
        <v>14</v>
      </c>
      <c r="C42" t="s">
        <v>15</v>
      </c>
      <c r="D42" t="s">
        <v>16</v>
      </c>
      <c r="E42" t="s">
        <v>17</v>
      </c>
      <c r="F42" s="14">
        <v>46149</v>
      </c>
      <c r="G42">
        <v>79205515</v>
      </c>
      <c r="H42" t="s">
        <v>130</v>
      </c>
      <c r="I42" t="s">
        <v>131</v>
      </c>
      <c r="J42" t="s">
        <v>20</v>
      </c>
      <c r="K42" t="s">
        <v>21</v>
      </c>
      <c r="L42" s="14">
        <v>46184</v>
      </c>
      <c r="M42">
        <v>35</v>
      </c>
      <c r="N42" t="s">
        <v>22</v>
      </c>
      <c r="O42" t="s">
        <v>22</v>
      </c>
      <c r="P42" s="14">
        <v>46083</v>
      </c>
      <c r="Q42" t="s">
        <v>23</v>
      </c>
      <c r="R42" s="7">
        <f>IFERROR(VLOOKUP(Tabla1[[#This Row],[Número de documento del contacto]],'Resoluciones 1 (Res)'!$A:$C,2,0),"")</f>
        <v>7519</v>
      </c>
      <c r="S42" s="11">
        <f>IFERROR(VLOOKUP(Tabla1[[#This Row],[Número de documento del contacto]],'Resoluciones 1 (Res)'!$A:$C,3,0),"")</f>
        <v>46184.606747685197</v>
      </c>
      <c r="T42" s="7" t="str">
        <f>IFERROR(VLOOKUP(Tabla1[[#This Row],[Número de documento del contacto]],'Resoluciones 2 (Req)'!$B:$E,3,0),"")</f>
        <v>14792</v>
      </c>
      <c r="U42" s="7" t="str">
        <f t="shared" si="3"/>
        <v>7 de mayo de 2026</v>
      </c>
      <c r="V42" s="7" t="str">
        <f t="shared" si="4"/>
        <v>2 de marzo de 2026</v>
      </c>
      <c r="W42" s="8" t="str">
        <f>"1-" &amp; ROWS($W$2:W42) &amp; ".pdf"</f>
        <v>1-41.pdf</v>
      </c>
      <c r="X42" s="7" t="str">
        <f>Tabla1[[#This Row],[Número de documento del contacto]]&amp;"-"&amp;Tabla1[[#This Row],[Número de resolución de archivo]]&amp;".pdf"</f>
        <v>79205515-7519.pdf</v>
      </c>
      <c r="Y42" s="7" t="str">
        <f t="shared" si="5"/>
        <v>ren "1-41.pdf" "79205515-7519.pdf"</v>
      </c>
      <c r="Z42" s="7" t="str">
        <f>Tabla1[[#This Row],[Número de documento del contacto]]&amp;"_"&amp;Tabla1[[#This Row],[Número de resolución de archivo]]&amp;".pdf"</f>
        <v>79205515_7519.pdf</v>
      </c>
      <c r="AA42" s="7" t="s">
        <v>49</v>
      </c>
      <c r="AB42" s="7" t="str">
        <f>Tabla1[[#This Row],[Nombre PDF / cedula + num resolucion]]&amp;";"&amp;Tabla1[[#This Row],[instructivo]]</f>
        <v>79205515_7519.pdf;10. Instructivo_Radicar_Activación_Credencial_DIGITAL_SIRNA.pdf</v>
      </c>
      <c r="AC42" s="7" t="str">
        <f>Tabla1[[#This Row],[Número de resolución de archivo]]&amp;"_"&amp;Tabla1[[#This Row],[Número de documento del contacto]]</f>
        <v>7519_79205515</v>
      </c>
    </row>
    <row r="43" spans="1:29" x14ac:dyDescent="0.25">
      <c r="A43">
        <v>18123</v>
      </c>
      <c r="B43" t="s">
        <v>14</v>
      </c>
      <c r="C43" t="s">
        <v>15</v>
      </c>
      <c r="D43" t="s">
        <v>16</v>
      </c>
      <c r="E43" t="s">
        <v>17</v>
      </c>
      <c r="F43" s="14">
        <v>46149</v>
      </c>
      <c r="G43">
        <v>79472895</v>
      </c>
      <c r="H43" t="s">
        <v>132</v>
      </c>
      <c r="I43" t="s">
        <v>133</v>
      </c>
      <c r="J43" t="s">
        <v>20</v>
      </c>
      <c r="K43" t="s">
        <v>21</v>
      </c>
      <c r="L43" s="14">
        <v>46184</v>
      </c>
      <c r="M43">
        <v>35</v>
      </c>
      <c r="N43" t="s">
        <v>22</v>
      </c>
      <c r="O43" t="s">
        <v>22</v>
      </c>
      <c r="P43" s="14">
        <v>46109</v>
      </c>
      <c r="Q43" t="s">
        <v>23</v>
      </c>
      <c r="R43" s="7">
        <f>IFERROR(VLOOKUP(Tabla1[[#This Row],[Número de documento del contacto]],'Resoluciones 1 (Res)'!$A:$C,2,0),"")</f>
        <v>7459</v>
      </c>
      <c r="S43" s="11">
        <f>IFERROR(VLOOKUP(Tabla1[[#This Row],[Número de documento del contacto]],'Resoluciones 1 (Res)'!$A:$C,3,0),"")</f>
        <v>46184.606747685197</v>
      </c>
      <c r="T43" s="7" t="str">
        <f>IFERROR(VLOOKUP(Tabla1[[#This Row],[Número de documento del contacto]],'Resoluciones 2 (Req)'!$B:$E,3,0),"")</f>
        <v>14610</v>
      </c>
      <c r="U43" s="7" t="str">
        <f t="shared" si="3"/>
        <v>7 de mayo de 2026</v>
      </c>
      <c r="V43" s="7" t="str">
        <f t="shared" si="4"/>
        <v>28 de marzo de 2026</v>
      </c>
      <c r="W43" s="8" t="str">
        <f>"1-" &amp; ROWS($W$2:W43) &amp; ".pdf"</f>
        <v>1-42.pdf</v>
      </c>
      <c r="X43" s="7" t="str">
        <f>Tabla1[[#This Row],[Número de documento del contacto]]&amp;"-"&amp;Tabla1[[#This Row],[Número de resolución de archivo]]&amp;".pdf"</f>
        <v>79472895-7459.pdf</v>
      </c>
      <c r="Y43" s="7" t="str">
        <f t="shared" si="5"/>
        <v>ren "1-42.pdf" "79472895-7459.pdf"</v>
      </c>
      <c r="Z43" s="7" t="str">
        <f>Tabla1[[#This Row],[Número de documento del contacto]]&amp;"_"&amp;Tabla1[[#This Row],[Número de resolución de archivo]]&amp;".pdf"</f>
        <v>79472895_7459.pdf</v>
      </c>
      <c r="AA43" s="7" t="s">
        <v>49</v>
      </c>
      <c r="AB43" s="7" t="str">
        <f>Tabla1[[#This Row],[Nombre PDF / cedula + num resolucion]]&amp;";"&amp;Tabla1[[#This Row],[instructivo]]</f>
        <v>79472895_7459.pdf;10. Instructivo_Radicar_Activación_Credencial_DIGITAL_SIRNA.pdf</v>
      </c>
      <c r="AC43" s="7" t="str">
        <f>Tabla1[[#This Row],[Número de resolución de archivo]]&amp;"_"&amp;Tabla1[[#This Row],[Número de documento del contacto]]</f>
        <v>7459_79472895</v>
      </c>
    </row>
    <row r="44" spans="1:29" x14ac:dyDescent="0.25">
      <c r="A44">
        <v>18450</v>
      </c>
      <c r="B44" t="s">
        <v>14</v>
      </c>
      <c r="C44" t="s">
        <v>15</v>
      </c>
      <c r="D44" t="s">
        <v>16</v>
      </c>
      <c r="E44" t="s">
        <v>17</v>
      </c>
      <c r="F44" s="14">
        <v>46149</v>
      </c>
      <c r="G44">
        <v>79648801</v>
      </c>
      <c r="H44" t="s">
        <v>134</v>
      </c>
      <c r="I44" t="s">
        <v>135</v>
      </c>
      <c r="J44" t="s">
        <v>20</v>
      </c>
      <c r="K44" t="s">
        <v>21</v>
      </c>
      <c r="L44" s="14">
        <v>46184</v>
      </c>
      <c r="M44">
        <v>35</v>
      </c>
      <c r="N44" t="s">
        <v>22</v>
      </c>
      <c r="O44" t="s">
        <v>22</v>
      </c>
      <c r="P44" s="14">
        <v>46116</v>
      </c>
      <c r="Q44" t="s">
        <v>23</v>
      </c>
      <c r="R44" s="7">
        <f>IFERROR(VLOOKUP(Tabla1[[#This Row],[Número de documento del contacto]],'Resoluciones 1 (Res)'!$A:$C,2,0),"")</f>
        <v>7618</v>
      </c>
      <c r="S44" s="11">
        <f>IFERROR(VLOOKUP(Tabla1[[#This Row],[Número de documento del contacto]],'Resoluciones 1 (Res)'!$A:$C,3,0),"")</f>
        <v>46184.606747685197</v>
      </c>
      <c r="T44" s="7" t="str">
        <f>IFERROR(VLOOKUP(Tabla1[[#This Row],[Número de documento del contacto]],'Resoluciones 2 (Req)'!$B:$E,3,0),"")</f>
        <v>14611</v>
      </c>
      <c r="U44" s="7" t="str">
        <f t="shared" si="3"/>
        <v>7 de mayo de 2026</v>
      </c>
      <c r="V44" s="7" t="str">
        <f t="shared" si="4"/>
        <v>4 de abril de 2026</v>
      </c>
      <c r="W44" s="8" t="str">
        <f>"1-" &amp; ROWS($W$2:W44) &amp; ".pdf"</f>
        <v>1-43.pdf</v>
      </c>
      <c r="X44" s="7" t="str">
        <f>Tabla1[[#This Row],[Número de documento del contacto]]&amp;"-"&amp;Tabla1[[#This Row],[Número de resolución de archivo]]&amp;".pdf"</f>
        <v>79648801-7618.pdf</v>
      </c>
      <c r="Y44" s="7" t="str">
        <f t="shared" si="5"/>
        <v>ren "1-43.pdf" "79648801-7618.pdf"</v>
      </c>
      <c r="Z44" s="7" t="str">
        <f>Tabla1[[#This Row],[Número de documento del contacto]]&amp;"_"&amp;Tabla1[[#This Row],[Número de resolución de archivo]]&amp;".pdf"</f>
        <v>79648801_7618.pdf</v>
      </c>
      <c r="AA44" s="7" t="s">
        <v>49</v>
      </c>
      <c r="AB44" s="7" t="str">
        <f>Tabla1[[#This Row],[Nombre PDF / cedula + num resolucion]]&amp;";"&amp;Tabla1[[#This Row],[instructivo]]</f>
        <v>79648801_7618.pdf;10. Instructivo_Radicar_Activación_Credencial_DIGITAL_SIRNA.pdf</v>
      </c>
      <c r="AC44" s="7" t="str">
        <f>Tabla1[[#This Row],[Número de resolución de archivo]]&amp;"_"&amp;Tabla1[[#This Row],[Número de documento del contacto]]</f>
        <v>7618_79648801</v>
      </c>
    </row>
    <row r="45" spans="1:29" x14ac:dyDescent="0.25">
      <c r="A45">
        <v>17921</v>
      </c>
      <c r="B45" t="s">
        <v>14</v>
      </c>
      <c r="C45" t="s">
        <v>15</v>
      </c>
      <c r="D45" t="s">
        <v>16</v>
      </c>
      <c r="E45" t="s">
        <v>17</v>
      </c>
      <c r="F45" s="14">
        <v>46149</v>
      </c>
      <c r="G45">
        <v>79708167</v>
      </c>
      <c r="H45" t="s">
        <v>136</v>
      </c>
      <c r="I45" t="s">
        <v>137</v>
      </c>
      <c r="J45" t="s">
        <v>20</v>
      </c>
      <c r="K45" t="s">
        <v>21</v>
      </c>
      <c r="L45" s="14">
        <v>46184</v>
      </c>
      <c r="M45">
        <v>35</v>
      </c>
      <c r="N45" t="s">
        <v>22</v>
      </c>
      <c r="O45" t="s">
        <v>22</v>
      </c>
      <c r="P45" s="14">
        <v>46108</v>
      </c>
      <c r="Q45" t="s">
        <v>23</v>
      </c>
      <c r="R45" s="7">
        <f>IFERROR(VLOOKUP(Tabla1[[#This Row],[Número de documento del contacto]],'Resoluciones 1 (Res)'!$A:$C,2,0),"")</f>
        <v>7671</v>
      </c>
      <c r="S45" s="11">
        <f>IFERROR(VLOOKUP(Tabla1[[#This Row],[Número de documento del contacto]],'Resoluciones 1 (Res)'!$A:$C,3,0),"")</f>
        <v>46184.606747685197</v>
      </c>
      <c r="T45" s="7" t="str">
        <f>IFERROR(VLOOKUP(Tabla1[[#This Row],[Número de documento del contacto]],'Resoluciones 2 (Req)'!$B:$E,3,0),"")</f>
        <v>14612</v>
      </c>
      <c r="U45" s="7" t="str">
        <f t="shared" si="3"/>
        <v>7 de mayo de 2026</v>
      </c>
      <c r="V45" s="7" t="str">
        <f t="shared" si="4"/>
        <v>27 de marzo de 2026</v>
      </c>
      <c r="W45" s="8" t="str">
        <f>"1-" &amp; ROWS($W$2:W45) &amp; ".pdf"</f>
        <v>1-44.pdf</v>
      </c>
      <c r="X45" s="7" t="str">
        <f>Tabla1[[#This Row],[Número de documento del contacto]]&amp;"-"&amp;Tabla1[[#This Row],[Número de resolución de archivo]]&amp;".pdf"</f>
        <v>79708167-7671.pdf</v>
      </c>
      <c r="Y45" s="7" t="str">
        <f t="shared" si="5"/>
        <v>ren "1-44.pdf" "79708167-7671.pdf"</v>
      </c>
      <c r="Z45" s="7" t="str">
        <f>Tabla1[[#This Row],[Número de documento del contacto]]&amp;"_"&amp;Tabla1[[#This Row],[Número de resolución de archivo]]&amp;".pdf"</f>
        <v>79708167_7671.pdf</v>
      </c>
      <c r="AA45" s="7" t="s">
        <v>49</v>
      </c>
      <c r="AB45" s="7" t="str">
        <f>Tabla1[[#This Row],[Nombre PDF / cedula + num resolucion]]&amp;";"&amp;Tabla1[[#This Row],[instructivo]]</f>
        <v>79708167_7671.pdf;10. Instructivo_Radicar_Activación_Credencial_DIGITAL_SIRNA.pdf</v>
      </c>
      <c r="AC45" s="7" t="str">
        <f>Tabla1[[#This Row],[Número de resolución de archivo]]&amp;"_"&amp;Tabla1[[#This Row],[Número de documento del contacto]]</f>
        <v>7671_79708167</v>
      </c>
    </row>
    <row r="46" spans="1:29" x14ac:dyDescent="0.25">
      <c r="A46">
        <v>17107</v>
      </c>
      <c r="B46" t="s">
        <v>14</v>
      </c>
      <c r="C46" t="s">
        <v>15</v>
      </c>
      <c r="D46" t="s">
        <v>16</v>
      </c>
      <c r="E46" t="s">
        <v>17</v>
      </c>
      <c r="F46" s="14">
        <v>46149</v>
      </c>
      <c r="G46">
        <v>79924828</v>
      </c>
      <c r="H46" t="s">
        <v>138</v>
      </c>
      <c r="I46" t="s">
        <v>139</v>
      </c>
      <c r="J46" t="s">
        <v>20</v>
      </c>
      <c r="K46" t="s">
        <v>21</v>
      </c>
      <c r="L46" s="14">
        <v>46184</v>
      </c>
      <c r="M46">
        <v>35</v>
      </c>
      <c r="N46" t="s">
        <v>22</v>
      </c>
      <c r="O46" t="s">
        <v>22</v>
      </c>
      <c r="P46" s="14">
        <v>46104</v>
      </c>
      <c r="Q46" t="s">
        <v>23</v>
      </c>
      <c r="R46" s="7">
        <f>IFERROR(VLOOKUP(Tabla1[[#This Row],[Número de documento del contacto]],'Resoluciones 1 (Res)'!$A:$C,2,0),"")</f>
        <v>7622</v>
      </c>
      <c r="S46" s="11">
        <f>IFERROR(VLOOKUP(Tabla1[[#This Row],[Número de documento del contacto]],'Resoluciones 1 (Res)'!$A:$C,3,0),"")</f>
        <v>46184.606747685197</v>
      </c>
      <c r="T46" s="7" t="str">
        <f>IFERROR(VLOOKUP(Tabla1[[#This Row],[Número de documento del contacto]],'Resoluciones 2 (Req)'!$B:$E,3,0),"")</f>
        <v>14676</v>
      </c>
      <c r="U46" s="7" t="str">
        <f t="shared" si="3"/>
        <v>7 de mayo de 2026</v>
      </c>
      <c r="V46" s="7" t="str">
        <f t="shared" si="4"/>
        <v>23 de marzo de 2026</v>
      </c>
      <c r="W46" s="8" t="str">
        <f>"1-" &amp; ROWS($W$2:W46) &amp; ".pdf"</f>
        <v>1-45.pdf</v>
      </c>
      <c r="X46" s="7" t="str">
        <f>Tabla1[[#This Row],[Número de documento del contacto]]&amp;"-"&amp;Tabla1[[#This Row],[Número de resolución de archivo]]&amp;".pdf"</f>
        <v>79924828-7622.pdf</v>
      </c>
      <c r="Y46" s="7" t="str">
        <f t="shared" si="5"/>
        <v>ren "1-45.pdf" "79924828-7622.pdf"</v>
      </c>
      <c r="Z46" s="7" t="str">
        <f>Tabla1[[#This Row],[Número de documento del contacto]]&amp;"_"&amp;Tabla1[[#This Row],[Número de resolución de archivo]]&amp;".pdf"</f>
        <v>79924828_7622.pdf</v>
      </c>
      <c r="AA46" s="7" t="s">
        <v>49</v>
      </c>
      <c r="AB46" s="7" t="str">
        <f>Tabla1[[#This Row],[Nombre PDF / cedula + num resolucion]]&amp;";"&amp;Tabla1[[#This Row],[instructivo]]</f>
        <v>79924828_7622.pdf;10. Instructivo_Radicar_Activación_Credencial_DIGITAL_SIRNA.pdf</v>
      </c>
      <c r="AC46" s="7" t="str">
        <f>Tabla1[[#This Row],[Número de resolución de archivo]]&amp;"_"&amp;Tabla1[[#This Row],[Número de documento del contacto]]</f>
        <v>7622_79924828</v>
      </c>
    </row>
    <row r="47" spans="1:29" x14ac:dyDescent="0.25">
      <c r="A47">
        <v>13841</v>
      </c>
      <c r="B47" t="s">
        <v>14</v>
      </c>
      <c r="C47" t="s">
        <v>15</v>
      </c>
      <c r="D47" t="s">
        <v>16</v>
      </c>
      <c r="E47" t="s">
        <v>17</v>
      </c>
      <c r="F47" s="14">
        <v>46149</v>
      </c>
      <c r="G47">
        <v>79951457</v>
      </c>
      <c r="H47" t="s">
        <v>140</v>
      </c>
      <c r="I47" t="s">
        <v>141</v>
      </c>
      <c r="J47" t="s">
        <v>20</v>
      </c>
      <c r="K47" t="s">
        <v>21</v>
      </c>
      <c r="L47" s="14">
        <v>46184</v>
      </c>
      <c r="M47">
        <v>35</v>
      </c>
      <c r="N47" t="s">
        <v>22</v>
      </c>
      <c r="O47" t="s">
        <v>22</v>
      </c>
      <c r="P47" s="14">
        <v>46084</v>
      </c>
      <c r="Q47" t="s">
        <v>23</v>
      </c>
      <c r="R47" s="7">
        <f>IFERROR(VLOOKUP(Tabla1[[#This Row],[Número de documento del contacto]],'Resoluciones 1 (Res)'!$A:$C,2,0),"")</f>
        <v>7682</v>
      </c>
      <c r="S47" s="11">
        <f>IFERROR(VLOOKUP(Tabla1[[#This Row],[Número de documento del contacto]],'Resoluciones 1 (Res)'!$A:$C,3,0),"")</f>
        <v>46184.606747685197</v>
      </c>
      <c r="T47" s="7" t="str">
        <f>IFERROR(VLOOKUP(Tabla1[[#This Row],[Número de documento del contacto]],'Resoluciones 2 (Req)'!$B:$E,3,0),"")</f>
        <v>14766</v>
      </c>
      <c r="U47" s="7" t="str">
        <f t="shared" si="3"/>
        <v>7 de mayo de 2026</v>
      </c>
      <c r="V47" s="7" t="str">
        <f t="shared" si="4"/>
        <v>3 de marzo de 2026</v>
      </c>
      <c r="W47" s="8" t="str">
        <f>"1-" &amp; ROWS($W$2:W47) &amp; ".pdf"</f>
        <v>1-46.pdf</v>
      </c>
      <c r="X47" s="7" t="str">
        <f>Tabla1[[#This Row],[Número de documento del contacto]]&amp;"-"&amp;Tabla1[[#This Row],[Número de resolución de archivo]]&amp;".pdf"</f>
        <v>79951457-7682.pdf</v>
      </c>
      <c r="Y47" s="7" t="str">
        <f t="shared" si="5"/>
        <v>ren "1-46.pdf" "79951457-7682.pdf"</v>
      </c>
      <c r="Z47" s="7" t="str">
        <f>Tabla1[[#This Row],[Número de documento del contacto]]&amp;"_"&amp;Tabla1[[#This Row],[Número de resolución de archivo]]&amp;".pdf"</f>
        <v>79951457_7682.pdf</v>
      </c>
      <c r="AA47" s="7" t="s">
        <v>49</v>
      </c>
      <c r="AB47" s="7" t="str">
        <f>Tabla1[[#This Row],[Nombre PDF / cedula + num resolucion]]&amp;";"&amp;Tabla1[[#This Row],[instructivo]]</f>
        <v>79951457_7682.pdf;10. Instructivo_Radicar_Activación_Credencial_DIGITAL_SIRNA.pdf</v>
      </c>
      <c r="AC47" s="7" t="str">
        <f>Tabla1[[#This Row],[Número de resolución de archivo]]&amp;"_"&amp;Tabla1[[#This Row],[Número de documento del contacto]]</f>
        <v>7682_79951457</v>
      </c>
    </row>
    <row r="48" spans="1:29" x14ac:dyDescent="0.25">
      <c r="A48">
        <v>13842</v>
      </c>
      <c r="B48" t="s">
        <v>14</v>
      </c>
      <c r="C48" t="s">
        <v>15</v>
      </c>
      <c r="D48" t="s">
        <v>16</v>
      </c>
      <c r="E48" t="s">
        <v>17</v>
      </c>
      <c r="F48" s="14">
        <v>46149</v>
      </c>
      <c r="G48">
        <v>80061835</v>
      </c>
      <c r="H48" t="s">
        <v>142</v>
      </c>
      <c r="I48" t="s">
        <v>143</v>
      </c>
      <c r="J48" t="s">
        <v>20</v>
      </c>
      <c r="K48" t="s">
        <v>21</v>
      </c>
      <c r="L48" s="14">
        <v>46184</v>
      </c>
      <c r="M48">
        <v>35</v>
      </c>
      <c r="N48" t="s">
        <v>22</v>
      </c>
      <c r="O48" t="s">
        <v>22</v>
      </c>
      <c r="P48" s="14">
        <v>46084</v>
      </c>
      <c r="Q48" t="s">
        <v>23</v>
      </c>
      <c r="R48" s="7">
        <f>IFERROR(VLOOKUP(Tabla1[[#This Row],[Número de documento del contacto]],'Resoluciones 1 (Res)'!$A:$C,2,0),"")</f>
        <v>7637</v>
      </c>
      <c r="S48" s="11">
        <f>IFERROR(VLOOKUP(Tabla1[[#This Row],[Número de documento del contacto]],'Resoluciones 1 (Res)'!$A:$C,3,0),"")</f>
        <v>46184.606747685197</v>
      </c>
      <c r="T48" s="7" t="str">
        <f>IFERROR(VLOOKUP(Tabla1[[#This Row],[Número de documento del contacto]],'Resoluciones 2 (Req)'!$B:$E,3,0),"")</f>
        <v>14767</v>
      </c>
      <c r="U48" s="7" t="str">
        <f t="shared" si="3"/>
        <v>7 de mayo de 2026</v>
      </c>
      <c r="V48" s="7" t="str">
        <f t="shared" si="4"/>
        <v>3 de marzo de 2026</v>
      </c>
      <c r="W48" s="8" t="str">
        <f>"1-" &amp; ROWS($W$2:W48) &amp; ".pdf"</f>
        <v>1-47.pdf</v>
      </c>
      <c r="X48" s="7" t="str">
        <f>Tabla1[[#This Row],[Número de documento del contacto]]&amp;"-"&amp;Tabla1[[#This Row],[Número de resolución de archivo]]&amp;".pdf"</f>
        <v>80061835-7637.pdf</v>
      </c>
      <c r="Y48" s="7" t="str">
        <f t="shared" si="5"/>
        <v>ren "1-47.pdf" "80061835-7637.pdf"</v>
      </c>
      <c r="Z48" s="7" t="str">
        <f>Tabla1[[#This Row],[Número de documento del contacto]]&amp;"_"&amp;Tabla1[[#This Row],[Número de resolución de archivo]]&amp;".pdf"</f>
        <v>80061835_7637.pdf</v>
      </c>
      <c r="AA48" s="7" t="s">
        <v>49</v>
      </c>
      <c r="AB48" s="7" t="str">
        <f>Tabla1[[#This Row],[Nombre PDF / cedula + num resolucion]]&amp;";"&amp;Tabla1[[#This Row],[instructivo]]</f>
        <v>80061835_7637.pdf;10. Instructivo_Radicar_Activación_Credencial_DIGITAL_SIRNA.pdf</v>
      </c>
      <c r="AC48" s="7" t="str">
        <f>Tabla1[[#This Row],[Número de resolución de archivo]]&amp;"_"&amp;Tabla1[[#This Row],[Número de documento del contacto]]</f>
        <v>7637_80061835</v>
      </c>
    </row>
    <row r="49" spans="1:29" x14ac:dyDescent="0.25">
      <c r="A49">
        <v>17851</v>
      </c>
      <c r="B49" t="s">
        <v>14</v>
      </c>
      <c r="C49" t="s">
        <v>15</v>
      </c>
      <c r="D49" t="s">
        <v>16</v>
      </c>
      <c r="E49" t="s">
        <v>17</v>
      </c>
      <c r="F49" s="14">
        <v>46149</v>
      </c>
      <c r="G49">
        <v>80097885</v>
      </c>
      <c r="H49" t="s">
        <v>144</v>
      </c>
      <c r="I49" t="s">
        <v>145</v>
      </c>
      <c r="J49" t="s">
        <v>20</v>
      </c>
      <c r="K49" t="s">
        <v>21</v>
      </c>
      <c r="L49" s="14">
        <v>46184</v>
      </c>
      <c r="M49">
        <v>35</v>
      </c>
      <c r="N49" t="s">
        <v>22</v>
      </c>
      <c r="O49" t="s">
        <v>22</v>
      </c>
      <c r="P49" s="14">
        <v>46108</v>
      </c>
      <c r="Q49" t="s">
        <v>23</v>
      </c>
      <c r="R49" s="7">
        <f>IFERROR(VLOOKUP(Tabla1[[#This Row],[Número de documento del contacto]],'Resoluciones 1 (Res)'!$A:$C,2,0),"")</f>
        <v>7454</v>
      </c>
      <c r="S49" s="11">
        <f>IFERROR(VLOOKUP(Tabla1[[#This Row],[Número de documento del contacto]],'Resoluciones 1 (Res)'!$A:$C,3,0),"")</f>
        <v>46184.606747685197</v>
      </c>
      <c r="T49" s="7" t="str">
        <f>IFERROR(VLOOKUP(Tabla1[[#This Row],[Número de documento del contacto]],'Resoluciones 2 (Req)'!$B:$E,3,0),"")</f>
        <v>14613</v>
      </c>
      <c r="U49" s="7" t="str">
        <f t="shared" si="3"/>
        <v>7 de mayo de 2026</v>
      </c>
      <c r="V49" s="7" t="str">
        <f t="shared" si="4"/>
        <v>27 de marzo de 2026</v>
      </c>
      <c r="W49" s="8" t="str">
        <f>"1-" &amp; ROWS($W$2:W49) &amp; ".pdf"</f>
        <v>1-48.pdf</v>
      </c>
      <c r="X49" s="7" t="str">
        <f>Tabla1[[#This Row],[Número de documento del contacto]]&amp;"-"&amp;Tabla1[[#This Row],[Número de resolución de archivo]]&amp;".pdf"</f>
        <v>80097885-7454.pdf</v>
      </c>
      <c r="Y49" s="7" t="str">
        <f t="shared" si="5"/>
        <v>ren "1-48.pdf" "80097885-7454.pdf"</v>
      </c>
      <c r="Z49" s="7" t="str">
        <f>Tabla1[[#This Row],[Número de documento del contacto]]&amp;"_"&amp;Tabla1[[#This Row],[Número de resolución de archivo]]&amp;".pdf"</f>
        <v>80097885_7454.pdf</v>
      </c>
      <c r="AA49" s="7" t="s">
        <v>49</v>
      </c>
      <c r="AB49" s="7" t="str">
        <f>Tabla1[[#This Row],[Nombre PDF / cedula + num resolucion]]&amp;";"&amp;Tabla1[[#This Row],[instructivo]]</f>
        <v>80097885_7454.pdf;10. Instructivo_Radicar_Activación_Credencial_DIGITAL_SIRNA.pdf</v>
      </c>
      <c r="AC49" s="7" t="str">
        <f>Tabla1[[#This Row],[Número de resolución de archivo]]&amp;"_"&amp;Tabla1[[#This Row],[Número de documento del contacto]]</f>
        <v>7454_80097885</v>
      </c>
    </row>
    <row r="50" spans="1:29" x14ac:dyDescent="0.25">
      <c r="A50">
        <v>17644</v>
      </c>
      <c r="B50" t="s">
        <v>14</v>
      </c>
      <c r="C50" t="s">
        <v>15</v>
      </c>
      <c r="D50" t="s">
        <v>16</v>
      </c>
      <c r="E50" t="s">
        <v>17</v>
      </c>
      <c r="F50" s="14">
        <v>46149</v>
      </c>
      <c r="G50">
        <v>80233071</v>
      </c>
      <c r="H50" t="s">
        <v>146</v>
      </c>
      <c r="I50" t="s">
        <v>147</v>
      </c>
      <c r="J50" t="s">
        <v>20</v>
      </c>
      <c r="K50" t="s">
        <v>21</v>
      </c>
      <c r="L50" s="14">
        <v>46184</v>
      </c>
      <c r="M50">
        <v>35</v>
      </c>
      <c r="N50" t="s">
        <v>22</v>
      </c>
      <c r="O50" t="s">
        <v>22</v>
      </c>
      <c r="P50" s="14">
        <v>46107</v>
      </c>
      <c r="Q50" t="s">
        <v>23</v>
      </c>
      <c r="R50" s="7">
        <f>IFERROR(VLOOKUP(Tabla1[[#This Row],[Número de documento del contacto]],'Resoluciones 1 (Res)'!$A:$C,2,0),"")</f>
        <v>7704</v>
      </c>
      <c r="S50" s="11">
        <f>IFERROR(VLOOKUP(Tabla1[[#This Row],[Número de documento del contacto]],'Resoluciones 1 (Res)'!$A:$C,3,0),"")</f>
        <v>46184.606747685197</v>
      </c>
      <c r="T50" s="7" t="str">
        <f>IFERROR(VLOOKUP(Tabla1[[#This Row],[Número de documento del contacto]],'Resoluciones 2 (Req)'!$B:$E,3,0),"")</f>
        <v>14677</v>
      </c>
      <c r="U50" s="7" t="str">
        <f t="shared" si="3"/>
        <v>7 de mayo de 2026</v>
      </c>
      <c r="V50" s="7" t="str">
        <f t="shared" si="4"/>
        <v>26 de marzo de 2026</v>
      </c>
      <c r="W50" s="8" t="str">
        <f>"1-" &amp; ROWS($W$2:W50) &amp; ".pdf"</f>
        <v>1-49.pdf</v>
      </c>
      <c r="X50" s="7" t="str">
        <f>Tabla1[[#This Row],[Número de documento del contacto]]&amp;"-"&amp;Tabla1[[#This Row],[Número de resolución de archivo]]&amp;".pdf"</f>
        <v>80233071-7704.pdf</v>
      </c>
      <c r="Y50" s="7" t="str">
        <f t="shared" si="5"/>
        <v>ren "1-49.pdf" "80233071-7704.pdf"</v>
      </c>
      <c r="Z50" s="7" t="str">
        <f>Tabla1[[#This Row],[Número de documento del contacto]]&amp;"_"&amp;Tabla1[[#This Row],[Número de resolución de archivo]]&amp;".pdf"</f>
        <v>80233071_7704.pdf</v>
      </c>
      <c r="AA50" s="7" t="s">
        <v>49</v>
      </c>
      <c r="AB50" s="7" t="str">
        <f>Tabla1[[#This Row],[Nombre PDF / cedula + num resolucion]]&amp;";"&amp;Tabla1[[#This Row],[instructivo]]</f>
        <v>80233071_7704.pdf;10. Instructivo_Radicar_Activación_Credencial_DIGITAL_SIRNA.pdf</v>
      </c>
      <c r="AC50" s="7" t="str">
        <f>Tabla1[[#This Row],[Número de resolución de archivo]]&amp;"_"&amp;Tabla1[[#This Row],[Número de documento del contacto]]</f>
        <v>7704_80233071</v>
      </c>
    </row>
    <row r="51" spans="1:29" x14ac:dyDescent="0.25">
      <c r="A51">
        <v>17730</v>
      </c>
      <c r="B51" t="s">
        <v>14</v>
      </c>
      <c r="C51" t="s">
        <v>15</v>
      </c>
      <c r="D51" t="s">
        <v>16</v>
      </c>
      <c r="E51" t="s">
        <v>17</v>
      </c>
      <c r="F51" s="14">
        <v>46149</v>
      </c>
      <c r="G51">
        <v>80842586</v>
      </c>
      <c r="H51" t="s">
        <v>148</v>
      </c>
      <c r="I51" t="s">
        <v>149</v>
      </c>
      <c r="J51" t="s">
        <v>20</v>
      </c>
      <c r="K51" t="s">
        <v>21</v>
      </c>
      <c r="L51" s="14">
        <v>46184</v>
      </c>
      <c r="M51">
        <v>35</v>
      </c>
      <c r="N51" t="s">
        <v>22</v>
      </c>
      <c r="O51" t="s">
        <v>22</v>
      </c>
      <c r="P51" s="14">
        <v>46107</v>
      </c>
      <c r="Q51" t="s">
        <v>23</v>
      </c>
      <c r="R51" s="7">
        <f>IFERROR(VLOOKUP(Tabla1[[#This Row],[Número de documento del contacto]],'Resoluciones 1 (Res)'!$A:$C,2,0),"")</f>
        <v>7586</v>
      </c>
      <c r="S51" s="11">
        <f>IFERROR(VLOOKUP(Tabla1[[#This Row],[Número de documento del contacto]],'Resoluciones 1 (Res)'!$A:$C,3,0),"")</f>
        <v>46184.606747685197</v>
      </c>
      <c r="T51" s="7" t="str">
        <f>IFERROR(VLOOKUP(Tabla1[[#This Row],[Número de documento del contacto]],'Resoluciones 2 (Req)'!$B:$E,3,0),"")</f>
        <v>14679</v>
      </c>
      <c r="U51" s="7" t="str">
        <f t="shared" si="3"/>
        <v>7 de mayo de 2026</v>
      </c>
      <c r="V51" s="7" t="str">
        <f t="shared" si="4"/>
        <v>26 de marzo de 2026</v>
      </c>
      <c r="W51" s="8" t="str">
        <f>"1-" &amp; ROWS($W$2:W51) &amp; ".pdf"</f>
        <v>1-50.pdf</v>
      </c>
      <c r="X51" s="7" t="str">
        <f>Tabla1[[#This Row],[Número de documento del contacto]]&amp;"-"&amp;Tabla1[[#This Row],[Número de resolución de archivo]]&amp;".pdf"</f>
        <v>80842586-7586.pdf</v>
      </c>
      <c r="Y51" s="7" t="str">
        <f t="shared" si="5"/>
        <v>ren "1-50.pdf" "80842586-7586.pdf"</v>
      </c>
      <c r="Z51" s="7" t="str">
        <f>Tabla1[[#This Row],[Número de documento del contacto]]&amp;"_"&amp;Tabla1[[#This Row],[Número de resolución de archivo]]&amp;".pdf"</f>
        <v>80842586_7586.pdf</v>
      </c>
      <c r="AA51" s="7" t="s">
        <v>49</v>
      </c>
      <c r="AB51" s="7" t="str">
        <f>Tabla1[[#This Row],[Nombre PDF / cedula + num resolucion]]&amp;";"&amp;Tabla1[[#This Row],[instructivo]]</f>
        <v>80842586_7586.pdf;10. Instructivo_Radicar_Activación_Credencial_DIGITAL_SIRNA.pdf</v>
      </c>
      <c r="AC51" s="7" t="str">
        <f>Tabla1[[#This Row],[Número de resolución de archivo]]&amp;"_"&amp;Tabla1[[#This Row],[Número de documento del contacto]]</f>
        <v>7586_80842586</v>
      </c>
    </row>
    <row r="52" spans="1:29" x14ac:dyDescent="0.25">
      <c r="A52">
        <v>17813</v>
      </c>
      <c r="B52" t="s">
        <v>14</v>
      </c>
      <c r="C52" t="s">
        <v>15</v>
      </c>
      <c r="D52" t="s">
        <v>16</v>
      </c>
      <c r="E52" t="s">
        <v>17</v>
      </c>
      <c r="F52" s="14">
        <v>46149</v>
      </c>
      <c r="G52">
        <v>85166119</v>
      </c>
      <c r="H52" t="s">
        <v>150</v>
      </c>
      <c r="I52" t="s">
        <v>151</v>
      </c>
      <c r="J52" t="s">
        <v>20</v>
      </c>
      <c r="K52" t="s">
        <v>21</v>
      </c>
      <c r="L52" s="14">
        <v>46184</v>
      </c>
      <c r="M52">
        <v>35</v>
      </c>
      <c r="N52" t="s">
        <v>22</v>
      </c>
      <c r="O52" t="s">
        <v>22</v>
      </c>
      <c r="P52" s="14">
        <v>46107</v>
      </c>
      <c r="Q52" t="s">
        <v>23</v>
      </c>
      <c r="R52" s="7">
        <f>IFERROR(VLOOKUP(Tabla1[[#This Row],[Número de documento del contacto]],'Resoluciones 1 (Res)'!$A:$C,2,0),"")</f>
        <v>7482</v>
      </c>
      <c r="S52" s="11">
        <f>IFERROR(VLOOKUP(Tabla1[[#This Row],[Número de documento del contacto]],'Resoluciones 1 (Res)'!$A:$C,3,0),"")</f>
        <v>46184.606747685197</v>
      </c>
      <c r="T52" s="7" t="str">
        <f>IFERROR(VLOOKUP(Tabla1[[#This Row],[Número de documento del contacto]],'Resoluciones 2 (Req)'!$B:$E,3,0),"")</f>
        <v>14680</v>
      </c>
      <c r="U52" s="7" t="str">
        <f t="shared" si="3"/>
        <v>7 de mayo de 2026</v>
      </c>
      <c r="V52" s="7" t="str">
        <f t="shared" si="4"/>
        <v>26 de marzo de 2026</v>
      </c>
      <c r="W52" s="8" t="str">
        <f>"1-" &amp; ROWS($W$2:W52) &amp; ".pdf"</f>
        <v>1-51.pdf</v>
      </c>
      <c r="X52" s="7" t="str">
        <f>Tabla1[[#This Row],[Número de documento del contacto]]&amp;"-"&amp;Tabla1[[#This Row],[Número de resolución de archivo]]&amp;".pdf"</f>
        <v>85166119-7482.pdf</v>
      </c>
      <c r="Y52" s="7" t="str">
        <f t="shared" si="5"/>
        <v>ren "1-51.pdf" "85166119-7482.pdf"</v>
      </c>
      <c r="Z52" s="7" t="str">
        <f>Tabla1[[#This Row],[Número de documento del contacto]]&amp;"_"&amp;Tabla1[[#This Row],[Número de resolución de archivo]]&amp;".pdf"</f>
        <v>85166119_7482.pdf</v>
      </c>
      <c r="AA52" s="7" t="s">
        <v>49</v>
      </c>
      <c r="AB52" s="7" t="str">
        <f>Tabla1[[#This Row],[Nombre PDF / cedula + num resolucion]]&amp;";"&amp;Tabla1[[#This Row],[instructivo]]</f>
        <v>85166119_7482.pdf;10. Instructivo_Radicar_Activación_Credencial_DIGITAL_SIRNA.pdf</v>
      </c>
      <c r="AC52" s="7" t="str">
        <f>Tabla1[[#This Row],[Número de resolución de archivo]]&amp;"_"&amp;Tabla1[[#This Row],[Número de documento del contacto]]</f>
        <v>7482_85166119</v>
      </c>
    </row>
    <row r="53" spans="1:29" x14ac:dyDescent="0.25">
      <c r="A53">
        <v>13544</v>
      </c>
      <c r="B53" t="s">
        <v>14</v>
      </c>
      <c r="C53" t="s">
        <v>15</v>
      </c>
      <c r="D53" t="s">
        <v>16</v>
      </c>
      <c r="E53" t="s">
        <v>17</v>
      </c>
      <c r="F53" s="14">
        <v>46149</v>
      </c>
      <c r="G53">
        <v>91255345</v>
      </c>
      <c r="H53" t="s">
        <v>152</v>
      </c>
      <c r="I53" t="s">
        <v>153</v>
      </c>
      <c r="J53" t="s">
        <v>20</v>
      </c>
      <c r="K53" t="s">
        <v>21</v>
      </c>
      <c r="L53" s="14">
        <v>46184</v>
      </c>
      <c r="M53">
        <v>35</v>
      </c>
      <c r="N53" t="s">
        <v>22</v>
      </c>
      <c r="O53" t="s">
        <v>22</v>
      </c>
      <c r="P53" s="14">
        <v>46083</v>
      </c>
      <c r="Q53" t="s">
        <v>23</v>
      </c>
      <c r="R53" s="7">
        <f>IFERROR(VLOOKUP(Tabla1[[#This Row],[Número de documento del contacto]],'Resoluciones 1 (Res)'!$A:$C,2,0),"")</f>
        <v>7688</v>
      </c>
      <c r="S53" s="11">
        <f>IFERROR(VLOOKUP(Tabla1[[#This Row],[Número de documento del contacto]],'Resoluciones 1 (Res)'!$A:$C,3,0),"")</f>
        <v>46184.606747685197</v>
      </c>
      <c r="T53" s="7" t="str">
        <f>IFERROR(VLOOKUP(Tabla1[[#This Row],[Número de documento del contacto]],'Resoluciones 2 (Req)'!$B:$E,3,0),"")</f>
        <v>14795</v>
      </c>
      <c r="U53" s="7" t="str">
        <f t="shared" si="3"/>
        <v>7 de mayo de 2026</v>
      </c>
      <c r="V53" s="7" t="str">
        <f t="shared" si="4"/>
        <v>2 de marzo de 2026</v>
      </c>
      <c r="W53" s="8" t="str">
        <f>"1-" &amp; ROWS($W$2:W53) &amp; ".pdf"</f>
        <v>1-52.pdf</v>
      </c>
      <c r="X53" s="7" t="str">
        <f>Tabla1[[#This Row],[Número de documento del contacto]]&amp;"-"&amp;Tabla1[[#This Row],[Número de resolución de archivo]]&amp;".pdf"</f>
        <v>91255345-7688.pdf</v>
      </c>
      <c r="Y53" s="7" t="str">
        <f t="shared" si="5"/>
        <v>ren "1-52.pdf" "91255345-7688.pdf"</v>
      </c>
      <c r="Z53" s="7" t="str">
        <f>Tabla1[[#This Row],[Número de documento del contacto]]&amp;"_"&amp;Tabla1[[#This Row],[Número de resolución de archivo]]&amp;".pdf"</f>
        <v>91255345_7688.pdf</v>
      </c>
      <c r="AA53" s="7" t="s">
        <v>49</v>
      </c>
      <c r="AB53" s="7" t="str">
        <f>Tabla1[[#This Row],[Nombre PDF / cedula + num resolucion]]&amp;";"&amp;Tabla1[[#This Row],[instructivo]]</f>
        <v>91255345_7688.pdf;10. Instructivo_Radicar_Activación_Credencial_DIGITAL_SIRNA.pdf</v>
      </c>
      <c r="AC53" s="7" t="str">
        <f>Tabla1[[#This Row],[Número de resolución de archivo]]&amp;"_"&amp;Tabla1[[#This Row],[Número de documento del contacto]]</f>
        <v>7688_91255345</v>
      </c>
    </row>
    <row r="54" spans="1:29" x14ac:dyDescent="0.25">
      <c r="A54">
        <v>17850</v>
      </c>
      <c r="B54" t="s">
        <v>14</v>
      </c>
      <c r="C54" t="s">
        <v>15</v>
      </c>
      <c r="D54" t="s">
        <v>16</v>
      </c>
      <c r="E54" t="s">
        <v>17</v>
      </c>
      <c r="F54" s="14">
        <v>46149</v>
      </c>
      <c r="G54">
        <v>91518907</v>
      </c>
      <c r="H54" t="s">
        <v>154</v>
      </c>
      <c r="I54" t="s">
        <v>155</v>
      </c>
      <c r="J54" t="s">
        <v>20</v>
      </c>
      <c r="K54" t="s">
        <v>21</v>
      </c>
      <c r="L54" s="14">
        <v>46184</v>
      </c>
      <c r="M54">
        <v>35</v>
      </c>
      <c r="N54" t="s">
        <v>22</v>
      </c>
      <c r="O54" t="s">
        <v>22</v>
      </c>
      <c r="P54" s="14">
        <v>46108</v>
      </c>
      <c r="Q54" t="s">
        <v>23</v>
      </c>
      <c r="R54" s="7">
        <f>IFERROR(VLOOKUP(Tabla1[[#This Row],[Número de documento del contacto]],'Resoluciones 1 (Res)'!$A:$C,2,0),"")</f>
        <v>7443</v>
      </c>
      <c r="S54" s="11">
        <f>IFERROR(VLOOKUP(Tabla1[[#This Row],[Número de documento del contacto]],'Resoluciones 1 (Res)'!$A:$C,3,0),"")</f>
        <v>46184.606747685197</v>
      </c>
      <c r="T54" s="7" t="str">
        <f>IFERROR(VLOOKUP(Tabla1[[#This Row],[Número de documento del contacto]],'Resoluciones 2 (Req)'!$B:$E,3,0),"")</f>
        <v>14614</v>
      </c>
      <c r="U54" s="7" t="str">
        <f t="shared" si="3"/>
        <v>7 de mayo de 2026</v>
      </c>
      <c r="V54" s="7" t="str">
        <f t="shared" si="4"/>
        <v>27 de marzo de 2026</v>
      </c>
      <c r="W54" s="8" t="str">
        <f>"1-" &amp; ROWS($W$2:W54) &amp; ".pdf"</f>
        <v>1-53.pdf</v>
      </c>
      <c r="X54" s="7" t="str">
        <f>Tabla1[[#This Row],[Número de documento del contacto]]&amp;"-"&amp;Tabla1[[#This Row],[Número de resolución de archivo]]&amp;".pdf"</f>
        <v>91518907-7443.pdf</v>
      </c>
      <c r="Y54" s="7" t="str">
        <f t="shared" si="5"/>
        <v>ren "1-53.pdf" "91518907-7443.pdf"</v>
      </c>
      <c r="Z54" s="7" t="str">
        <f>Tabla1[[#This Row],[Número de documento del contacto]]&amp;"_"&amp;Tabla1[[#This Row],[Número de resolución de archivo]]&amp;".pdf"</f>
        <v>91518907_7443.pdf</v>
      </c>
      <c r="AA54" s="7" t="s">
        <v>49</v>
      </c>
      <c r="AB54" s="7" t="str">
        <f>Tabla1[[#This Row],[Nombre PDF / cedula + num resolucion]]&amp;";"&amp;Tabla1[[#This Row],[instructivo]]</f>
        <v>91518907_7443.pdf;10. Instructivo_Radicar_Activación_Credencial_DIGITAL_SIRNA.pdf</v>
      </c>
      <c r="AC54" s="7" t="str">
        <f>Tabla1[[#This Row],[Número de resolución de archivo]]&amp;"_"&amp;Tabla1[[#This Row],[Número de documento del contacto]]</f>
        <v>7443_91518907</v>
      </c>
    </row>
    <row r="55" spans="1:29" x14ac:dyDescent="0.25">
      <c r="A55">
        <v>13488</v>
      </c>
      <c r="B55" t="s">
        <v>14</v>
      </c>
      <c r="C55" t="s">
        <v>15</v>
      </c>
      <c r="D55" t="s">
        <v>16</v>
      </c>
      <c r="E55" t="s">
        <v>17</v>
      </c>
      <c r="F55" s="14">
        <v>46149</v>
      </c>
      <c r="G55">
        <v>93409235</v>
      </c>
      <c r="H55" t="s">
        <v>156</v>
      </c>
      <c r="I55" t="s">
        <v>157</v>
      </c>
      <c r="J55" t="s">
        <v>20</v>
      </c>
      <c r="K55" t="s">
        <v>21</v>
      </c>
      <c r="L55" s="14">
        <v>46184</v>
      </c>
      <c r="M55">
        <v>35</v>
      </c>
      <c r="N55" t="s">
        <v>22</v>
      </c>
      <c r="O55" t="s">
        <v>22</v>
      </c>
      <c r="P55" s="14">
        <v>46083</v>
      </c>
      <c r="Q55" t="s">
        <v>23</v>
      </c>
      <c r="R55" s="7">
        <f>IFERROR(VLOOKUP(Tabla1[[#This Row],[Número de documento del contacto]],'Resoluciones 1 (Res)'!$A:$C,2,0),"")</f>
        <v>7611</v>
      </c>
      <c r="S55" s="11">
        <f>IFERROR(VLOOKUP(Tabla1[[#This Row],[Número de documento del contacto]],'Resoluciones 1 (Res)'!$A:$C,3,0),"")</f>
        <v>46184.606747685197</v>
      </c>
      <c r="T55" s="7" t="str">
        <f>IFERROR(VLOOKUP(Tabla1[[#This Row],[Número de documento del contacto]],'Resoluciones 2 (Req)'!$B:$E,3,0),"")</f>
        <v>14798</v>
      </c>
      <c r="U55" s="7" t="str">
        <f t="shared" si="3"/>
        <v>7 de mayo de 2026</v>
      </c>
      <c r="V55" s="7" t="str">
        <f t="shared" si="4"/>
        <v>2 de marzo de 2026</v>
      </c>
      <c r="W55" s="8" t="str">
        <f>"1-" &amp; ROWS($W$2:W55) &amp; ".pdf"</f>
        <v>1-54.pdf</v>
      </c>
      <c r="X55" s="7" t="str">
        <f>Tabla1[[#This Row],[Número de documento del contacto]]&amp;"-"&amp;Tabla1[[#This Row],[Número de resolución de archivo]]&amp;".pdf"</f>
        <v>93409235-7611.pdf</v>
      </c>
      <c r="Y55" s="7" t="str">
        <f t="shared" si="5"/>
        <v>ren "1-54.pdf" "93409235-7611.pdf"</v>
      </c>
      <c r="Z55" s="7" t="str">
        <f>Tabla1[[#This Row],[Número de documento del contacto]]&amp;"_"&amp;Tabla1[[#This Row],[Número de resolución de archivo]]&amp;".pdf"</f>
        <v>93409235_7611.pdf</v>
      </c>
      <c r="AA55" s="7" t="s">
        <v>49</v>
      </c>
      <c r="AB55" s="7" t="str">
        <f>Tabla1[[#This Row],[Nombre PDF / cedula + num resolucion]]&amp;";"&amp;Tabla1[[#This Row],[instructivo]]</f>
        <v>93409235_7611.pdf;10. Instructivo_Radicar_Activación_Credencial_DIGITAL_SIRNA.pdf</v>
      </c>
      <c r="AC55" s="7" t="str">
        <f>Tabla1[[#This Row],[Número de resolución de archivo]]&amp;"_"&amp;Tabla1[[#This Row],[Número de documento del contacto]]</f>
        <v>7611_93409235</v>
      </c>
    </row>
    <row r="56" spans="1:29" x14ac:dyDescent="0.25">
      <c r="A56">
        <v>17133</v>
      </c>
      <c r="B56" t="s">
        <v>14</v>
      </c>
      <c r="C56" t="s">
        <v>15</v>
      </c>
      <c r="D56" t="s">
        <v>16</v>
      </c>
      <c r="E56" t="s">
        <v>17</v>
      </c>
      <c r="F56" s="14">
        <v>46149</v>
      </c>
      <c r="G56">
        <v>98662898</v>
      </c>
      <c r="H56" t="s">
        <v>158</v>
      </c>
      <c r="I56" t="s">
        <v>159</v>
      </c>
      <c r="J56" t="s">
        <v>20</v>
      </c>
      <c r="K56" t="s">
        <v>21</v>
      </c>
      <c r="L56" s="14">
        <v>46184</v>
      </c>
      <c r="M56">
        <v>35</v>
      </c>
      <c r="N56" t="s">
        <v>22</v>
      </c>
      <c r="O56" t="s">
        <v>22</v>
      </c>
      <c r="P56" s="14">
        <v>46104</v>
      </c>
      <c r="Q56" t="s">
        <v>23</v>
      </c>
      <c r="R56" s="7">
        <f>IFERROR(VLOOKUP(Tabla1[[#This Row],[Número de documento del contacto]],'Resoluciones 1 (Res)'!$A:$C,2,0),"")</f>
        <v>7599</v>
      </c>
      <c r="S56" s="11">
        <f>IFERROR(VLOOKUP(Tabla1[[#This Row],[Número de documento del contacto]],'Resoluciones 1 (Res)'!$A:$C,3,0),"")</f>
        <v>46184.606747685197</v>
      </c>
      <c r="T56" s="7" t="str">
        <f>IFERROR(VLOOKUP(Tabla1[[#This Row],[Número de documento del contacto]],'Resoluciones 2 (Req)'!$B:$E,3,0),"")</f>
        <v>14682</v>
      </c>
      <c r="U56" s="7" t="str">
        <f t="shared" si="3"/>
        <v>7 de mayo de 2026</v>
      </c>
      <c r="V56" s="7" t="str">
        <f t="shared" si="4"/>
        <v>23 de marzo de 2026</v>
      </c>
      <c r="W56" s="8" t="str">
        <f>"1-" &amp; ROWS($W$2:W56) &amp; ".pdf"</f>
        <v>1-55.pdf</v>
      </c>
      <c r="X56" s="7" t="str">
        <f>Tabla1[[#This Row],[Número de documento del contacto]]&amp;"-"&amp;Tabla1[[#This Row],[Número de resolución de archivo]]&amp;".pdf"</f>
        <v>98662898-7599.pdf</v>
      </c>
      <c r="Y56" s="7" t="str">
        <f t="shared" si="5"/>
        <v>ren "1-55.pdf" "98662898-7599.pdf"</v>
      </c>
      <c r="Z56" s="7" t="str">
        <f>Tabla1[[#This Row],[Número de documento del contacto]]&amp;"_"&amp;Tabla1[[#This Row],[Número de resolución de archivo]]&amp;".pdf"</f>
        <v>98662898_7599.pdf</v>
      </c>
      <c r="AA56" s="7" t="s">
        <v>49</v>
      </c>
      <c r="AB56" s="7" t="str">
        <f>Tabla1[[#This Row],[Nombre PDF / cedula + num resolucion]]&amp;";"&amp;Tabla1[[#This Row],[instructivo]]</f>
        <v>98662898_7599.pdf;10. Instructivo_Radicar_Activación_Credencial_DIGITAL_SIRNA.pdf</v>
      </c>
      <c r="AC56" s="7" t="str">
        <f>Tabla1[[#This Row],[Número de resolución de archivo]]&amp;"_"&amp;Tabla1[[#This Row],[Número de documento del contacto]]</f>
        <v>7599_98662898</v>
      </c>
    </row>
    <row r="57" spans="1:29" x14ac:dyDescent="0.25">
      <c r="A57">
        <v>13481</v>
      </c>
      <c r="B57" t="s">
        <v>14</v>
      </c>
      <c r="C57" t="s">
        <v>15</v>
      </c>
      <c r="D57" t="s">
        <v>16</v>
      </c>
      <c r="E57" t="s">
        <v>17</v>
      </c>
      <c r="F57" s="14">
        <v>46149</v>
      </c>
      <c r="G57">
        <v>1000576009</v>
      </c>
      <c r="H57" t="s">
        <v>160</v>
      </c>
      <c r="I57" t="s">
        <v>161</v>
      </c>
      <c r="J57" t="s">
        <v>20</v>
      </c>
      <c r="K57" t="s">
        <v>21</v>
      </c>
      <c r="L57" s="14">
        <v>46184</v>
      </c>
      <c r="M57">
        <v>35</v>
      </c>
      <c r="N57" t="s">
        <v>22</v>
      </c>
      <c r="O57" t="s">
        <v>22</v>
      </c>
      <c r="P57" s="14">
        <v>46083</v>
      </c>
      <c r="Q57" t="s">
        <v>23</v>
      </c>
      <c r="R57" s="7">
        <f>IFERROR(VLOOKUP(Tabla1[[#This Row],[Número de documento del contacto]],'Resoluciones 1 (Res)'!$A:$C,2,0),"")</f>
        <v>7528</v>
      </c>
      <c r="S57" s="11">
        <f>IFERROR(VLOOKUP(Tabla1[[#This Row],[Número de documento del contacto]],'Resoluciones 1 (Res)'!$A:$C,3,0),"")</f>
        <v>46184.606747685197</v>
      </c>
      <c r="T57" s="7" t="str">
        <f>IFERROR(VLOOKUP(Tabla1[[#This Row],[Número de documento del contacto]],'Resoluciones 2 (Req)'!$B:$E,3,0),"")</f>
        <v>14802</v>
      </c>
      <c r="U57" s="7" t="str">
        <f t="shared" si="3"/>
        <v>7 de mayo de 2026</v>
      </c>
      <c r="V57" s="7" t="str">
        <f t="shared" si="4"/>
        <v>2 de marzo de 2026</v>
      </c>
      <c r="W57" s="8" t="str">
        <f>"1-" &amp; ROWS($W$2:W57) &amp; ".pdf"</f>
        <v>1-56.pdf</v>
      </c>
      <c r="X57" s="7" t="str">
        <f>Tabla1[[#This Row],[Número de documento del contacto]]&amp;"-"&amp;Tabla1[[#This Row],[Número de resolución de archivo]]&amp;".pdf"</f>
        <v>1000576009-7528.pdf</v>
      </c>
      <c r="Y57" s="7" t="str">
        <f t="shared" si="5"/>
        <v>ren "1-56.pdf" "1000576009-7528.pdf"</v>
      </c>
      <c r="Z57" s="7" t="str">
        <f>Tabla1[[#This Row],[Número de documento del contacto]]&amp;"_"&amp;Tabla1[[#This Row],[Número de resolución de archivo]]&amp;".pdf"</f>
        <v>1000576009_7528.pdf</v>
      </c>
      <c r="AA57" s="7" t="s">
        <v>49</v>
      </c>
      <c r="AB57" s="7" t="str">
        <f>Tabla1[[#This Row],[Nombre PDF / cedula + num resolucion]]&amp;";"&amp;Tabla1[[#This Row],[instructivo]]</f>
        <v>1000576009_7528.pdf;10. Instructivo_Radicar_Activación_Credencial_DIGITAL_SIRNA.pdf</v>
      </c>
      <c r="AC57" s="7" t="str">
        <f>Tabla1[[#This Row],[Número de resolución de archivo]]&amp;"_"&amp;Tabla1[[#This Row],[Número de documento del contacto]]</f>
        <v>7528_1000576009</v>
      </c>
    </row>
    <row r="58" spans="1:29" x14ac:dyDescent="0.25">
      <c r="A58">
        <v>17577</v>
      </c>
      <c r="B58" t="s">
        <v>14</v>
      </c>
      <c r="C58" t="s">
        <v>15</v>
      </c>
      <c r="D58" t="s">
        <v>16</v>
      </c>
      <c r="E58" t="s">
        <v>17</v>
      </c>
      <c r="F58" s="14">
        <v>46149</v>
      </c>
      <c r="G58">
        <v>1001219032</v>
      </c>
      <c r="H58" t="s">
        <v>162</v>
      </c>
      <c r="I58" t="s">
        <v>163</v>
      </c>
      <c r="J58" t="s">
        <v>20</v>
      </c>
      <c r="K58" t="s">
        <v>21</v>
      </c>
      <c r="L58" s="14">
        <v>46184</v>
      </c>
      <c r="M58">
        <v>35</v>
      </c>
      <c r="N58" t="s">
        <v>22</v>
      </c>
      <c r="O58" t="s">
        <v>22</v>
      </c>
      <c r="P58" s="14">
        <v>46106</v>
      </c>
      <c r="Q58" t="s">
        <v>23</v>
      </c>
      <c r="R58" s="7">
        <f>IFERROR(VLOOKUP(Tabla1[[#This Row],[Número de documento del contacto]],'Resoluciones 1 (Res)'!$A:$C,2,0),"")</f>
        <v>7578</v>
      </c>
      <c r="S58" s="11">
        <f>IFERROR(VLOOKUP(Tabla1[[#This Row],[Número de documento del contacto]],'Resoluciones 1 (Res)'!$A:$C,3,0),"")</f>
        <v>46184.606747685197</v>
      </c>
      <c r="T58" s="7" t="str">
        <f>IFERROR(VLOOKUP(Tabla1[[#This Row],[Número de documento del contacto]],'Resoluciones 2 (Req)'!$B:$E,3,0),"")</f>
        <v>14684</v>
      </c>
      <c r="U58" s="7" t="str">
        <f t="shared" si="3"/>
        <v>7 de mayo de 2026</v>
      </c>
      <c r="V58" s="7" t="str">
        <f t="shared" si="4"/>
        <v>25 de marzo de 2026</v>
      </c>
      <c r="W58" s="8" t="str">
        <f>"1-" &amp; ROWS($W$2:W58) &amp; ".pdf"</f>
        <v>1-57.pdf</v>
      </c>
      <c r="X58" s="7" t="str">
        <f>Tabla1[[#This Row],[Número de documento del contacto]]&amp;"-"&amp;Tabla1[[#This Row],[Número de resolución de archivo]]&amp;".pdf"</f>
        <v>1001219032-7578.pdf</v>
      </c>
      <c r="Y58" s="7" t="str">
        <f t="shared" si="5"/>
        <v>ren "1-57.pdf" "1001219032-7578.pdf"</v>
      </c>
      <c r="Z58" s="7" t="str">
        <f>Tabla1[[#This Row],[Número de documento del contacto]]&amp;"_"&amp;Tabla1[[#This Row],[Número de resolución de archivo]]&amp;".pdf"</f>
        <v>1001219032_7578.pdf</v>
      </c>
      <c r="AA58" s="7" t="s">
        <v>49</v>
      </c>
      <c r="AB58" s="7" t="str">
        <f>Tabla1[[#This Row],[Nombre PDF / cedula + num resolucion]]&amp;";"&amp;Tabla1[[#This Row],[instructivo]]</f>
        <v>1001219032_7578.pdf;10. Instructivo_Radicar_Activación_Credencial_DIGITAL_SIRNA.pdf</v>
      </c>
      <c r="AC58" s="7" t="str">
        <f>Tabla1[[#This Row],[Número de resolución de archivo]]&amp;"_"&amp;Tabla1[[#This Row],[Número de documento del contacto]]</f>
        <v>7578_1001219032</v>
      </c>
    </row>
    <row r="59" spans="1:29" x14ac:dyDescent="0.25">
      <c r="A59">
        <v>14216</v>
      </c>
      <c r="B59" t="s">
        <v>14</v>
      </c>
      <c r="C59" t="s">
        <v>15</v>
      </c>
      <c r="D59" t="s">
        <v>16</v>
      </c>
      <c r="E59" t="s">
        <v>17</v>
      </c>
      <c r="F59" s="14">
        <v>46149</v>
      </c>
      <c r="G59">
        <v>1001687551</v>
      </c>
      <c r="H59" t="s">
        <v>164</v>
      </c>
      <c r="I59" t="s">
        <v>165</v>
      </c>
      <c r="J59" t="s">
        <v>20</v>
      </c>
      <c r="K59" t="s">
        <v>21</v>
      </c>
      <c r="L59" s="14">
        <v>46184</v>
      </c>
      <c r="M59">
        <v>35</v>
      </c>
      <c r="N59" t="s">
        <v>22</v>
      </c>
      <c r="O59" t="s">
        <v>22</v>
      </c>
      <c r="P59" s="14">
        <v>46085</v>
      </c>
      <c r="Q59" t="s">
        <v>23</v>
      </c>
      <c r="R59" s="7">
        <f>IFERROR(VLOOKUP(Tabla1[[#This Row],[Número de documento del contacto]],'Resoluciones 1 (Res)'!$A:$C,2,0),"")</f>
        <v>7736</v>
      </c>
      <c r="S59" s="11">
        <f>IFERROR(VLOOKUP(Tabla1[[#This Row],[Número de documento del contacto]],'Resoluciones 1 (Res)'!$A:$C,3,0),"")</f>
        <v>46184.606747685197</v>
      </c>
      <c r="T59" s="7" t="str">
        <f>IFERROR(VLOOKUP(Tabla1[[#This Row],[Número de documento del contacto]],'Resoluciones 2 (Req)'!$B:$E,3,0),"")</f>
        <v>14743</v>
      </c>
      <c r="U59" s="7" t="str">
        <f t="shared" si="3"/>
        <v>7 de mayo de 2026</v>
      </c>
      <c r="V59" s="7" t="str">
        <f t="shared" si="4"/>
        <v>4 de marzo de 2026</v>
      </c>
      <c r="W59" s="8" t="str">
        <f>"1-" &amp; ROWS($W$2:W59) &amp; ".pdf"</f>
        <v>1-58.pdf</v>
      </c>
      <c r="X59" s="7" t="str">
        <f>Tabla1[[#This Row],[Número de documento del contacto]]&amp;"-"&amp;Tabla1[[#This Row],[Número de resolución de archivo]]&amp;".pdf"</f>
        <v>1001687551-7736.pdf</v>
      </c>
      <c r="Y59" s="7" t="str">
        <f t="shared" si="5"/>
        <v>ren "1-58.pdf" "1001687551-7736.pdf"</v>
      </c>
      <c r="Z59" s="7" t="str">
        <f>Tabla1[[#This Row],[Número de documento del contacto]]&amp;"_"&amp;Tabla1[[#This Row],[Número de resolución de archivo]]&amp;".pdf"</f>
        <v>1001687551_7736.pdf</v>
      </c>
      <c r="AA59" s="7" t="s">
        <v>49</v>
      </c>
      <c r="AB59" s="7" t="str">
        <f>Tabla1[[#This Row],[Nombre PDF / cedula + num resolucion]]&amp;";"&amp;Tabla1[[#This Row],[instructivo]]</f>
        <v>1001687551_7736.pdf;10. Instructivo_Radicar_Activación_Credencial_DIGITAL_SIRNA.pdf</v>
      </c>
      <c r="AC59" s="7" t="str">
        <f>Tabla1[[#This Row],[Número de resolución de archivo]]&amp;"_"&amp;Tabla1[[#This Row],[Número de documento del contacto]]</f>
        <v>7736_1001687551</v>
      </c>
    </row>
    <row r="60" spans="1:29" x14ac:dyDescent="0.25">
      <c r="A60">
        <v>17786</v>
      </c>
      <c r="B60" t="s">
        <v>14</v>
      </c>
      <c r="C60" t="s">
        <v>15</v>
      </c>
      <c r="D60" t="s">
        <v>16</v>
      </c>
      <c r="E60" t="s">
        <v>17</v>
      </c>
      <c r="F60" s="14">
        <v>46149</v>
      </c>
      <c r="G60">
        <v>1003125775</v>
      </c>
      <c r="H60" t="s">
        <v>166</v>
      </c>
      <c r="I60" t="s">
        <v>167</v>
      </c>
      <c r="J60" t="s">
        <v>20</v>
      </c>
      <c r="K60" t="s">
        <v>21</v>
      </c>
      <c r="L60" s="14">
        <v>46184</v>
      </c>
      <c r="M60">
        <v>35</v>
      </c>
      <c r="N60" t="s">
        <v>22</v>
      </c>
      <c r="O60" t="s">
        <v>22</v>
      </c>
      <c r="P60" s="14">
        <v>46107</v>
      </c>
      <c r="Q60" t="s">
        <v>23</v>
      </c>
      <c r="R60" s="7">
        <f>IFERROR(VLOOKUP(Tabla1[[#This Row],[Número de documento del contacto]],'Resoluciones 1 (Res)'!$A:$C,2,0),"")</f>
        <v>7590</v>
      </c>
      <c r="S60" s="11">
        <f>IFERROR(VLOOKUP(Tabla1[[#This Row],[Número de documento del contacto]],'Resoluciones 1 (Res)'!$A:$C,3,0),"")</f>
        <v>46184.606747685197</v>
      </c>
      <c r="T60" s="7" t="str">
        <f>IFERROR(VLOOKUP(Tabla1[[#This Row],[Número de documento del contacto]],'Resoluciones 2 (Req)'!$B:$E,3,0),"")</f>
        <v>14686</v>
      </c>
      <c r="U60" s="7" t="str">
        <f t="shared" si="3"/>
        <v>7 de mayo de 2026</v>
      </c>
      <c r="V60" s="7" t="str">
        <f t="shared" si="4"/>
        <v>26 de marzo de 2026</v>
      </c>
      <c r="W60" s="8" t="str">
        <f>"1-" &amp; ROWS($W$2:W60) &amp; ".pdf"</f>
        <v>1-59.pdf</v>
      </c>
      <c r="X60" s="7" t="str">
        <f>Tabla1[[#This Row],[Número de documento del contacto]]&amp;"-"&amp;Tabla1[[#This Row],[Número de resolución de archivo]]&amp;".pdf"</f>
        <v>1003125775-7590.pdf</v>
      </c>
      <c r="Y60" s="7" t="str">
        <f t="shared" si="5"/>
        <v>ren "1-59.pdf" "1003125775-7590.pdf"</v>
      </c>
      <c r="Z60" s="7" t="str">
        <f>Tabla1[[#This Row],[Número de documento del contacto]]&amp;"_"&amp;Tabla1[[#This Row],[Número de resolución de archivo]]&amp;".pdf"</f>
        <v>1003125775_7590.pdf</v>
      </c>
      <c r="AA60" s="7" t="s">
        <v>49</v>
      </c>
      <c r="AB60" s="7" t="str">
        <f>Tabla1[[#This Row],[Nombre PDF / cedula + num resolucion]]&amp;";"&amp;Tabla1[[#This Row],[instructivo]]</f>
        <v>1003125775_7590.pdf;10. Instructivo_Radicar_Activación_Credencial_DIGITAL_SIRNA.pdf</v>
      </c>
      <c r="AC60" s="7" t="str">
        <f>Tabla1[[#This Row],[Número de resolución de archivo]]&amp;"_"&amp;Tabla1[[#This Row],[Número de documento del contacto]]</f>
        <v>7590_1003125775</v>
      </c>
    </row>
    <row r="61" spans="1:29" x14ac:dyDescent="0.25">
      <c r="A61">
        <v>18295</v>
      </c>
      <c r="B61" t="s">
        <v>14</v>
      </c>
      <c r="C61" t="s">
        <v>15</v>
      </c>
      <c r="D61" t="s">
        <v>16</v>
      </c>
      <c r="E61" t="s">
        <v>17</v>
      </c>
      <c r="F61" s="14">
        <v>46149</v>
      </c>
      <c r="G61">
        <v>1005646617</v>
      </c>
      <c r="H61" t="s">
        <v>168</v>
      </c>
      <c r="I61" t="s">
        <v>169</v>
      </c>
      <c r="J61" t="s">
        <v>20</v>
      </c>
      <c r="K61" t="s">
        <v>21</v>
      </c>
      <c r="L61" s="14">
        <v>46184</v>
      </c>
      <c r="M61">
        <v>35</v>
      </c>
      <c r="N61" t="s">
        <v>22</v>
      </c>
      <c r="O61" t="s">
        <v>22</v>
      </c>
      <c r="P61" s="14">
        <v>46112</v>
      </c>
      <c r="Q61" t="s">
        <v>23</v>
      </c>
      <c r="R61" s="7">
        <f>IFERROR(VLOOKUP(Tabla1[[#This Row],[Número de documento del contacto]],'Resoluciones 1 (Res)'!$A:$C,2,0),"")</f>
        <v>7473</v>
      </c>
      <c r="S61" s="11">
        <f>IFERROR(VLOOKUP(Tabla1[[#This Row],[Número de documento del contacto]],'Resoluciones 1 (Res)'!$A:$C,3,0),"")</f>
        <v>46184.606747685197</v>
      </c>
      <c r="T61" s="7" t="str">
        <f>IFERROR(VLOOKUP(Tabla1[[#This Row],[Número de documento del contacto]],'Resoluciones 2 (Req)'!$B:$E,3,0),"")</f>
        <v>14615</v>
      </c>
      <c r="U61" s="7" t="str">
        <f t="shared" si="3"/>
        <v>7 de mayo de 2026</v>
      </c>
      <c r="V61" s="7" t="str">
        <f t="shared" si="4"/>
        <v>31 de marzo de 2026</v>
      </c>
      <c r="W61" s="8" t="str">
        <f>"1-" &amp; ROWS($W$2:W61) &amp; ".pdf"</f>
        <v>1-60.pdf</v>
      </c>
      <c r="X61" s="7" t="str">
        <f>Tabla1[[#This Row],[Número de documento del contacto]]&amp;"-"&amp;Tabla1[[#This Row],[Número de resolución de archivo]]&amp;".pdf"</f>
        <v>1005646617-7473.pdf</v>
      </c>
      <c r="Y61" s="7" t="str">
        <f t="shared" si="5"/>
        <v>ren "1-60.pdf" "1005646617-7473.pdf"</v>
      </c>
      <c r="Z61" s="7" t="str">
        <f>Tabla1[[#This Row],[Número de documento del contacto]]&amp;"_"&amp;Tabla1[[#This Row],[Número de resolución de archivo]]&amp;".pdf"</f>
        <v>1005646617_7473.pdf</v>
      </c>
      <c r="AA61" s="7" t="s">
        <v>49</v>
      </c>
      <c r="AB61" s="7" t="str">
        <f>Tabla1[[#This Row],[Nombre PDF / cedula + num resolucion]]&amp;";"&amp;Tabla1[[#This Row],[instructivo]]</f>
        <v>1005646617_7473.pdf;10. Instructivo_Radicar_Activación_Credencial_DIGITAL_SIRNA.pdf</v>
      </c>
      <c r="AC61" s="7" t="str">
        <f>Tabla1[[#This Row],[Número de resolución de archivo]]&amp;"_"&amp;Tabla1[[#This Row],[Número de documento del contacto]]</f>
        <v>7473_1005646617</v>
      </c>
    </row>
    <row r="62" spans="1:29" x14ac:dyDescent="0.25">
      <c r="A62">
        <v>17658</v>
      </c>
      <c r="B62" t="s">
        <v>14</v>
      </c>
      <c r="C62" t="s">
        <v>15</v>
      </c>
      <c r="D62" t="s">
        <v>16</v>
      </c>
      <c r="E62" t="s">
        <v>17</v>
      </c>
      <c r="F62" s="14">
        <v>46149</v>
      </c>
      <c r="G62">
        <v>1006799173</v>
      </c>
      <c r="H62" t="s">
        <v>170</v>
      </c>
      <c r="I62" t="s">
        <v>171</v>
      </c>
      <c r="J62" t="s">
        <v>20</v>
      </c>
      <c r="K62" t="s">
        <v>21</v>
      </c>
      <c r="L62" s="14">
        <v>46184</v>
      </c>
      <c r="M62">
        <v>35</v>
      </c>
      <c r="N62" t="s">
        <v>22</v>
      </c>
      <c r="O62" t="s">
        <v>22</v>
      </c>
      <c r="P62" s="14">
        <v>46107</v>
      </c>
      <c r="Q62" t="s">
        <v>23</v>
      </c>
      <c r="R62" s="7">
        <f>IFERROR(VLOOKUP(Tabla1[[#This Row],[Número de documento del contacto]],'Resoluciones 1 (Res)'!$A:$C,2,0),"")</f>
        <v>7715</v>
      </c>
      <c r="S62" s="11">
        <f>IFERROR(VLOOKUP(Tabla1[[#This Row],[Número de documento del contacto]],'Resoluciones 1 (Res)'!$A:$C,3,0),"")</f>
        <v>46184.606747685197</v>
      </c>
      <c r="T62" s="7" t="str">
        <f>IFERROR(VLOOKUP(Tabla1[[#This Row],[Número de documento del contacto]],'Resoluciones 2 (Req)'!$B:$E,3,0),"")</f>
        <v>14687</v>
      </c>
      <c r="U62" s="7" t="str">
        <f t="shared" si="3"/>
        <v>7 de mayo de 2026</v>
      </c>
      <c r="V62" s="7" t="str">
        <f t="shared" si="4"/>
        <v>26 de marzo de 2026</v>
      </c>
      <c r="W62" s="8" t="str">
        <f>"1-" &amp; ROWS($W$2:W62) &amp; ".pdf"</f>
        <v>1-61.pdf</v>
      </c>
      <c r="X62" s="7" t="str">
        <f>Tabla1[[#This Row],[Número de documento del contacto]]&amp;"-"&amp;Tabla1[[#This Row],[Número de resolución de archivo]]&amp;".pdf"</f>
        <v>1006799173-7715.pdf</v>
      </c>
      <c r="Y62" s="7" t="str">
        <f t="shared" si="5"/>
        <v>ren "1-61.pdf" "1006799173-7715.pdf"</v>
      </c>
      <c r="Z62" s="7" t="str">
        <f>Tabla1[[#This Row],[Número de documento del contacto]]&amp;"_"&amp;Tabla1[[#This Row],[Número de resolución de archivo]]&amp;".pdf"</f>
        <v>1006799173_7715.pdf</v>
      </c>
      <c r="AA62" s="7" t="s">
        <v>49</v>
      </c>
      <c r="AB62" s="7" t="str">
        <f>Tabla1[[#This Row],[Nombre PDF / cedula + num resolucion]]&amp;";"&amp;Tabla1[[#This Row],[instructivo]]</f>
        <v>1006799173_7715.pdf;10. Instructivo_Radicar_Activación_Credencial_DIGITAL_SIRNA.pdf</v>
      </c>
      <c r="AC62" s="7" t="str">
        <f>Tabla1[[#This Row],[Número de resolución de archivo]]&amp;"_"&amp;Tabla1[[#This Row],[Número de documento del contacto]]</f>
        <v>7715_1006799173</v>
      </c>
    </row>
    <row r="63" spans="1:29" x14ac:dyDescent="0.25">
      <c r="A63">
        <v>17400</v>
      </c>
      <c r="B63" t="s">
        <v>14</v>
      </c>
      <c r="C63" t="s">
        <v>15</v>
      </c>
      <c r="D63" t="s">
        <v>16</v>
      </c>
      <c r="E63" t="s">
        <v>17</v>
      </c>
      <c r="F63" s="14">
        <v>46149</v>
      </c>
      <c r="G63">
        <v>1010086773</v>
      </c>
      <c r="H63" t="s">
        <v>172</v>
      </c>
      <c r="I63" t="s">
        <v>173</v>
      </c>
      <c r="J63" t="s">
        <v>20</v>
      </c>
      <c r="K63" t="s">
        <v>21</v>
      </c>
      <c r="L63" s="14">
        <v>46184</v>
      </c>
      <c r="M63">
        <v>35</v>
      </c>
      <c r="N63" t="s">
        <v>22</v>
      </c>
      <c r="O63" t="s">
        <v>22</v>
      </c>
      <c r="P63" s="14">
        <v>46106</v>
      </c>
      <c r="Q63" t="s">
        <v>23</v>
      </c>
      <c r="R63" s="7">
        <f>IFERROR(VLOOKUP(Tabla1[[#This Row],[Número de documento del contacto]],'Resoluciones 1 (Res)'!$A:$C,2,0),"")</f>
        <v>7732</v>
      </c>
      <c r="S63" s="11">
        <f>IFERROR(VLOOKUP(Tabla1[[#This Row],[Número de documento del contacto]],'Resoluciones 1 (Res)'!$A:$C,3,0),"")</f>
        <v>46184.606747685197</v>
      </c>
      <c r="T63" s="7" t="str">
        <f>IFERROR(VLOOKUP(Tabla1[[#This Row],[Número de documento del contacto]],'Resoluciones 2 (Req)'!$B:$E,3,0),"")</f>
        <v>14689</v>
      </c>
      <c r="U63" s="7" t="str">
        <f t="shared" si="3"/>
        <v>7 de mayo de 2026</v>
      </c>
      <c r="V63" s="7" t="str">
        <f t="shared" si="4"/>
        <v>25 de marzo de 2026</v>
      </c>
      <c r="W63" s="8" t="str">
        <f>"1-" &amp; ROWS($W$2:W63) &amp; ".pdf"</f>
        <v>1-62.pdf</v>
      </c>
      <c r="X63" s="7" t="str">
        <f>Tabla1[[#This Row],[Número de documento del contacto]]&amp;"-"&amp;Tabla1[[#This Row],[Número de resolución de archivo]]&amp;".pdf"</f>
        <v>1010086773-7732.pdf</v>
      </c>
      <c r="Y63" s="7" t="str">
        <f t="shared" si="5"/>
        <v>ren "1-62.pdf" "1010086773-7732.pdf"</v>
      </c>
      <c r="Z63" s="7" t="str">
        <f>Tabla1[[#This Row],[Número de documento del contacto]]&amp;"_"&amp;Tabla1[[#This Row],[Número de resolución de archivo]]&amp;".pdf"</f>
        <v>1010086773_7732.pdf</v>
      </c>
      <c r="AA63" s="7" t="s">
        <v>49</v>
      </c>
      <c r="AB63" s="7" t="str">
        <f>Tabla1[[#This Row],[Nombre PDF / cedula + num resolucion]]&amp;";"&amp;Tabla1[[#This Row],[instructivo]]</f>
        <v>1010086773_7732.pdf;10. Instructivo_Radicar_Activación_Credencial_DIGITAL_SIRNA.pdf</v>
      </c>
      <c r="AC63" s="7" t="str">
        <f>Tabla1[[#This Row],[Número de resolución de archivo]]&amp;"_"&amp;Tabla1[[#This Row],[Número de documento del contacto]]</f>
        <v>7732_1010086773</v>
      </c>
    </row>
    <row r="64" spans="1:29" x14ac:dyDescent="0.25">
      <c r="A64">
        <v>18025</v>
      </c>
      <c r="B64" t="s">
        <v>14</v>
      </c>
      <c r="C64" t="s">
        <v>15</v>
      </c>
      <c r="D64" t="s">
        <v>16</v>
      </c>
      <c r="E64" t="s">
        <v>17</v>
      </c>
      <c r="F64" s="14">
        <v>46149</v>
      </c>
      <c r="G64">
        <v>1010172991</v>
      </c>
      <c r="H64" t="s">
        <v>174</v>
      </c>
      <c r="I64" t="s">
        <v>175</v>
      </c>
      <c r="J64" t="s">
        <v>20</v>
      </c>
      <c r="K64" t="s">
        <v>21</v>
      </c>
      <c r="L64" s="14">
        <v>46184</v>
      </c>
      <c r="M64">
        <v>35</v>
      </c>
      <c r="N64" t="s">
        <v>22</v>
      </c>
      <c r="O64" t="s">
        <v>22</v>
      </c>
      <c r="P64" s="14">
        <v>46109</v>
      </c>
      <c r="Q64" t="s">
        <v>23</v>
      </c>
      <c r="R64" s="7">
        <f>IFERROR(VLOOKUP(Tabla1[[#This Row],[Número de documento del contacto]],'Resoluciones 1 (Res)'!$A:$C,2,0),"")</f>
        <v>7463</v>
      </c>
      <c r="S64" s="11">
        <f>IFERROR(VLOOKUP(Tabla1[[#This Row],[Número de documento del contacto]],'Resoluciones 1 (Res)'!$A:$C,3,0),"")</f>
        <v>46184.606747685197</v>
      </c>
      <c r="T64" s="7" t="str">
        <f>IFERROR(VLOOKUP(Tabla1[[#This Row],[Número de documento del contacto]],'Resoluciones 2 (Req)'!$B:$E,3,0),"")</f>
        <v>14617</v>
      </c>
      <c r="U64" s="7" t="str">
        <f t="shared" si="3"/>
        <v>7 de mayo de 2026</v>
      </c>
      <c r="V64" s="7" t="str">
        <f t="shared" si="4"/>
        <v>28 de marzo de 2026</v>
      </c>
      <c r="W64" s="8" t="str">
        <f>"1-" &amp; ROWS($W$2:W64) &amp; ".pdf"</f>
        <v>1-63.pdf</v>
      </c>
      <c r="X64" s="7" t="str">
        <f>Tabla1[[#This Row],[Número de documento del contacto]]&amp;"-"&amp;Tabla1[[#This Row],[Número de resolución de archivo]]&amp;".pdf"</f>
        <v>1010172991-7463.pdf</v>
      </c>
      <c r="Y64" s="7" t="str">
        <f t="shared" si="5"/>
        <v>ren "1-63.pdf" "1010172991-7463.pdf"</v>
      </c>
      <c r="Z64" s="7" t="str">
        <f>Tabla1[[#This Row],[Número de documento del contacto]]&amp;"_"&amp;Tabla1[[#This Row],[Número de resolución de archivo]]&amp;".pdf"</f>
        <v>1010172991_7463.pdf</v>
      </c>
      <c r="AA64" s="7" t="s">
        <v>49</v>
      </c>
      <c r="AB64" s="7" t="str">
        <f>Tabla1[[#This Row],[Nombre PDF / cedula + num resolucion]]&amp;";"&amp;Tabla1[[#This Row],[instructivo]]</f>
        <v>1010172991_7463.pdf;10. Instructivo_Radicar_Activación_Credencial_DIGITAL_SIRNA.pdf</v>
      </c>
      <c r="AC64" s="7" t="str">
        <f>Tabla1[[#This Row],[Número de resolución de archivo]]&amp;"_"&amp;Tabla1[[#This Row],[Número de documento del contacto]]</f>
        <v>7463_1010172991</v>
      </c>
    </row>
    <row r="65" spans="1:29" x14ac:dyDescent="0.25">
      <c r="A65">
        <v>13914</v>
      </c>
      <c r="B65" t="s">
        <v>14</v>
      </c>
      <c r="C65" t="s">
        <v>15</v>
      </c>
      <c r="D65" t="s">
        <v>16</v>
      </c>
      <c r="E65" t="s">
        <v>17</v>
      </c>
      <c r="F65" s="14">
        <v>46149</v>
      </c>
      <c r="G65">
        <v>1010206822</v>
      </c>
      <c r="H65" t="s">
        <v>176</v>
      </c>
      <c r="I65" t="s">
        <v>177</v>
      </c>
      <c r="J65" t="s">
        <v>20</v>
      </c>
      <c r="K65" t="s">
        <v>21</v>
      </c>
      <c r="L65" s="14">
        <v>46184</v>
      </c>
      <c r="M65">
        <v>35</v>
      </c>
      <c r="N65" t="s">
        <v>22</v>
      </c>
      <c r="O65" t="s">
        <v>22</v>
      </c>
      <c r="P65" s="14">
        <v>46084</v>
      </c>
      <c r="Q65" t="s">
        <v>23</v>
      </c>
      <c r="R65" s="7">
        <f>IFERROR(VLOOKUP(Tabla1[[#This Row],[Número de documento del contacto]],'Resoluciones 1 (Res)'!$A:$C,2,0),"")</f>
        <v>7603</v>
      </c>
      <c r="S65" s="11">
        <f>IFERROR(VLOOKUP(Tabla1[[#This Row],[Número de documento del contacto]],'Resoluciones 1 (Res)'!$A:$C,3,0),"")</f>
        <v>46184.606747685197</v>
      </c>
      <c r="T65" s="7" t="str">
        <f>IFERROR(VLOOKUP(Tabla1[[#This Row],[Número de documento del contacto]],'Resoluciones 2 (Req)'!$B:$E,3,0),"")</f>
        <v>14779</v>
      </c>
      <c r="U65" s="7" t="str">
        <f t="shared" si="3"/>
        <v>7 de mayo de 2026</v>
      </c>
      <c r="V65" s="7" t="str">
        <f t="shared" si="4"/>
        <v>3 de marzo de 2026</v>
      </c>
      <c r="W65" s="8" t="str">
        <f>"1-" &amp; ROWS($W$2:W65) &amp; ".pdf"</f>
        <v>1-64.pdf</v>
      </c>
      <c r="X65" s="7" t="str">
        <f>Tabla1[[#This Row],[Número de documento del contacto]]&amp;"-"&amp;Tabla1[[#This Row],[Número de resolución de archivo]]&amp;".pdf"</f>
        <v>1010206822-7603.pdf</v>
      </c>
      <c r="Y65" s="7" t="str">
        <f t="shared" si="5"/>
        <v>ren "1-64.pdf" "1010206822-7603.pdf"</v>
      </c>
      <c r="Z65" s="7" t="str">
        <f>Tabla1[[#This Row],[Número de documento del contacto]]&amp;"_"&amp;Tabla1[[#This Row],[Número de resolución de archivo]]&amp;".pdf"</f>
        <v>1010206822_7603.pdf</v>
      </c>
      <c r="AA65" s="7" t="s">
        <v>49</v>
      </c>
      <c r="AB65" s="7" t="str">
        <f>Tabla1[[#This Row],[Nombre PDF / cedula + num resolucion]]&amp;";"&amp;Tabla1[[#This Row],[instructivo]]</f>
        <v>1010206822_7603.pdf;10. Instructivo_Radicar_Activación_Credencial_DIGITAL_SIRNA.pdf</v>
      </c>
      <c r="AC65" s="7" t="str">
        <f>Tabla1[[#This Row],[Número de resolución de archivo]]&amp;"_"&amp;Tabla1[[#This Row],[Número de documento del contacto]]</f>
        <v>7603_1010206822</v>
      </c>
    </row>
    <row r="66" spans="1:29" x14ac:dyDescent="0.25">
      <c r="A66">
        <v>13999</v>
      </c>
      <c r="B66" t="s">
        <v>14</v>
      </c>
      <c r="C66" t="s">
        <v>15</v>
      </c>
      <c r="D66" t="s">
        <v>16</v>
      </c>
      <c r="E66" t="s">
        <v>17</v>
      </c>
      <c r="F66" s="14">
        <v>46149</v>
      </c>
      <c r="G66">
        <v>1012328702</v>
      </c>
      <c r="H66" t="s">
        <v>178</v>
      </c>
      <c r="I66" t="s">
        <v>179</v>
      </c>
      <c r="J66" t="s">
        <v>20</v>
      </c>
      <c r="K66" t="s">
        <v>21</v>
      </c>
      <c r="L66" s="14">
        <v>46184</v>
      </c>
      <c r="M66">
        <v>35</v>
      </c>
      <c r="N66" t="s">
        <v>22</v>
      </c>
      <c r="O66" t="s">
        <v>22</v>
      </c>
      <c r="P66" s="14">
        <v>46085</v>
      </c>
      <c r="Q66" t="s">
        <v>23</v>
      </c>
      <c r="R66" s="7">
        <f>IFERROR(VLOOKUP(Tabla1[[#This Row],[Número de documento del contacto]],'Resoluciones 1 (Res)'!$A:$C,2,0),"")</f>
        <v>7624</v>
      </c>
      <c r="S66" s="11">
        <f>IFERROR(VLOOKUP(Tabla1[[#This Row],[Número de documento del contacto]],'Resoluciones 1 (Res)'!$A:$C,3,0),"")</f>
        <v>46184.606747685197</v>
      </c>
      <c r="T66" s="7" t="str">
        <f>IFERROR(VLOOKUP(Tabla1[[#This Row],[Número de documento del contacto]],'Resoluciones 2 (Req)'!$B:$E,3,0),"")</f>
        <v>14744</v>
      </c>
      <c r="U66" s="7" t="str">
        <f t="shared" si="3"/>
        <v>7 de mayo de 2026</v>
      </c>
      <c r="V66" s="7" t="str">
        <f t="shared" si="4"/>
        <v>4 de marzo de 2026</v>
      </c>
      <c r="W66" s="8" t="str">
        <f>"1-" &amp; ROWS($W$2:W66) &amp; ".pdf"</f>
        <v>1-65.pdf</v>
      </c>
      <c r="X66" s="7" t="str">
        <f>Tabla1[[#This Row],[Número de documento del contacto]]&amp;"-"&amp;Tabla1[[#This Row],[Número de resolución de archivo]]&amp;".pdf"</f>
        <v>1012328702-7624.pdf</v>
      </c>
      <c r="Y66" s="7" t="str">
        <f t="shared" si="5"/>
        <v>ren "1-65.pdf" "1012328702-7624.pdf"</v>
      </c>
      <c r="Z66" s="7" t="str">
        <f>Tabla1[[#This Row],[Número de documento del contacto]]&amp;"_"&amp;Tabla1[[#This Row],[Número de resolución de archivo]]&amp;".pdf"</f>
        <v>1012328702_7624.pdf</v>
      </c>
      <c r="AA66" s="7" t="s">
        <v>49</v>
      </c>
      <c r="AB66" s="7" t="str">
        <f>Tabla1[[#This Row],[Nombre PDF / cedula + num resolucion]]&amp;";"&amp;Tabla1[[#This Row],[instructivo]]</f>
        <v>1012328702_7624.pdf;10. Instructivo_Radicar_Activación_Credencial_DIGITAL_SIRNA.pdf</v>
      </c>
      <c r="AC66" s="7" t="str">
        <f>Tabla1[[#This Row],[Número de resolución de archivo]]&amp;"_"&amp;Tabla1[[#This Row],[Número de documento del contacto]]</f>
        <v>7624_1012328702</v>
      </c>
    </row>
    <row r="67" spans="1:29" x14ac:dyDescent="0.25">
      <c r="A67">
        <v>18010</v>
      </c>
      <c r="B67" t="s">
        <v>14</v>
      </c>
      <c r="C67" t="s">
        <v>15</v>
      </c>
      <c r="D67" t="s">
        <v>16</v>
      </c>
      <c r="E67" t="s">
        <v>17</v>
      </c>
      <c r="F67" s="14">
        <v>46149</v>
      </c>
      <c r="G67">
        <v>1014243708</v>
      </c>
      <c r="H67" t="s">
        <v>180</v>
      </c>
      <c r="I67" t="s">
        <v>181</v>
      </c>
      <c r="J67" t="s">
        <v>20</v>
      </c>
      <c r="K67" t="s">
        <v>21</v>
      </c>
      <c r="L67" s="14">
        <v>46184</v>
      </c>
      <c r="M67">
        <v>35</v>
      </c>
      <c r="N67" t="s">
        <v>22</v>
      </c>
      <c r="O67" t="s">
        <v>22</v>
      </c>
      <c r="P67" s="14">
        <v>46108</v>
      </c>
      <c r="Q67" t="s">
        <v>23</v>
      </c>
      <c r="R67" s="7">
        <f>IFERROR(VLOOKUP(Tabla1[[#This Row],[Número de documento del contacto]],'Resoluciones 1 (Res)'!$A:$C,2,0),"")</f>
        <v>7573</v>
      </c>
      <c r="S67" s="11">
        <f>IFERROR(VLOOKUP(Tabla1[[#This Row],[Número de documento del contacto]],'Resoluciones 1 (Res)'!$A:$C,3,0),"")</f>
        <v>46184.606747685197</v>
      </c>
      <c r="T67" s="7" t="str">
        <f>IFERROR(VLOOKUP(Tabla1[[#This Row],[Número de documento del contacto]],'Resoluciones 2 (Req)'!$B:$E,3,0),"")</f>
        <v>14620</v>
      </c>
      <c r="U67" s="7" t="str">
        <f t="shared" si="3"/>
        <v>7 de mayo de 2026</v>
      </c>
      <c r="V67" s="7" t="str">
        <f t="shared" si="4"/>
        <v>27 de marzo de 2026</v>
      </c>
      <c r="W67" s="8" t="str">
        <f>"1-" &amp; ROWS($W$2:W67) &amp; ".pdf"</f>
        <v>1-66.pdf</v>
      </c>
      <c r="X67" s="7" t="str">
        <f>Tabla1[[#This Row],[Número de documento del contacto]]&amp;"-"&amp;Tabla1[[#This Row],[Número de resolución de archivo]]&amp;".pdf"</f>
        <v>1014243708-7573.pdf</v>
      </c>
      <c r="Y67" s="7" t="str">
        <f t="shared" si="5"/>
        <v>ren "1-66.pdf" "1014243708-7573.pdf"</v>
      </c>
      <c r="Z67" s="7" t="str">
        <f>Tabla1[[#This Row],[Número de documento del contacto]]&amp;"_"&amp;Tabla1[[#This Row],[Número de resolución de archivo]]&amp;".pdf"</f>
        <v>1014243708_7573.pdf</v>
      </c>
      <c r="AA67" s="7" t="s">
        <v>49</v>
      </c>
      <c r="AB67" s="7" t="str">
        <f>Tabla1[[#This Row],[Nombre PDF / cedula + num resolucion]]&amp;";"&amp;Tabla1[[#This Row],[instructivo]]</f>
        <v>1014243708_7573.pdf;10. Instructivo_Radicar_Activación_Credencial_DIGITAL_SIRNA.pdf</v>
      </c>
      <c r="AC67" s="7" t="str">
        <f>Tabla1[[#This Row],[Número de resolución de archivo]]&amp;"_"&amp;Tabla1[[#This Row],[Número de documento del contacto]]</f>
        <v>7573_1014243708</v>
      </c>
    </row>
    <row r="68" spans="1:29" x14ac:dyDescent="0.25">
      <c r="A68">
        <v>13810</v>
      </c>
      <c r="B68" t="s">
        <v>14</v>
      </c>
      <c r="C68" t="s">
        <v>15</v>
      </c>
      <c r="D68" t="s">
        <v>16</v>
      </c>
      <c r="E68" t="s">
        <v>17</v>
      </c>
      <c r="F68" s="14">
        <v>46149</v>
      </c>
      <c r="G68">
        <v>1014246794</v>
      </c>
      <c r="H68" t="s">
        <v>182</v>
      </c>
      <c r="I68" t="s">
        <v>183</v>
      </c>
      <c r="J68" t="s">
        <v>20</v>
      </c>
      <c r="K68" t="s">
        <v>21</v>
      </c>
      <c r="L68" s="14">
        <v>46184</v>
      </c>
      <c r="M68">
        <v>35</v>
      </c>
      <c r="N68" t="s">
        <v>22</v>
      </c>
      <c r="O68" t="s">
        <v>22</v>
      </c>
      <c r="P68" s="14">
        <v>46084</v>
      </c>
      <c r="Q68" t="s">
        <v>23</v>
      </c>
      <c r="R68" s="7">
        <f>IFERROR(VLOOKUP(Tabla1[[#This Row],[Número de documento del contacto]],'Resoluciones 1 (Res)'!$A:$C,2,0),"")</f>
        <v>7675</v>
      </c>
      <c r="S68" s="11">
        <f>IFERROR(VLOOKUP(Tabla1[[#This Row],[Número de documento del contacto]],'Resoluciones 1 (Res)'!$A:$C,3,0),"")</f>
        <v>46184.606747685197</v>
      </c>
      <c r="T68" s="7" t="str">
        <f>IFERROR(VLOOKUP(Tabla1[[#This Row],[Número de documento del contacto]],'Resoluciones 2 (Req)'!$B:$E,3,0),"")</f>
        <v>14780</v>
      </c>
      <c r="U68" s="7" t="str">
        <f t="shared" si="3"/>
        <v>7 de mayo de 2026</v>
      </c>
      <c r="V68" s="7" t="str">
        <f t="shared" si="4"/>
        <v>3 de marzo de 2026</v>
      </c>
      <c r="W68" s="8" t="str">
        <f>"1-" &amp; ROWS($W$2:W68) &amp; ".pdf"</f>
        <v>1-67.pdf</v>
      </c>
      <c r="X68" s="7" t="str">
        <f>Tabla1[[#This Row],[Número de documento del contacto]]&amp;"-"&amp;Tabla1[[#This Row],[Número de resolución de archivo]]&amp;".pdf"</f>
        <v>1014246794-7675.pdf</v>
      </c>
      <c r="Y68" s="7" t="str">
        <f t="shared" si="5"/>
        <v>ren "1-67.pdf" "1014246794-7675.pdf"</v>
      </c>
      <c r="Z68" s="7" t="str">
        <f>Tabla1[[#This Row],[Número de documento del contacto]]&amp;"_"&amp;Tabla1[[#This Row],[Número de resolución de archivo]]&amp;".pdf"</f>
        <v>1014246794_7675.pdf</v>
      </c>
      <c r="AA68" s="7" t="s">
        <v>49</v>
      </c>
      <c r="AB68" s="7" t="str">
        <f>Tabla1[[#This Row],[Nombre PDF / cedula + num resolucion]]&amp;";"&amp;Tabla1[[#This Row],[instructivo]]</f>
        <v>1014246794_7675.pdf;10. Instructivo_Radicar_Activación_Credencial_DIGITAL_SIRNA.pdf</v>
      </c>
      <c r="AC68" s="7" t="str">
        <f>Tabla1[[#This Row],[Número de resolución de archivo]]&amp;"_"&amp;Tabla1[[#This Row],[Número de documento del contacto]]</f>
        <v>7675_1014246794</v>
      </c>
    </row>
    <row r="69" spans="1:29" x14ac:dyDescent="0.25">
      <c r="A69">
        <v>14114</v>
      </c>
      <c r="B69" t="s">
        <v>14</v>
      </c>
      <c r="C69" t="s">
        <v>15</v>
      </c>
      <c r="D69" t="s">
        <v>16</v>
      </c>
      <c r="E69" t="s">
        <v>17</v>
      </c>
      <c r="F69" s="14">
        <v>46149</v>
      </c>
      <c r="G69">
        <v>1018407768</v>
      </c>
      <c r="H69" t="s">
        <v>184</v>
      </c>
      <c r="I69" t="s">
        <v>185</v>
      </c>
      <c r="J69" t="s">
        <v>20</v>
      </c>
      <c r="K69" t="s">
        <v>21</v>
      </c>
      <c r="L69" s="14">
        <v>46184</v>
      </c>
      <c r="M69">
        <v>35</v>
      </c>
      <c r="N69" t="s">
        <v>22</v>
      </c>
      <c r="O69" t="s">
        <v>22</v>
      </c>
      <c r="P69" s="14">
        <v>46085</v>
      </c>
      <c r="Q69" t="s">
        <v>23</v>
      </c>
      <c r="R69" s="7">
        <f>IFERROR(VLOOKUP(Tabla1[[#This Row],[Número de documento del contacto]],'Resoluciones 1 (Res)'!$A:$C,2,0),"")</f>
        <v>7663</v>
      </c>
      <c r="S69" s="11">
        <f>IFERROR(VLOOKUP(Tabla1[[#This Row],[Número de documento del contacto]],'Resoluciones 1 (Res)'!$A:$C,3,0),"")</f>
        <v>46184.606747685197</v>
      </c>
      <c r="T69" s="7" t="str">
        <f>IFERROR(VLOOKUP(Tabla1[[#This Row],[Número de documento del contacto]],'Resoluciones 2 (Req)'!$B:$E,3,0),"")</f>
        <v>14745</v>
      </c>
      <c r="U69" s="7" t="str">
        <f t="shared" si="3"/>
        <v>7 de mayo de 2026</v>
      </c>
      <c r="V69" s="7" t="str">
        <f t="shared" si="4"/>
        <v>4 de marzo de 2026</v>
      </c>
      <c r="W69" s="8" t="str">
        <f>"1-" &amp; ROWS($W$2:W69) &amp; ".pdf"</f>
        <v>1-68.pdf</v>
      </c>
      <c r="X69" s="7" t="str">
        <f>Tabla1[[#This Row],[Número de documento del contacto]]&amp;"-"&amp;Tabla1[[#This Row],[Número de resolución de archivo]]&amp;".pdf"</f>
        <v>1018407768-7663.pdf</v>
      </c>
      <c r="Y69" s="7" t="str">
        <f t="shared" si="5"/>
        <v>ren "1-68.pdf" "1018407768-7663.pdf"</v>
      </c>
      <c r="Z69" s="7" t="str">
        <f>Tabla1[[#This Row],[Número de documento del contacto]]&amp;"_"&amp;Tabla1[[#This Row],[Número de resolución de archivo]]&amp;".pdf"</f>
        <v>1018407768_7663.pdf</v>
      </c>
      <c r="AA69" s="7" t="s">
        <v>49</v>
      </c>
      <c r="AB69" s="7" t="str">
        <f>Tabla1[[#This Row],[Nombre PDF / cedula + num resolucion]]&amp;";"&amp;Tabla1[[#This Row],[instructivo]]</f>
        <v>1018407768_7663.pdf;10. Instructivo_Radicar_Activación_Credencial_DIGITAL_SIRNA.pdf</v>
      </c>
      <c r="AC69" s="7" t="str">
        <f>Tabla1[[#This Row],[Número de resolución de archivo]]&amp;"_"&amp;Tabla1[[#This Row],[Número de documento del contacto]]</f>
        <v>7663_1018407768</v>
      </c>
    </row>
    <row r="70" spans="1:29" x14ac:dyDescent="0.25">
      <c r="A70">
        <v>18101</v>
      </c>
      <c r="B70" t="s">
        <v>14</v>
      </c>
      <c r="C70" t="s">
        <v>15</v>
      </c>
      <c r="D70" t="s">
        <v>16</v>
      </c>
      <c r="E70" t="s">
        <v>17</v>
      </c>
      <c r="F70" s="14">
        <v>46149</v>
      </c>
      <c r="G70">
        <v>1018429230</v>
      </c>
      <c r="H70" t="s">
        <v>186</v>
      </c>
      <c r="I70" t="s">
        <v>187</v>
      </c>
      <c r="J70" t="s">
        <v>20</v>
      </c>
      <c r="K70" t="s">
        <v>21</v>
      </c>
      <c r="L70" s="14">
        <v>46184</v>
      </c>
      <c r="M70">
        <v>35</v>
      </c>
      <c r="N70" t="s">
        <v>22</v>
      </c>
      <c r="O70" t="s">
        <v>22</v>
      </c>
      <c r="P70" s="14">
        <v>46109</v>
      </c>
      <c r="Q70" t="s">
        <v>23</v>
      </c>
      <c r="R70" s="7">
        <f>IFERROR(VLOOKUP(Tabla1[[#This Row],[Número de documento del contacto]],'Resoluciones 1 (Res)'!$A:$C,2,0),"")</f>
        <v>7529</v>
      </c>
      <c r="S70" s="11">
        <f>IFERROR(VLOOKUP(Tabla1[[#This Row],[Número de documento del contacto]],'Resoluciones 1 (Res)'!$A:$C,3,0),"")</f>
        <v>46184.606747685197</v>
      </c>
      <c r="T70" s="7" t="str">
        <f>IFERROR(VLOOKUP(Tabla1[[#This Row],[Número de documento del contacto]],'Resoluciones 2 (Req)'!$B:$E,3,0),"")</f>
        <v>14621</v>
      </c>
      <c r="U70" s="7" t="str">
        <f t="shared" si="3"/>
        <v>7 de mayo de 2026</v>
      </c>
      <c r="V70" s="7" t="str">
        <f t="shared" si="4"/>
        <v>28 de marzo de 2026</v>
      </c>
      <c r="W70" s="8" t="str">
        <f>"1-" &amp; ROWS($W$2:W70) &amp; ".pdf"</f>
        <v>1-69.pdf</v>
      </c>
      <c r="X70" s="7" t="str">
        <f>Tabla1[[#This Row],[Número de documento del contacto]]&amp;"-"&amp;Tabla1[[#This Row],[Número de resolución de archivo]]&amp;".pdf"</f>
        <v>1018429230-7529.pdf</v>
      </c>
      <c r="Y70" s="7" t="str">
        <f t="shared" si="5"/>
        <v>ren "1-69.pdf" "1018429230-7529.pdf"</v>
      </c>
      <c r="Z70" s="7" t="str">
        <f>Tabla1[[#This Row],[Número de documento del contacto]]&amp;"_"&amp;Tabla1[[#This Row],[Número de resolución de archivo]]&amp;".pdf"</f>
        <v>1018429230_7529.pdf</v>
      </c>
      <c r="AA70" s="7" t="s">
        <v>49</v>
      </c>
      <c r="AB70" s="7" t="str">
        <f>Tabla1[[#This Row],[Nombre PDF / cedula + num resolucion]]&amp;";"&amp;Tabla1[[#This Row],[instructivo]]</f>
        <v>1018429230_7529.pdf;10. Instructivo_Radicar_Activación_Credencial_DIGITAL_SIRNA.pdf</v>
      </c>
      <c r="AC70" s="7" t="str">
        <f>Tabla1[[#This Row],[Número de resolución de archivo]]&amp;"_"&amp;Tabla1[[#This Row],[Número de documento del contacto]]</f>
        <v>7529_1018429230</v>
      </c>
    </row>
    <row r="71" spans="1:29" x14ac:dyDescent="0.25">
      <c r="A71">
        <v>18243</v>
      </c>
      <c r="B71" t="s">
        <v>14</v>
      </c>
      <c r="C71" t="s">
        <v>15</v>
      </c>
      <c r="D71" t="s">
        <v>16</v>
      </c>
      <c r="E71" t="s">
        <v>17</v>
      </c>
      <c r="F71" s="14">
        <v>46149</v>
      </c>
      <c r="G71">
        <v>1019058607</v>
      </c>
      <c r="H71" t="s">
        <v>188</v>
      </c>
      <c r="I71" t="s">
        <v>189</v>
      </c>
      <c r="J71" t="s">
        <v>20</v>
      </c>
      <c r="K71" t="s">
        <v>21</v>
      </c>
      <c r="L71" s="14">
        <v>46184</v>
      </c>
      <c r="M71">
        <v>35</v>
      </c>
      <c r="N71" t="s">
        <v>22</v>
      </c>
      <c r="O71" t="s">
        <v>22</v>
      </c>
      <c r="P71" s="14">
        <v>46111</v>
      </c>
      <c r="Q71" t="s">
        <v>23</v>
      </c>
      <c r="R71" s="7">
        <f>IFERROR(VLOOKUP(Tabla1[[#This Row],[Número de documento del contacto]],'Resoluciones 1 (Res)'!$A:$C,2,0),"")</f>
        <v>7467</v>
      </c>
      <c r="S71" s="11">
        <f>IFERROR(VLOOKUP(Tabla1[[#This Row],[Número de documento del contacto]],'Resoluciones 1 (Res)'!$A:$C,3,0),"")</f>
        <v>46184.606747685197</v>
      </c>
      <c r="T71" s="7" t="str">
        <f>IFERROR(VLOOKUP(Tabla1[[#This Row],[Número de documento del contacto]],'Resoluciones 2 (Req)'!$B:$E,3,0),"")</f>
        <v>14622</v>
      </c>
      <c r="U71" s="7" t="str">
        <f t="shared" si="3"/>
        <v>7 de mayo de 2026</v>
      </c>
      <c r="V71" s="7" t="str">
        <f t="shared" si="4"/>
        <v>30 de marzo de 2026</v>
      </c>
      <c r="W71" s="8" t="str">
        <f>"1-" &amp; ROWS($W$2:W71) &amp; ".pdf"</f>
        <v>1-70.pdf</v>
      </c>
      <c r="X71" s="7" t="str">
        <f>Tabla1[[#This Row],[Número de documento del contacto]]&amp;"-"&amp;Tabla1[[#This Row],[Número de resolución de archivo]]&amp;".pdf"</f>
        <v>1019058607-7467.pdf</v>
      </c>
      <c r="Y71" s="7" t="str">
        <f t="shared" si="5"/>
        <v>ren "1-70.pdf" "1019058607-7467.pdf"</v>
      </c>
      <c r="Z71" s="7" t="str">
        <f>Tabla1[[#This Row],[Número de documento del contacto]]&amp;"_"&amp;Tabla1[[#This Row],[Número de resolución de archivo]]&amp;".pdf"</f>
        <v>1019058607_7467.pdf</v>
      </c>
      <c r="AA71" s="7" t="s">
        <v>49</v>
      </c>
      <c r="AB71" s="7" t="str">
        <f>Tabla1[[#This Row],[Nombre PDF / cedula + num resolucion]]&amp;";"&amp;Tabla1[[#This Row],[instructivo]]</f>
        <v>1019058607_7467.pdf;10. Instructivo_Radicar_Activación_Credencial_DIGITAL_SIRNA.pdf</v>
      </c>
      <c r="AC71" s="7" t="str">
        <f>Tabla1[[#This Row],[Número de resolución de archivo]]&amp;"_"&amp;Tabla1[[#This Row],[Número de documento del contacto]]</f>
        <v>7467_1019058607</v>
      </c>
    </row>
    <row r="72" spans="1:29" x14ac:dyDescent="0.25">
      <c r="A72">
        <v>17767</v>
      </c>
      <c r="B72" t="s">
        <v>14</v>
      </c>
      <c r="C72" t="s">
        <v>15</v>
      </c>
      <c r="D72" t="s">
        <v>16</v>
      </c>
      <c r="E72" t="s">
        <v>17</v>
      </c>
      <c r="F72" s="14">
        <v>46149</v>
      </c>
      <c r="G72">
        <v>1020472210</v>
      </c>
      <c r="H72" t="s">
        <v>190</v>
      </c>
      <c r="I72" t="s">
        <v>191</v>
      </c>
      <c r="J72" t="s">
        <v>20</v>
      </c>
      <c r="K72" t="s">
        <v>21</v>
      </c>
      <c r="L72" s="14">
        <v>46184</v>
      </c>
      <c r="M72">
        <v>35</v>
      </c>
      <c r="N72" t="s">
        <v>22</v>
      </c>
      <c r="O72" t="s">
        <v>22</v>
      </c>
      <c r="P72" s="14">
        <v>46107</v>
      </c>
      <c r="Q72" t="s">
        <v>23</v>
      </c>
      <c r="R72" s="7">
        <f>IFERROR(VLOOKUP(Tabla1[[#This Row],[Número de documento del contacto]],'Resoluciones 1 (Res)'!$A:$C,2,0),"")</f>
        <v>7477</v>
      </c>
      <c r="S72" s="11">
        <f>IFERROR(VLOOKUP(Tabla1[[#This Row],[Número de documento del contacto]],'Resoluciones 1 (Res)'!$A:$C,3,0),"")</f>
        <v>46184.606747685197</v>
      </c>
      <c r="T72" s="7" t="str">
        <f>IFERROR(VLOOKUP(Tabla1[[#This Row],[Número de documento del contacto]],'Resoluciones 2 (Req)'!$B:$E,3,0),"")</f>
        <v>14690</v>
      </c>
      <c r="U72" s="7" t="str">
        <f t="shared" si="3"/>
        <v>7 de mayo de 2026</v>
      </c>
      <c r="V72" s="7" t="str">
        <f t="shared" si="4"/>
        <v>26 de marzo de 2026</v>
      </c>
      <c r="W72" s="8" t="str">
        <f>"1-" &amp; ROWS($W$2:W72) &amp; ".pdf"</f>
        <v>1-71.pdf</v>
      </c>
      <c r="X72" s="7" t="str">
        <f>Tabla1[[#This Row],[Número de documento del contacto]]&amp;"-"&amp;Tabla1[[#This Row],[Número de resolución de archivo]]&amp;".pdf"</f>
        <v>1020472210-7477.pdf</v>
      </c>
      <c r="Y72" s="7" t="str">
        <f t="shared" si="5"/>
        <v>ren "1-71.pdf" "1020472210-7477.pdf"</v>
      </c>
      <c r="Z72" s="7" t="str">
        <f>Tabla1[[#This Row],[Número de documento del contacto]]&amp;"_"&amp;Tabla1[[#This Row],[Número de resolución de archivo]]&amp;".pdf"</f>
        <v>1020472210_7477.pdf</v>
      </c>
      <c r="AA72" s="7" t="s">
        <v>49</v>
      </c>
      <c r="AB72" s="7" t="str">
        <f>Tabla1[[#This Row],[Nombre PDF / cedula + num resolucion]]&amp;";"&amp;Tabla1[[#This Row],[instructivo]]</f>
        <v>1020472210_7477.pdf;10. Instructivo_Radicar_Activación_Credencial_DIGITAL_SIRNA.pdf</v>
      </c>
      <c r="AC72" s="7" t="str">
        <f>Tabla1[[#This Row],[Número de resolución de archivo]]&amp;"_"&amp;Tabla1[[#This Row],[Número de documento del contacto]]</f>
        <v>7477_1020472210</v>
      </c>
    </row>
    <row r="73" spans="1:29" x14ac:dyDescent="0.25">
      <c r="A73">
        <v>16919</v>
      </c>
      <c r="B73" t="s">
        <v>14</v>
      </c>
      <c r="C73" t="s">
        <v>15</v>
      </c>
      <c r="D73" t="s">
        <v>16</v>
      </c>
      <c r="E73" t="s">
        <v>17</v>
      </c>
      <c r="F73" s="14">
        <v>46149</v>
      </c>
      <c r="G73">
        <v>1020765272</v>
      </c>
      <c r="H73" t="s">
        <v>192</v>
      </c>
      <c r="I73" t="s">
        <v>193</v>
      </c>
      <c r="J73" t="s">
        <v>20</v>
      </c>
      <c r="K73" t="s">
        <v>21</v>
      </c>
      <c r="L73" s="14">
        <v>46184</v>
      </c>
      <c r="M73">
        <v>35</v>
      </c>
      <c r="N73" t="s">
        <v>22</v>
      </c>
      <c r="O73" t="s">
        <v>22</v>
      </c>
      <c r="P73" s="14">
        <v>46101</v>
      </c>
      <c r="Q73" t="s">
        <v>23</v>
      </c>
      <c r="R73" s="7">
        <f>IFERROR(VLOOKUP(Tabla1[[#This Row],[Número de documento del contacto]],'Resoluciones 1 (Res)'!$A:$C,2,0),"")</f>
        <v>7483</v>
      </c>
      <c r="S73" s="11">
        <f>IFERROR(VLOOKUP(Tabla1[[#This Row],[Número de documento del contacto]],'Resoluciones 1 (Res)'!$A:$C,3,0),"")</f>
        <v>46184.606747685197</v>
      </c>
      <c r="T73" s="7" t="str">
        <f>IFERROR(VLOOKUP(Tabla1[[#This Row],[Número de documento del contacto]],'Resoluciones 2 (Req)'!$B:$E,3,0),"")</f>
        <v>14691</v>
      </c>
      <c r="U73" s="7" t="str">
        <f t="shared" si="3"/>
        <v>7 de mayo de 2026</v>
      </c>
      <c r="V73" s="7" t="str">
        <f t="shared" si="4"/>
        <v>20 de marzo de 2026</v>
      </c>
      <c r="W73" s="8" t="str">
        <f>"1-" &amp; ROWS($W$2:W73) &amp; ".pdf"</f>
        <v>1-72.pdf</v>
      </c>
      <c r="X73" s="7" t="str">
        <f>Tabla1[[#This Row],[Número de documento del contacto]]&amp;"-"&amp;Tabla1[[#This Row],[Número de resolución de archivo]]&amp;".pdf"</f>
        <v>1020765272-7483.pdf</v>
      </c>
      <c r="Y73" s="7" t="str">
        <f t="shared" si="5"/>
        <v>ren "1-72.pdf" "1020765272-7483.pdf"</v>
      </c>
      <c r="Z73" s="7" t="str">
        <f>Tabla1[[#This Row],[Número de documento del contacto]]&amp;"_"&amp;Tabla1[[#This Row],[Número de resolución de archivo]]&amp;".pdf"</f>
        <v>1020765272_7483.pdf</v>
      </c>
      <c r="AA73" s="7" t="s">
        <v>49</v>
      </c>
      <c r="AB73" s="7" t="str">
        <f>Tabla1[[#This Row],[Nombre PDF / cedula + num resolucion]]&amp;";"&amp;Tabla1[[#This Row],[instructivo]]</f>
        <v>1020765272_7483.pdf;10. Instructivo_Radicar_Activación_Credencial_DIGITAL_SIRNA.pdf</v>
      </c>
      <c r="AC73" s="7" t="str">
        <f>Tabla1[[#This Row],[Número de resolución de archivo]]&amp;"_"&amp;Tabla1[[#This Row],[Número de documento del contacto]]</f>
        <v>7483_1020765272</v>
      </c>
    </row>
    <row r="74" spans="1:29" x14ac:dyDescent="0.25">
      <c r="A74">
        <v>17285</v>
      </c>
      <c r="B74" t="s">
        <v>14</v>
      </c>
      <c r="C74" t="s">
        <v>15</v>
      </c>
      <c r="D74" t="s">
        <v>16</v>
      </c>
      <c r="E74" t="s">
        <v>17</v>
      </c>
      <c r="F74" s="14">
        <v>46149</v>
      </c>
      <c r="G74">
        <v>1020804799</v>
      </c>
      <c r="H74" t="s">
        <v>194</v>
      </c>
      <c r="I74" t="s">
        <v>195</v>
      </c>
      <c r="J74" t="s">
        <v>20</v>
      </c>
      <c r="K74" t="s">
        <v>21</v>
      </c>
      <c r="L74" s="14">
        <v>46184</v>
      </c>
      <c r="M74">
        <v>35</v>
      </c>
      <c r="N74" t="s">
        <v>22</v>
      </c>
      <c r="O74" t="s">
        <v>22</v>
      </c>
      <c r="P74" s="14">
        <v>46105</v>
      </c>
      <c r="Q74" t="s">
        <v>23</v>
      </c>
      <c r="R74" s="7">
        <f>IFERROR(VLOOKUP(Tabla1[[#This Row],[Número de documento del contacto]],'Resoluciones 1 (Res)'!$A:$C,2,0),"")</f>
        <v>7561</v>
      </c>
      <c r="S74" s="11">
        <f>IFERROR(VLOOKUP(Tabla1[[#This Row],[Número de documento del contacto]],'Resoluciones 1 (Res)'!$A:$C,3,0),"")</f>
        <v>46184.606747685197</v>
      </c>
      <c r="T74" s="7" t="str">
        <f>IFERROR(VLOOKUP(Tabla1[[#This Row],[Número de documento del contacto]],'Resoluciones 2 (Req)'!$B:$E,3,0),"")</f>
        <v>14692</v>
      </c>
      <c r="U74" s="7" t="str">
        <f t="shared" ref="U74:U137" si="6">TEXT(F74, "d ""de"" mmmm ""de"" yyyy")</f>
        <v>7 de mayo de 2026</v>
      </c>
      <c r="V74" s="7" t="str">
        <f t="shared" ref="V74:V137" si="7">TEXT(P74, "d ""de"" mmmm ""de"" yyyy")</f>
        <v>24 de marzo de 2026</v>
      </c>
      <c r="W74" s="8" t="str">
        <f>"1-" &amp; ROWS($W$2:W74) &amp; ".pdf"</f>
        <v>1-73.pdf</v>
      </c>
      <c r="X74" s="7" t="str">
        <f>Tabla1[[#This Row],[Número de documento del contacto]]&amp;"-"&amp;Tabla1[[#This Row],[Número de resolución de archivo]]&amp;".pdf"</f>
        <v>1020804799-7561.pdf</v>
      </c>
      <c r="Y74" s="7" t="str">
        <f t="shared" ref="Y74:Y137" si="8">"ren """ &amp; W74 &amp; """ """ &amp; X74 &amp; """"</f>
        <v>ren "1-73.pdf" "1020804799-7561.pdf"</v>
      </c>
      <c r="Z74" s="7" t="str">
        <f>Tabla1[[#This Row],[Número de documento del contacto]]&amp;"_"&amp;Tabla1[[#This Row],[Número de resolución de archivo]]&amp;".pdf"</f>
        <v>1020804799_7561.pdf</v>
      </c>
      <c r="AA74" s="7" t="s">
        <v>49</v>
      </c>
      <c r="AB74" s="7" t="str">
        <f>Tabla1[[#This Row],[Nombre PDF / cedula + num resolucion]]&amp;";"&amp;Tabla1[[#This Row],[instructivo]]</f>
        <v>1020804799_7561.pdf;10. Instructivo_Radicar_Activación_Credencial_DIGITAL_SIRNA.pdf</v>
      </c>
      <c r="AC74" s="7" t="str">
        <f>Tabla1[[#This Row],[Número de resolución de archivo]]&amp;"_"&amp;Tabla1[[#This Row],[Número de documento del contacto]]</f>
        <v>7561_1020804799</v>
      </c>
    </row>
    <row r="75" spans="1:29" x14ac:dyDescent="0.25">
      <c r="A75">
        <v>17337</v>
      </c>
      <c r="B75" t="s">
        <v>14</v>
      </c>
      <c r="C75" t="s">
        <v>15</v>
      </c>
      <c r="D75" t="s">
        <v>16</v>
      </c>
      <c r="E75" t="s">
        <v>17</v>
      </c>
      <c r="F75" s="14">
        <v>46149</v>
      </c>
      <c r="G75">
        <v>1020805548</v>
      </c>
      <c r="H75" t="s">
        <v>196</v>
      </c>
      <c r="I75" t="s">
        <v>197</v>
      </c>
      <c r="J75" t="s">
        <v>20</v>
      </c>
      <c r="K75" t="s">
        <v>21</v>
      </c>
      <c r="L75" s="14">
        <v>46184</v>
      </c>
      <c r="M75">
        <v>35</v>
      </c>
      <c r="N75" t="s">
        <v>22</v>
      </c>
      <c r="O75" t="s">
        <v>22</v>
      </c>
      <c r="P75" s="14">
        <v>46105</v>
      </c>
      <c r="Q75" t="s">
        <v>23</v>
      </c>
      <c r="R75" s="7">
        <f>IFERROR(VLOOKUP(Tabla1[[#This Row],[Número de documento del contacto]],'Resoluciones 1 (Res)'!$A:$C,2,0),"")</f>
        <v>7557</v>
      </c>
      <c r="S75" s="11">
        <f>IFERROR(VLOOKUP(Tabla1[[#This Row],[Número de documento del contacto]],'Resoluciones 1 (Res)'!$A:$C,3,0),"")</f>
        <v>46184.606747685197</v>
      </c>
      <c r="T75" s="7" t="str">
        <f>IFERROR(VLOOKUP(Tabla1[[#This Row],[Número de documento del contacto]],'Resoluciones 2 (Req)'!$B:$E,3,0),"")</f>
        <v>14693</v>
      </c>
      <c r="U75" s="7" t="str">
        <f t="shared" si="6"/>
        <v>7 de mayo de 2026</v>
      </c>
      <c r="V75" s="7" t="str">
        <f t="shared" si="7"/>
        <v>24 de marzo de 2026</v>
      </c>
      <c r="W75" s="8" t="str">
        <f>"1-" &amp; ROWS($W$2:W75) &amp; ".pdf"</f>
        <v>1-74.pdf</v>
      </c>
      <c r="X75" s="7" t="str">
        <f>Tabla1[[#This Row],[Número de documento del contacto]]&amp;"-"&amp;Tabla1[[#This Row],[Número de resolución de archivo]]&amp;".pdf"</f>
        <v>1020805548-7557.pdf</v>
      </c>
      <c r="Y75" s="7" t="str">
        <f t="shared" si="8"/>
        <v>ren "1-74.pdf" "1020805548-7557.pdf"</v>
      </c>
      <c r="Z75" s="7" t="str">
        <f>Tabla1[[#This Row],[Número de documento del contacto]]&amp;"_"&amp;Tabla1[[#This Row],[Número de resolución de archivo]]&amp;".pdf"</f>
        <v>1020805548_7557.pdf</v>
      </c>
      <c r="AA75" s="7" t="s">
        <v>49</v>
      </c>
      <c r="AB75" s="7" t="str">
        <f>Tabla1[[#This Row],[Nombre PDF / cedula + num resolucion]]&amp;";"&amp;Tabla1[[#This Row],[instructivo]]</f>
        <v>1020805548_7557.pdf;10. Instructivo_Radicar_Activación_Credencial_DIGITAL_SIRNA.pdf</v>
      </c>
      <c r="AC75" s="7" t="str">
        <f>Tabla1[[#This Row],[Número de resolución de archivo]]&amp;"_"&amp;Tabla1[[#This Row],[Número de documento del contacto]]</f>
        <v>7557_1020805548</v>
      </c>
    </row>
    <row r="76" spans="1:29" x14ac:dyDescent="0.25">
      <c r="A76">
        <v>14034</v>
      </c>
      <c r="B76" t="s">
        <v>14</v>
      </c>
      <c r="C76" t="s">
        <v>15</v>
      </c>
      <c r="D76" t="s">
        <v>16</v>
      </c>
      <c r="E76" t="s">
        <v>17</v>
      </c>
      <c r="F76" s="14">
        <v>46149</v>
      </c>
      <c r="G76">
        <v>1022379779</v>
      </c>
      <c r="H76" t="s">
        <v>198</v>
      </c>
      <c r="I76" t="s">
        <v>199</v>
      </c>
      <c r="J76" t="s">
        <v>20</v>
      </c>
      <c r="K76" t="s">
        <v>21</v>
      </c>
      <c r="L76" s="14">
        <v>46184</v>
      </c>
      <c r="M76">
        <v>35</v>
      </c>
      <c r="N76" t="s">
        <v>22</v>
      </c>
      <c r="O76" t="s">
        <v>22</v>
      </c>
      <c r="P76" s="14">
        <v>46085</v>
      </c>
      <c r="Q76" t="s">
        <v>23</v>
      </c>
      <c r="R76" s="7">
        <f>IFERROR(VLOOKUP(Tabla1[[#This Row],[Número de documento del contacto]],'Resoluciones 1 (Res)'!$A:$C,2,0),"")</f>
        <v>7533</v>
      </c>
      <c r="S76" s="11">
        <f>IFERROR(VLOOKUP(Tabla1[[#This Row],[Número de documento del contacto]],'Resoluciones 1 (Res)'!$A:$C,3,0),"")</f>
        <v>46184.606747685197</v>
      </c>
      <c r="T76" s="7" t="str">
        <f>IFERROR(VLOOKUP(Tabla1[[#This Row],[Número de documento del contacto]],'Resoluciones 2 (Req)'!$B:$E,3,0),"")</f>
        <v>14746</v>
      </c>
      <c r="U76" s="7" t="str">
        <f t="shared" si="6"/>
        <v>7 de mayo de 2026</v>
      </c>
      <c r="V76" s="7" t="str">
        <f t="shared" si="7"/>
        <v>4 de marzo de 2026</v>
      </c>
      <c r="W76" s="8" t="str">
        <f>"1-" &amp; ROWS($W$2:W76) &amp; ".pdf"</f>
        <v>1-75.pdf</v>
      </c>
      <c r="X76" s="7" t="str">
        <f>Tabla1[[#This Row],[Número de documento del contacto]]&amp;"-"&amp;Tabla1[[#This Row],[Número de resolución de archivo]]&amp;".pdf"</f>
        <v>1022379779-7533.pdf</v>
      </c>
      <c r="Y76" s="7" t="str">
        <f t="shared" si="8"/>
        <v>ren "1-75.pdf" "1022379779-7533.pdf"</v>
      </c>
      <c r="Z76" s="7" t="str">
        <f>Tabla1[[#This Row],[Número de documento del contacto]]&amp;"_"&amp;Tabla1[[#This Row],[Número de resolución de archivo]]&amp;".pdf"</f>
        <v>1022379779_7533.pdf</v>
      </c>
      <c r="AA76" s="7" t="s">
        <v>49</v>
      </c>
      <c r="AB76" s="7" t="str">
        <f>Tabla1[[#This Row],[Nombre PDF / cedula + num resolucion]]&amp;";"&amp;Tabla1[[#This Row],[instructivo]]</f>
        <v>1022379779_7533.pdf;10. Instructivo_Radicar_Activación_Credencial_DIGITAL_SIRNA.pdf</v>
      </c>
      <c r="AC76" s="7" t="str">
        <f>Tabla1[[#This Row],[Número de resolución de archivo]]&amp;"_"&amp;Tabla1[[#This Row],[Número de documento del contacto]]</f>
        <v>7533_1022379779</v>
      </c>
    </row>
    <row r="77" spans="1:29" x14ac:dyDescent="0.25">
      <c r="A77">
        <v>17871</v>
      </c>
      <c r="B77" t="s">
        <v>14</v>
      </c>
      <c r="C77" t="s">
        <v>15</v>
      </c>
      <c r="D77" t="s">
        <v>16</v>
      </c>
      <c r="E77" t="s">
        <v>17</v>
      </c>
      <c r="F77" s="14">
        <v>46149</v>
      </c>
      <c r="G77">
        <v>1027941930</v>
      </c>
      <c r="H77" t="s">
        <v>200</v>
      </c>
      <c r="I77" t="s">
        <v>201</v>
      </c>
      <c r="J77" t="s">
        <v>20</v>
      </c>
      <c r="K77" t="s">
        <v>21</v>
      </c>
      <c r="L77" s="14">
        <v>46184</v>
      </c>
      <c r="M77">
        <v>35</v>
      </c>
      <c r="N77" t="s">
        <v>22</v>
      </c>
      <c r="O77" t="s">
        <v>22</v>
      </c>
      <c r="P77" s="14">
        <v>46108</v>
      </c>
      <c r="Q77" t="s">
        <v>23</v>
      </c>
      <c r="R77" s="7">
        <f>IFERROR(VLOOKUP(Tabla1[[#This Row],[Número de documento del contacto]],'Resoluciones 1 (Res)'!$A:$C,2,0),"")</f>
        <v>7668</v>
      </c>
      <c r="S77" s="11">
        <f>IFERROR(VLOOKUP(Tabla1[[#This Row],[Número de documento del contacto]],'Resoluciones 1 (Res)'!$A:$C,3,0),"")</f>
        <v>46184.606747685197</v>
      </c>
      <c r="T77" s="7" t="str">
        <f>IFERROR(VLOOKUP(Tabla1[[#This Row],[Número de documento del contacto]],'Resoluciones 2 (Req)'!$B:$E,3,0),"")</f>
        <v>14623</v>
      </c>
      <c r="U77" s="7" t="str">
        <f t="shared" si="6"/>
        <v>7 de mayo de 2026</v>
      </c>
      <c r="V77" s="7" t="str">
        <f t="shared" si="7"/>
        <v>27 de marzo de 2026</v>
      </c>
      <c r="W77" s="8" t="str">
        <f>"1-" &amp; ROWS($W$2:W77) &amp; ".pdf"</f>
        <v>1-76.pdf</v>
      </c>
      <c r="X77" s="7" t="str">
        <f>Tabla1[[#This Row],[Número de documento del contacto]]&amp;"-"&amp;Tabla1[[#This Row],[Número de resolución de archivo]]&amp;".pdf"</f>
        <v>1027941930-7668.pdf</v>
      </c>
      <c r="Y77" s="7" t="str">
        <f t="shared" si="8"/>
        <v>ren "1-76.pdf" "1027941930-7668.pdf"</v>
      </c>
      <c r="Z77" s="7" t="str">
        <f>Tabla1[[#This Row],[Número de documento del contacto]]&amp;"_"&amp;Tabla1[[#This Row],[Número de resolución de archivo]]&amp;".pdf"</f>
        <v>1027941930_7668.pdf</v>
      </c>
      <c r="AA77" s="7" t="s">
        <v>49</v>
      </c>
      <c r="AB77" s="7" t="str">
        <f>Tabla1[[#This Row],[Nombre PDF / cedula + num resolucion]]&amp;";"&amp;Tabla1[[#This Row],[instructivo]]</f>
        <v>1027941930_7668.pdf;10. Instructivo_Radicar_Activación_Credencial_DIGITAL_SIRNA.pdf</v>
      </c>
      <c r="AC77" s="7" t="str">
        <f>Tabla1[[#This Row],[Número de resolución de archivo]]&amp;"_"&amp;Tabla1[[#This Row],[Número de documento del contacto]]</f>
        <v>7668_1027941930</v>
      </c>
    </row>
    <row r="78" spans="1:29" x14ac:dyDescent="0.25">
      <c r="A78">
        <v>18364</v>
      </c>
      <c r="B78" t="s">
        <v>14</v>
      </c>
      <c r="C78" t="s">
        <v>15</v>
      </c>
      <c r="D78" t="s">
        <v>16</v>
      </c>
      <c r="E78" t="s">
        <v>17</v>
      </c>
      <c r="F78" s="14">
        <v>46149</v>
      </c>
      <c r="G78">
        <v>1032497648</v>
      </c>
      <c r="H78" t="s">
        <v>202</v>
      </c>
      <c r="I78" t="s">
        <v>203</v>
      </c>
      <c r="J78" t="s">
        <v>20</v>
      </c>
      <c r="K78" t="s">
        <v>21</v>
      </c>
      <c r="L78" s="14">
        <v>46184</v>
      </c>
      <c r="M78">
        <v>35</v>
      </c>
      <c r="N78" t="s">
        <v>22</v>
      </c>
      <c r="O78" t="s">
        <v>22</v>
      </c>
      <c r="P78" s="14">
        <v>46112</v>
      </c>
      <c r="Q78" t="s">
        <v>23</v>
      </c>
      <c r="R78" s="7">
        <f>IFERROR(VLOOKUP(Tabla1[[#This Row],[Número de documento del contacto]],'Resoluciones 1 (Res)'!$A:$C,2,0),"")</f>
        <v>7747</v>
      </c>
      <c r="S78" s="11">
        <f>IFERROR(VLOOKUP(Tabla1[[#This Row],[Número de documento del contacto]],'Resoluciones 1 (Res)'!$A:$C,3,0),"")</f>
        <v>46184.606747685197</v>
      </c>
      <c r="T78" s="7" t="str">
        <f>IFERROR(VLOOKUP(Tabla1[[#This Row],[Número de documento del contacto]],'Resoluciones 2 (Req)'!$B:$E,3,0),"")</f>
        <v>14625</v>
      </c>
      <c r="U78" s="7" t="str">
        <f t="shared" si="6"/>
        <v>7 de mayo de 2026</v>
      </c>
      <c r="V78" s="7" t="str">
        <f t="shared" si="7"/>
        <v>31 de marzo de 2026</v>
      </c>
      <c r="W78" s="8" t="str">
        <f>"1-" &amp; ROWS($W$2:W78) &amp; ".pdf"</f>
        <v>1-77.pdf</v>
      </c>
      <c r="X78" s="7" t="str">
        <f>Tabla1[[#This Row],[Número de documento del contacto]]&amp;"-"&amp;Tabla1[[#This Row],[Número de resolución de archivo]]&amp;".pdf"</f>
        <v>1032497648-7747.pdf</v>
      </c>
      <c r="Y78" s="7" t="str">
        <f t="shared" si="8"/>
        <v>ren "1-77.pdf" "1032497648-7747.pdf"</v>
      </c>
      <c r="Z78" s="7" t="str">
        <f>Tabla1[[#This Row],[Número de documento del contacto]]&amp;"_"&amp;Tabla1[[#This Row],[Número de resolución de archivo]]&amp;".pdf"</f>
        <v>1032497648_7747.pdf</v>
      </c>
      <c r="AA78" s="7" t="s">
        <v>49</v>
      </c>
      <c r="AB78" s="7" t="str">
        <f>Tabla1[[#This Row],[Nombre PDF / cedula + num resolucion]]&amp;";"&amp;Tabla1[[#This Row],[instructivo]]</f>
        <v>1032497648_7747.pdf;10. Instructivo_Radicar_Activación_Credencial_DIGITAL_SIRNA.pdf</v>
      </c>
      <c r="AC78" s="7" t="str">
        <f>Tabla1[[#This Row],[Número de resolución de archivo]]&amp;"_"&amp;Tabla1[[#This Row],[Número de documento del contacto]]</f>
        <v>7747_1032497648</v>
      </c>
    </row>
    <row r="79" spans="1:29" x14ac:dyDescent="0.25">
      <c r="A79">
        <v>18348</v>
      </c>
      <c r="B79" t="s">
        <v>14</v>
      </c>
      <c r="C79" t="s">
        <v>15</v>
      </c>
      <c r="D79" t="s">
        <v>16</v>
      </c>
      <c r="E79" t="s">
        <v>17</v>
      </c>
      <c r="F79" s="14">
        <v>46149</v>
      </c>
      <c r="G79">
        <v>1037634082</v>
      </c>
      <c r="H79" t="s">
        <v>204</v>
      </c>
      <c r="I79" t="s">
        <v>205</v>
      </c>
      <c r="J79" t="s">
        <v>20</v>
      </c>
      <c r="K79" t="s">
        <v>21</v>
      </c>
      <c r="L79" s="14">
        <v>46184</v>
      </c>
      <c r="M79">
        <v>35</v>
      </c>
      <c r="N79" t="s">
        <v>22</v>
      </c>
      <c r="O79" t="s">
        <v>22</v>
      </c>
      <c r="P79" s="14">
        <v>46112</v>
      </c>
      <c r="Q79" t="s">
        <v>23</v>
      </c>
      <c r="R79" s="7">
        <f>IFERROR(VLOOKUP(Tabla1[[#This Row],[Número de documento del contacto]],'Resoluciones 1 (Res)'!$A:$C,2,0),"")</f>
        <v>7726</v>
      </c>
      <c r="S79" s="11">
        <f>IFERROR(VLOOKUP(Tabla1[[#This Row],[Número de documento del contacto]],'Resoluciones 1 (Res)'!$A:$C,3,0),"")</f>
        <v>46184.606747685197</v>
      </c>
      <c r="T79" s="7" t="str">
        <f>IFERROR(VLOOKUP(Tabla1[[#This Row],[Número de documento del contacto]],'Resoluciones 2 (Req)'!$B:$E,3,0),"")</f>
        <v>14626</v>
      </c>
      <c r="U79" s="7" t="str">
        <f t="shared" si="6"/>
        <v>7 de mayo de 2026</v>
      </c>
      <c r="V79" s="7" t="str">
        <f t="shared" si="7"/>
        <v>31 de marzo de 2026</v>
      </c>
      <c r="W79" s="8" t="str">
        <f>"1-" &amp; ROWS($W$2:W79) &amp; ".pdf"</f>
        <v>1-78.pdf</v>
      </c>
      <c r="X79" s="7" t="str">
        <f>Tabla1[[#This Row],[Número de documento del contacto]]&amp;"-"&amp;Tabla1[[#This Row],[Número de resolución de archivo]]&amp;".pdf"</f>
        <v>1037634082-7726.pdf</v>
      </c>
      <c r="Y79" s="7" t="str">
        <f t="shared" si="8"/>
        <v>ren "1-78.pdf" "1037634082-7726.pdf"</v>
      </c>
      <c r="Z79" s="7" t="str">
        <f>Tabla1[[#This Row],[Número de documento del contacto]]&amp;"_"&amp;Tabla1[[#This Row],[Número de resolución de archivo]]&amp;".pdf"</f>
        <v>1037634082_7726.pdf</v>
      </c>
      <c r="AA79" s="7" t="s">
        <v>49</v>
      </c>
      <c r="AB79" s="7" t="str">
        <f>Tabla1[[#This Row],[Nombre PDF / cedula + num resolucion]]&amp;";"&amp;Tabla1[[#This Row],[instructivo]]</f>
        <v>1037634082_7726.pdf;10. Instructivo_Radicar_Activación_Credencial_DIGITAL_SIRNA.pdf</v>
      </c>
      <c r="AC79" s="7" t="str">
        <f>Tabla1[[#This Row],[Número de resolución de archivo]]&amp;"_"&amp;Tabla1[[#This Row],[Número de documento del contacto]]</f>
        <v>7726_1037634082</v>
      </c>
    </row>
    <row r="80" spans="1:29" x14ac:dyDescent="0.25">
      <c r="A80">
        <v>18456</v>
      </c>
      <c r="B80" t="s">
        <v>14</v>
      </c>
      <c r="C80" t="s">
        <v>15</v>
      </c>
      <c r="D80" t="s">
        <v>16</v>
      </c>
      <c r="E80" t="s">
        <v>17</v>
      </c>
      <c r="F80" s="14">
        <v>46149</v>
      </c>
      <c r="G80">
        <v>1037661461</v>
      </c>
      <c r="H80" t="s">
        <v>206</v>
      </c>
      <c r="I80" t="s">
        <v>207</v>
      </c>
      <c r="J80" t="s">
        <v>20</v>
      </c>
      <c r="K80" t="s">
        <v>21</v>
      </c>
      <c r="L80" s="14">
        <v>46184</v>
      </c>
      <c r="M80">
        <v>35</v>
      </c>
      <c r="N80" t="s">
        <v>22</v>
      </c>
      <c r="O80" t="s">
        <v>22</v>
      </c>
      <c r="P80" s="14">
        <v>46116</v>
      </c>
      <c r="Q80" t="s">
        <v>23</v>
      </c>
      <c r="R80" s="7">
        <f>IFERROR(VLOOKUP(Tabla1[[#This Row],[Número de documento del contacto]],'Resoluciones 1 (Res)'!$A:$C,2,0),"")</f>
        <v>7598</v>
      </c>
      <c r="S80" s="11">
        <f>IFERROR(VLOOKUP(Tabla1[[#This Row],[Número de documento del contacto]],'Resoluciones 1 (Res)'!$A:$C,3,0),"")</f>
        <v>46184.606747685197</v>
      </c>
      <c r="T80" s="7" t="str">
        <f>IFERROR(VLOOKUP(Tabla1[[#This Row],[Número de documento del contacto]],'Resoluciones 2 (Req)'!$B:$E,3,0),"")</f>
        <v>14627</v>
      </c>
      <c r="U80" s="7" t="str">
        <f t="shared" si="6"/>
        <v>7 de mayo de 2026</v>
      </c>
      <c r="V80" s="7" t="str">
        <f t="shared" si="7"/>
        <v>4 de abril de 2026</v>
      </c>
      <c r="W80" s="8" t="str">
        <f>"1-" &amp; ROWS($W$2:W80) &amp; ".pdf"</f>
        <v>1-79.pdf</v>
      </c>
      <c r="X80" s="7" t="str">
        <f>Tabla1[[#This Row],[Número de documento del contacto]]&amp;"-"&amp;Tabla1[[#This Row],[Número de resolución de archivo]]&amp;".pdf"</f>
        <v>1037661461-7598.pdf</v>
      </c>
      <c r="Y80" s="7" t="str">
        <f t="shared" si="8"/>
        <v>ren "1-79.pdf" "1037661461-7598.pdf"</v>
      </c>
      <c r="Z80" s="7" t="str">
        <f>Tabla1[[#This Row],[Número de documento del contacto]]&amp;"_"&amp;Tabla1[[#This Row],[Número de resolución de archivo]]&amp;".pdf"</f>
        <v>1037661461_7598.pdf</v>
      </c>
      <c r="AA80" s="7" t="s">
        <v>49</v>
      </c>
      <c r="AB80" s="7" t="str">
        <f>Tabla1[[#This Row],[Nombre PDF / cedula + num resolucion]]&amp;";"&amp;Tabla1[[#This Row],[instructivo]]</f>
        <v>1037661461_7598.pdf;10. Instructivo_Radicar_Activación_Credencial_DIGITAL_SIRNA.pdf</v>
      </c>
      <c r="AC80" s="7" t="str">
        <f>Tabla1[[#This Row],[Número de resolución de archivo]]&amp;"_"&amp;Tabla1[[#This Row],[Número de documento del contacto]]</f>
        <v>7598_1037661461</v>
      </c>
    </row>
    <row r="81" spans="1:29" x14ac:dyDescent="0.25">
      <c r="A81">
        <v>18124</v>
      </c>
      <c r="B81" t="s">
        <v>14</v>
      </c>
      <c r="C81" t="s">
        <v>15</v>
      </c>
      <c r="D81" t="s">
        <v>16</v>
      </c>
      <c r="E81" t="s">
        <v>17</v>
      </c>
      <c r="F81" s="14">
        <v>46149</v>
      </c>
      <c r="G81">
        <v>1038809621</v>
      </c>
      <c r="H81" t="s">
        <v>208</v>
      </c>
      <c r="I81" t="s">
        <v>209</v>
      </c>
      <c r="J81" t="s">
        <v>20</v>
      </c>
      <c r="K81" t="s">
        <v>21</v>
      </c>
      <c r="L81" s="14">
        <v>46184</v>
      </c>
      <c r="M81">
        <v>35</v>
      </c>
      <c r="N81" t="s">
        <v>22</v>
      </c>
      <c r="O81" t="s">
        <v>22</v>
      </c>
      <c r="P81" s="14">
        <v>46109</v>
      </c>
      <c r="Q81" t="s">
        <v>23</v>
      </c>
      <c r="R81" s="7">
        <f>IFERROR(VLOOKUP(Tabla1[[#This Row],[Número de documento del contacto]],'Resoluciones 1 (Res)'!$A:$C,2,0),"")</f>
        <v>7741</v>
      </c>
      <c r="S81" s="11">
        <f>IFERROR(VLOOKUP(Tabla1[[#This Row],[Número de documento del contacto]],'Resoluciones 1 (Res)'!$A:$C,3,0),"")</f>
        <v>46184.606747685197</v>
      </c>
      <c r="T81" s="7" t="str">
        <f>IFERROR(VLOOKUP(Tabla1[[#This Row],[Número de documento del contacto]],'Resoluciones 2 (Req)'!$B:$E,3,0),"")</f>
        <v>14628</v>
      </c>
      <c r="U81" s="7" t="str">
        <f t="shared" si="6"/>
        <v>7 de mayo de 2026</v>
      </c>
      <c r="V81" s="7" t="str">
        <f t="shared" si="7"/>
        <v>28 de marzo de 2026</v>
      </c>
      <c r="W81" s="8" t="str">
        <f>"1-" &amp; ROWS($W$2:W81) &amp; ".pdf"</f>
        <v>1-80.pdf</v>
      </c>
      <c r="X81" s="7" t="str">
        <f>Tabla1[[#This Row],[Número de documento del contacto]]&amp;"-"&amp;Tabla1[[#This Row],[Número de resolución de archivo]]&amp;".pdf"</f>
        <v>1038809621-7741.pdf</v>
      </c>
      <c r="Y81" s="7" t="str">
        <f t="shared" si="8"/>
        <v>ren "1-80.pdf" "1038809621-7741.pdf"</v>
      </c>
      <c r="Z81" s="7" t="str">
        <f>Tabla1[[#This Row],[Número de documento del contacto]]&amp;"_"&amp;Tabla1[[#This Row],[Número de resolución de archivo]]&amp;".pdf"</f>
        <v>1038809621_7741.pdf</v>
      </c>
      <c r="AA81" s="7" t="s">
        <v>49</v>
      </c>
      <c r="AB81" s="7" t="str">
        <f>Tabla1[[#This Row],[Nombre PDF / cedula + num resolucion]]&amp;";"&amp;Tabla1[[#This Row],[instructivo]]</f>
        <v>1038809621_7741.pdf;10. Instructivo_Radicar_Activación_Credencial_DIGITAL_SIRNA.pdf</v>
      </c>
      <c r="AC81" s="7" t="str">
        <f>Tabla1[[#This Row],[Número de resolución de archivo]]&amp;"_"&amp;Tabla1[[#This Row],[Número de documento del contacto]]</f>
        <v>7741_1038809621</v>
      </c>
    </row>
    <row r="82" spans="1:29" x14ac:dyDescent="0.25">
      <c r="A82">
        <v>13825</v>
      </c>
      <c r="B82" t="s">
        <v>14</v>
      </c>
      <c r="C82" t="s">
        <v>15</v>
      </c>
      <c r="D82" t="s">
        <v>16</v>
      </c>
      <c r="E82" t="s">
        <v>17</v>
      </c>
      <c r="F82" s="14">
        <v>46149</v>
      </c>
      <c r="G82">
        <v>1045669627</v>
      </c>
      <c r="H82" t="s">
        <v>210</v>
      </c>
      <c r="I82" t="s">
        <v>211</v>
      </c>
      <c r="J82" t="s">
        <v>20</v>
      </c>
      <c r="K82" t="s">
        <v>21</v>
      </c>
      <c r="L82" s="14">
        <v>46184</v>
      </c>
      <c r="M82">
        <v>35</v>
      </c>
      <c r="N82" t="s">
        <v>22</v>
      </c>
      <c r="O82" t="s">
        <v>22</v>
      </c>
      <c r="P82" s="14">
        <v>46084</v>
      </c>
      <c r="Q82" t="s">
        <v>23</v>
      </c>
      <c r="R82" s="7">
        <f>IFERROR(VLOOKUP(Tabla1[[#This Row],[Número de documento del contacto]],'Resoluciones 1 (Res)'!$A:$C,2,0),"")</f>
        <v>7721</v>
      </c>
      <c r="S82" s="11">
        <f>IFERROR(VLOOKUP(Tabla1[[#This Row],[Número de documento del contacto]],'Resoluciones 1 (Res)'!$A:$C,3,0),"")</f>
        <v>46184.606747685197</v>
      </c>
      <c r="T82" s="7" t="str">
        <f>IFERROR(VLOOKUP(Tabla1[[#This Row],[Número de documento del contacto]],'Resoluciones 2 (Req)'!$B:$E,3,0),"")</f>
        <v>14781</v>
      </c>
      <c r="U82" s="7" t="str">
        <f t="shared" si="6"/>
        <v>7 de mayo de 2026</v>
      </c>
      <c r="V82" s="7" t="str">
        <f t="shared" si="7"/>
        <v>3 de marzo de 2026</v>
      </c>
      <c r="W82" s="8" t="str">
        <f>"1-" &amp; ROWS($W$2:W82) &amp; ".pdf"</f>
        <v>1-81.pdf</v>
      </c>
      <c r="X82" s="7" t="str">
        <f>Tabla1[[#This Row],[Número de documento del contacto]]&amp;"-"&amp;Tabla1[[#This Row],[Número de resolución de archivo]]&amp;".pdf"</f>
        <v>1045669627-7721.pdf</v>
      </c>
      <c r="Y82" s="7" t="str">
        <f t="shared" si="8"/>
        <v>ren "1-81.pdf" "1045669627-7721.pdf"</v>
      </c>
      <c r="Z82" s="7" t="str">
        <f>Tabla1[[#This Row],[Número de documento del contacto]]&amp;"_"&amp;Tabla1[[#This Row],[Número de resolución de archivo]]&amp;".pdf"</f>
        <v>1045669627_7721.pdf</v>
      </c>
      <c r="AA82" s="7" t="s">
        <v>49</v>
      </c>
      <c r="AB82" s="7" t="str">
        <f>Tabla1[[#This Row],[Nombre PDF / cedula + num resolucion]]&amp;";"&amp;Tabla1[[#This Row],[instructivo]]</f>
        <v>1045669627_7721.pdf;10. Instructivo_Radicar_Activación_Credencial_DIGITAL_SIRNA.pdf</v>
      </c>
      <c r="AC82" s="7" t="str">
        <f>Tabla1[[#This Row],[Número de resolución de archivo]]&amp;"_"&amp;Tabla1[[#This Row],[Número de documento del contacto]]</f>
        <v>7721_1045669627</v>
      </c>
    </row>
    <row r="83" spans="1:29" x14ac:dyDescent="0.25">
      <c r="A83">
        <v>14210</v>
      </c>
      <c r="B83" t="s">
        <v>14</v>
      </c>
      <c r="C83" t="s">
        <v>15</v>
      </c>
      <c r="D83" t="s">
        <v>16</v>
      </c>
      <c r="E83" t="s">
        <v>17</v>
      </c>
      <c r="F83" s="14">
        <v>46149</v>
      </c>
      <c r="G83">
        <v>1047410308</v>
      </c>
      <c r="H83" t="s">
        <v>212</v>
      </c>
      <c r="I83" t="s">
        <v>213</v>
      </c>
      <c r="J83" t="s">
        <v>20</v>
      </c>
      <c r="K83" t="s">
        <v>21</v>
      </c>
      <c r="L83" s="14">
        <v>46184</v>
      </c>
      <c r="M83">
        <v>35</v>
      </c>
      <c r="N83" t="s">
        <v>22</v>
      </c>
      <c r="O83" t="s">
        <v>22</v>
      </c>
      <c r="P83" s="14">
        <v>46085</v>
      </c>
      <c r="Q83" t="s">
        <v>23</v>
      </c>
      <c r="R83" s="7">
        <f>IFERROR(VLOOKUP(Tabla1[[#This Row],[Número de documento del contacto]],'Resoluciones 1 (Res)'!$A:$C,2,0),"")</f>
        <v>7716</v>
      </c>
      <c r="S83" s="11">
        <f>IFERROR(VLOOKUP(Tabla1[[#This Row],[Número de documento del contacto]],'Resoluciones 1 (Res)'!$A:$C,3,0),"")</f>
        <v>46184.606747685197</v>
      </c>
      <c r="T83" s="7" t="str">
        <f>IFERROR(VLOOKUP(Tabla1[[#This Row],[Número de documento del contacto]],'Resoluciones 2 (Req)'!$B:$E,3,0),"")</f>
        <v>14747</v>
      </c>
      <c r="U83" s="7" t="str">
        <f t="shared" si="6"/>
        <v>7 de mayo de 2026</v>
      </c>
      <c r="V83" s="7" t="str">
        <f t="shared" si="7"/>
        <v>4 de marzo de 2026</v>
      </c>
      <c r="W83" s="8" t="str">
        <f>"1-" &amp; ROWS($W$2:W83) &amp; ".pdf"</f>
        <v>1-82.pdf</v>
      </c>
      <c r="X83" s="7" t="str">
        <f>Tabla1[[#This Row],[Número de documento del contacto]]&amp;"-"&amp;Tabla1[[#This Row],[Número de resolución de archivo]]&amp;".pdf"</f>
        <v>1047410308-7716.pdf</v>
      </c>
      <c r="Y83" s="7" t="str">
        <f t="shared" si="8"/>
        <v>ren "1-82.pdf" "1047410308-7716.pdf"</v>
      </c>
      <c r="Z83" s="7" t="str">
        <f>Tabla1[[#This Row],[Número de documento del contacto]]&amp;"_"&amp;Tabla1[[#This Row],[Número de resolución de archivo]]&amp;".pdf"</f>
        <v>1047410308_7716.pdf</v>
      </c>
      <c r="AA83" s="7" t="s">
        <v>49</v>
      </c>
      <c r="AB83" s="7" t="str">
        <f>Tabla1[[#This Row],[Nombre PDF / cedula + num resolucion]]&amp;";"&amp;Tabla1[[#This Row],[instructivo]]</f>
        <v>1047410308_7716.pdf;10. Instructivo_Radicar_Activación_Credencial_DIGITAL_SIRNA.pdf</v>
      </c>
      <c r="AC83" s="7" t="str">
        <f>Tabla1[[#This Row],[Número de resolución de archivo]]&amp;"_"&amp;Tabla1[[#This Row],[Número de documento del contacto]]</f>
        <v>7716_1047410308</v>
      </c>
    </row>
    <row r="84" spans="1:29" x14ac:dyDescent="0.25">
      <c r="A84">
        <v>16884</v>
      </c>
      <c r="B84" t="s">
        <v>14</v>
      </c>
      <c r="C84" t="s">
        <v>15</v>
      </c>
      <c r="D84" t="s">
        <v>16</v>
      </c>
      <c r="E84" t="s">
        <v>17</v>
      </c>
      <c r="F84" s="14">
        <v>46149</v>
      </c>
      <c r="G84">
        <v>1049635484</v>
      </c>
      <c r="H84" t="s">
        <v>214</v>
      </c>
      <c r="I84" t="s">
        <v>215</v>
      </c>
      <c r="J84" t="s">
        <v>20</v>
      </c>
      <c r="K84" t="s">
        <v>21</v>
      </c>
      <c r="L84" s="14">
        <v>46184</v>
      </c>
      <c r="M84">
        <v>35</v>
      </c>
      <c r="N84" t="s">
        <v>22</v>
      </c>
      <c r="O84" t="s">
        <v>22</v>
      </c>
      <c r="P84" s="14">
        <v>46101</v>
      </c>
      <c r="Q84" t="s">
        <v>23</v>
      </c>
      <c r="R84" s="7">
        <f>IFERROR(VLOOKUP(Tabla1[[#This Row],[Número de documento del contacto]],'Resoluciones 1 (Res)'!$A:$C,2,0),"")</f>
        <v>7696</v>
      </c>
      <c r="S84" s="11">
        <f>IFERROR(VLOOKUP(Tabla1[[#This Row],[Número de documento del contacto]],'Resoluciones 1 (Res)'!$A:$C,3,0),"")</f>
        <v>46184.606747685197</v>
      </c>
      <c r="T84" s="7" t="str">
        <f>IFERROR(VLOOKUP(Tabla1[[#This Row],[Número de documento del contacto]],'Resoluciones 2 (Req)'!$B:$E,3,0),"")</f>
        <v>14696</v>
      </c>
      <c r="U84" s="7" t="str">
        <f t="shared" si="6"/>
        <v>7 de mayo de 2026</v>
      </c>
      <c r="V84" s="7" t="str">
        <f t="shared" si="7"/>
        <v>20 de marzo de 2026</v>
      </c>
      <c r="W84" s="8" t="str">
        <f>"1-" &amp; ROWS($W$2:W84) &amp; ".pdf"</f>
        <v>1-83.pdf</v>
      </c>
      <c r="X84" s="7" t="str">
        <f>Tabla1[[#This Row],[Número de documento del contacto]]&amp;"-"&amp;Tabla1[[#This Row],[Número de resolución de archivo]]&amp;".pdf"</f>
        <v>1049635484-7696.pdf</v>
      </c>
      <c r="Y84" s="7" t="str">
        <f t="shared" si="8"/>
        <v>ren "1-83.pdf" "1049635484-7696.pdf"</v>
      </c>
      <c r="Z84" s="7" t="str">
        <f>Tabla1[[#This Row],[Número de documento del contacto]]&amp;"_"&amp;Tabla1[[#This Row],[Número de resolución de archivo]]&amp;".pdf"</f>
        <v>1049635484_7696.pdf</v>
      </c>
      <c r="AA84" s="7" t="s">
        <v>49</v>
      </c>
      <c r="AB84" s="7" t="str">
        <f>Tabla1[[#This Row],[Nombre PDF / cedula + num resolucion]]&amp;";"&amp;Tabla1[[#This Row],[instructivo]]</f>
        <v>1049635484_7696.pdf;10. Instructivo_Radicar_Activación_Credencial_DIGITAL_SIRNA.pdf</v>
      </c>
      <c r="AC84" s="7" t="str">
        <f>Tabla1[[#This Row],[Número de resolución de archivo]]&amp;"_"&amp;Tabla1[[#This Row],[Número de documento del contacto]]</f>
        <v>7696_1049635484</v>
      </c>
    </row>
    <row r="85" spans="1:29" x14ac:dyDescent="0.25">
      <c r="A85">
        <v>18237</v>
      </c>
      <c r="B85" t="s">
        <v>14</v>
      </c>
      <c r="C85" t="s">
        <v>15</v>
      </c>
      <c r="D85" t="s">
        <v>16</v>
      </c>
      <c r="E85" t="s">
        <v>17</v>
      </c>
      <c r="F85" s="14">
        <v>46149</v>
      </c>
      <c r="G85">
        <v>1052985982</v>
      </c>
      <c r="H85" t="s">
        <v>216</v>
      </c>
      <c r="I85" t="s">
        <v>217</v>
      </c>
      <c r="J85" t="s">
        <v>20</v>
      </c>
      <c r="K85" t="s">
        <v>21</v>
      </c>
      <c r="L85" s="14">
        <v>46184</v>
      </c>
      <c r="M85">
        <v>35</v>
      </c>
      <c r="N85" t="s">
        <v>22</v>
      </c>
      <c r="O85" t="s">
        <v>22</v>
      </c>
      <c r="P85" s="14">
        <v>46111</v>
      </c>
      <c r="Q85" t="s">
        <v>23</v>
      </c>
      <c r="R85" s="7">
        <f>IFERROR(VLOOKUP(Tabla1[[#This Row],[Número de documento del contacto]],'Resoluciones 1 (Res)'!$A:$C,2,0),"")</f>
        <v>7452</v>
      </c>
      <c r="S85" s="11">
        <f>IFERROR(VLOOKUP(Tabla1[[#This Row],[Número de documento del contacto]],'Resoluciones 1 (Res)'!$A:$C,3,0),"")</f>
        <v>46184.606747685197</v>
      </c>
      <c r="T85" s="7" t="str">
        <f>IFERROR(VLOOKUP(Tabla1[[#This Row],[Número de documento del contacto]],'Resoluciones 2 (Req)'!$B:$E,3,0),"")</f>
        <v>14629</v>
      </c>
      <c r="U85" s="7" t="str">
        <f t="shared" si="6"/>
        <v>7 de mayo de 2026</v>
      </c>
      <c r="V85" s="7" t="str">
        <f t="shared" si="7"/>
        <v>30 de marzo de 2026</v>
      </c>
      <c r="W85" s="8" t="str">
        <f>"1-" &amp; ROWS($W$2:W85) &amp; ".pdf"</f>
        <v>1-84.pdf</v>
      </c>
      <c r="X85" s="7" t="str">
        <f>Tabla1[[#This Row],[Número de documento del contacto]]&amp;"-"&amp;Tabla1[[#This Row],[Número de resolución de archivo]]&amp;".pdf"</f>
        <v>1052985982-7452.pdf</v>
      </c>
      <c r="Y85" s="7" t="str">
        <f t="shared" si="8"/>
        <v>ren "1-84.pdf" "1052985982-7452.pdf"</v>
      </c>
      <c r="Z85" s="7" t="str">
        <f>Tabla1[[#This Row],[Número de documento del contacto]]&amp;"_"&amp;Tabla1[[#This Row],[Número de resolución de archivo]]&amp;".pdf"</f>
        <v>1052985982_7452.pdf</v>
      </c>
      <c r="AA85" s="7" t="s">
        <v>49</v>
      </c>
      <c r="AB85" s="7" t="str">
        <f>Tabla1[[#This Row],[Nombre PDF / cedula + num resolucion]]&amp;";"&amp;Tabla1[[#This Row],[instructivo]]</f>
        <v>1052985982_7452.pdf;10. Instructivo_Radicar_Activación_Credencial_DIGITAL_SIRNA.pdf</v>
      </c>
      <c r="AC85" s="7" t="str">
        <f>Tabla1[[#This Row],[Número de resolución de archivo]]&amp;"_"&amp;Tabla1[[#This Row],[Número de documento del contacto]]</f>
        <v>7452_1052985982</v>
      </c>
    </row>
    <row r="86" spans="1:29" x14ac:dyDescent="0.25">
      <c r="A86">
        <v>16918</v>
      </c>
      <c r="B86" t="s">
        <v>14</v>
      </c>
      <c r="C86" t="s">
        <v>15</v>
      </c>
      <c r="D86" t="s">
        <v>16</v>
      </c>
      <c r="E86" t="s">
        <v>17</v>
      </c>
      <c r="F86" s="14">
        <v>46149</v>
      </c>
      <c r="G86">
        <v>1053003995</v>
      </c>
      <c r="H86" t="s">
        <v>218</v>
      </c>
      <c r="I86" t="s">
        <v>219</v>
      </c>
      <c r="J86" t="s">
        <v>20</v>
      </c>
      <c r="K86" t="s">
        <v>21</v>
      </c>
      <c r="L86" s="14">
        <v>46184</v>
      </c>
      <c r="M86">
        <v>35</v>
      </c>
      <c r="N86" t="s">
        <v>22</v>
      </c>
      <c r="O86" t="s">
        <v>22</v>
      </c>
      <c r="P86" s="14">
        <v>46101</v>
      </c>
      <c r="Q86" t="s">
        <v>23</v>
      </c>
      <c r="R86" s="7">
        <f>IFERROR(VLOOKUP(Tabla1[[#This Row],[Número de documento del contacto]],'Resoluciones 1 (Res)'!$A:$C,2,0),"")</f>
        <v>7613</v>
      </c>
      <c r="S86" s="11">
        <f>IFERROR(VLOOKUP(Tabla1[[#This Row],[Número de documento del contacto]],'Resoluciones 1 (Res)'!$A:$C,3,0),"")</f>
        <v>46184.606747685197</v>
      </c>
      <c r="T86" s="7" t="str">
        <f>IFERROR(VLOOKUP(Tabla1[[#This Row],[Número de documento del contacto]],'Resoluciones 2 (Req)'!$B:$E,3,0),"")</f>
        <v>14697</v>
      </c>
      <c r="U86" s="7" t="str">
        <f t="shared" si="6"/>
        <v>7 de mayo de 2026</v>
      </c>
      <c r="V86" s="7" t="str">
        <f t="shared" si="7"/>
        <v>20 de marzo de 2026</v>
      </c>
      <c r="W86" s="8" t="str">
        <f>"1-" &amp; ROWS($W$2:W86) &amp; ".pdf"</f>
        <v>1-85.pdf</v>
      </c>
      <c r="X86" s="7" t="str">
        <f>Tabla1[[#This Row],[Número de documento del contacto]]&amp;"-"&amp;Tabla1[[#This Row],[Número de resolución de archivo]]&amp;".pdf"</f>
        <v>1053003995-7613.pdf</v>
      </c>
      <c r="Y86" s="7" t="str">
        <f t="shared" si="8"/>
        <v>ren "1-85.pdf" "1053003995-7613.pdf"</v>
      </c>
      <c r="Z86" s="7" t="str">
        <f>Tabla1[[#This Row],[Número de documento del contacto]]&amp;"_"&amp;Tabla1[[#This Row],[Número de resolución de archivo]]&amp;".pdf"</f>
        <v>1053003995_7613.pdf</v>
      </c>
      <c r="AA86" s="7" t="s">
        <v>49</v>
      </c>
      <c r="AB86" s="7" t="str">
        <f>Tabla1[[#This Row],[Nombre PDF / cedula + num resolucion]]&amp;";"&amp;Tabla1[[#This Row],[instructivo]]</f>
        <v>1053003995_7613.pdf;10. Instructivo_Radicar_Activación_Credencial_DIGITAL_SIRNA.pdf</v>
      </c>
      <c r="AC86" s="7" t="str">
        <f>Tabla1[[#This Row],[Número de resolución de archivo]]&amp;"_"&amp;Tabla1[[#This Row],[Número de documento del contacto]]</f>
        <v>7613_1053003995</v>
      </c>
    </row>
    <row r="87" spans="1:29" x14ac:dyDescent="0.25">
      <c r="A87">
        <v>16972</v>
      </c>
      <c r="B87" t="s">
        <v>14</v>
      </c>
      <c r="C87" t="s">
        <v>15</v>
      </c>
      <c r="D87" t="s">
        <v>16</v>
      </c>
      <c r="E87" t="s">
        <v>17</v>
      </c>
      <c r="F87" s="14">
        <v>46149</v>
      </c>
      <c r="G87">
        <v>1053770836</v>
      </c>
      <c r="H87" t="s">
        <v>220</v>
      </c>
      <c r="I87" t="s">
        <v>221</v>
      </c>
      <c r="J87" t="s">
        <v>20</v>
      </c>
      <c r="K87" t="s">
        <v>21</v>
      </c>
      <c r="L87" s="14">
        <v>46184</v>
      </c>
      <c r="M87">
        <v>35</v>
      </c>
      <c r="N87" t="s">
        <v>22</v>
      </c>
      <c r="O87" t="s">
        <v>22</v>
      </c>
      <c r="P87" s="14">
        <v>46101</v>
      </c>
      <c r="Q87" t="s">
        <v>23</v>
      </c>
      <c r="R87" s="7">
        <f>IFERROR(VLOOKUP(Tabla1[[#This Row],[Número de documento del contacto]],'Resoluciones 1 (Res)'!$A:$C,2,0),"")</f>
        <v>7607</v>
      </c>
      <c r="S87" s="11">
        <f>IFERROR(VLOOKUP(Tabla1[[#This Row],[Número de documento del contacto]],'Resoluciones 1 (Res)'!$A:$C,3,0),"")</f>
        <v>46184.606747685197</v>
      </c>
      <c r="T87" s="7" t="str">
        <f>IFERROR(VLOOKUP(Tabla1[[#This Row],[Número de documento del contacto]],'Resoluciones 2 (Req)'!$B:$E,3,0),"")</f>
        <v>14698</v>
      </c>
      <c r="U87" s="7" t="str">
        <f t="shared" si="6"/>
        <v>7 de mayo de 2026</v>
      </c>
      <c r="V87" s="7" t="str">
        <f t="shared" si="7"/>
        <v>20 de marzo de 2026</v>
      </c>
      <c r="W87" s="8" t="str">
        <f>"1-" &amp; ROWS($W$2:W87) &amp; ".pdf"</f>
        <v>1-86.pdf</v>
      </c>
      <c r="X87" s="7" t="str">
        <f>Tabla1[[#This Row],[Número de documento del contacto]]&amp;"-"&amp;Tabla1[[#This Row],[Número de resolución de archivo]]&amp;".pdf"</f>
        <v>1053770836-7607.pdf</v>
      </c>
      <c r="Y87" s="7" t="str">
        <f t="shared" si="8"/>
        <v>ren "1-86.pdf" "1053770836-7607.pdf"</v>
      </c>
      <c r="Z87" s="7" t="str">
        <f>Tabla1[[#This Row],[Número de documento del contacto]]&amp;"_"&amp;Tabla1[[#This Row],[Número de resolución de archivo]]&amp;".pdf"</f>
        <v>1053770836_7607.pdf</v>
      </c>
      <c r="AA87" s="7" t="s">
        <v>49</v>
      </c>
      <c r="AB87" s="7" t="str">
        <f>Tabla1[[#This Row],[Nombre PDF / cedula + num resolucion]]&amp;";"&amp;Tabla1[[#This Row],[instructivo]]</f>
        <v>1053770836_7607.pdf;10. Instructivo_Radicar_Activación_Credencial_DIGITAL_SIRNA.pdf</v>
      </c>
      <c r="AC87" s="7" t="str">
        <f>Tabla1[[#This Row],[Número de resolución de archivo]]&amp;"_"&amp;Tabla1[[#This Row],[Número de documento del contacto]]</f>
        <v>7607_1053770836</v>
      </c>
    </row>
    <row r="88" spans="1:29" x14ac:dyDescent="0.25">
      <c r="A88">
        <v>14169</v>
      </c>
      <c r="B88" t="s">
        <v>14</v>
      </c>
      <c r="C88" t="s">
        <v>15</v>
      </c>
      <c r="D88" t="s">
        <v>16</v>
      </c>
      <c r="E88" t="s">
        <v>17</v>
      </c>
      <c r="F88" s="14">
        <v>46149</v>
      </c>
      <c r="G88">
        <v>1054540169</v>
      </c>
      <c r="H88" t="s">
        <v>222</v>
      </c>
      <c r="I88" t="s">
        <v>223</v>
      </c>
      <c r="J88" t="s">
        <v>20</v>
      </c>
      <c r="K88" t="s">
        <v>21</v>
      </c>
      <c r="L88" s="14">
        <v>46184</v>
      </c>
      <c r="M88">
        <v>35</v>
      </c>
      <c r="N88" t="s">
        <v>22</v>
      </c>
      <c r="O88" t="s">
        <v>22</v>
      </c>
      <c r="P88" s="14">
        <v>46085</v>
      </c>
      <c r="Q88" t="s">
        <v>23</v>
      </c>
      <c r="R88" s="7">
        <f>IFERROR(VLOOKUP(Tabla1[[#This Row],[Número de documento del contacto]],'Resoluciones 1 (Res)'!$A:$C,2,0),"")</f>
        <v>7667</v>
      </c>
      <c r="S88" s="11">
        <f>IFERROR(VLOOKUP(Tabla1[[#This Row],[Número de documento del contacto]],'Resoluciones 1 (Res)'!$A:$C,3,0),"")</f>
        <v>46184.606747685197</v>
      </c>
      <c r="T88" s="7" t="str">
        <f>IFERROR(VLOOKUP(Tabla1[[#This Row],[Número de documento del contacto]],'Resoluciones 2 (Req)'!$B:$E,3,0),"")</f>
        <v>14748</v>
      </c>
      <c r="U88" s="7" t="str">
        <f t="shared" si="6"/>
        <v>7 de mayo de 2026</v>
      </c>
      <c r="V88" s="7" t="str">
        <f t="shared" si="7"/>
        <v>4 de marzo de 2026</v>
      </c>
      <c r="W88" s="8" t="str">
        <f>"1-" &amp; ROWS($W$2:W88) &amp; ".pdf"</f>
        <v>1-87.pdf</v>
      </c>
      <c r="X88" s="7" t="str">
        <f>Tabla1[[#This Row],[Número de documento del contacto]]&amp;"-"&amp;Tabla1[[#This Row],[Número de resolución de archivo]]&amp;".pdf"</f>
        <v>1054540169-7667.pdf</v>
      </c>
      <c r="Y88" s="7" t="str">
        <f t="shared" si="8"/>
        <v>ren "1-87.pdf" "1054540169-7667.pdf"</v>
      </c>
      <c r="Z88" s="7" t="str">
        <f>Tabla1[[#This Row],[Número de documento del contacto]]&amp;"_"&amp;Tabla1[[#This Row],[Número de resolución de archivo]]&amp;".pdf"</f>
        <v>1054540169_7667.pdf</v>
      </c>
      <c r="AA88" s="7" t="s">
        <v>49</v>
      </c>
      <c r="AB88" s="7" t="str">
        <f>Tabla1[[#This Row],[Nombre PDF / cedula + num resolucion]]&amp;";"&amp;Tabla1[[#This Row],[instructivo]]</f>
        <v>1054540169_7667.pdf;10. Instructivo_Radicar_Activación_Credencial_DIGITAL_SIRNA.pdf</v>
      </c>
      <c r="AC88" s="7" t="str">
        <f>Tabla1[[#This Row],[Número de resolución de archivo]]&amp;"_"&amp;Tabla1[[#This Row],[Número de documento del contacto]]</f>
        <v>7667_1054540169</v>
      </c>
    </row>
    <row r="89" spans="1:29" x14ac:dyDescent="0.25">
      <c r="A89">
        <v>17031</v>
      </c>
      <c r="B89" t="s">
        <v>14</v>
      </c>
      <c r="C89" t="s">
        <v>15</v>
      </c>
      <c r="D89" t="s">
        <v>16</v>
      </c>
      <c r="E89" t="s">
        <v>17</v>
      </c>
      <c r="F89" s="14">
        <v>46149</v>
      </c>
      <c r="G89">
        <v>1055962844</v>
      </c>
      <c r="H89" t="s">
        <v>224</v>
      </c>
      <c r="I89" t="s">
        <v>225</v>
      </c>
      <c r="J89" t="s">
        <v>20</v>
      </c>
      <c r="K89" t="s">
        <v>21</v>
      </c>
      <c r="L89" s="14">
        <v>46184</v>
      </c>
      <c r="M89">
        <v>35</v>
      </c>
      <c r="N89" t="s">
        <v>22</v>
      </c>
      <c r="O89" t="s">
        <v>22</v>
      </c>
      <c r="P89" s="14">
        <v>46102</v>
      </c>
      <c r="Q89" t="s">
        <v>23</v>
      </c>
      <c r="R89" s="7">
        <f>IFERROR(VLOOKUP(Tabla1[[#This Row],[Número de documento del contacto]],'Resoluciones 1 (Res)'!$A:$C,2,0),"")</f>
        <v>7691</v>
      </c>
      <c r="S89" s="11">
        <f>IFERROR(VLOOKUP(Tabla1[[#This Row],[Número de documento del contacto]],'Resoluciones 1 (Res)'!$A:$C,3,0),"")</f>
        <v>46184.606747685197</v>
      </c>
      <c r="T89" s="7" t="str">
        <f>IFERROR(VLOOKUP(Tabla1[[#This Row],[Número de documento del contacto]],'Resoluciones 2 (Req)'!$B:$E,3,0),"")</f>
        <v>14699</v>
      </c>
      <c r="U89" s="7" t="str">
        <f t="shared" si="6"/>
        <v>7 de mayo de 2026</v>
      </c>
      <c r="V89" s="7" t="str">
        <f t="shared" si="7"/>
        <v>21 de marzo de 2026</v>
      </c>
      <c r="W89" s="8" t="str">
        <f>"1-" &amp; ROWS($W$2:W89) &amp; ".pdf"</f>
        <v>1-88.pdf</v>
      </c>
      <c r="X89" s="7" t="str">
        <f>Tabla1[[#This Row],[Número de documento del contacto]]&amp;"-"&amp;Tabla1[[#This Row],[Número de resolución de archivo]]&amp;".pdf"</f>
        <v>1055962844-7691.pdf</v>
      </c>
      <c r="Y89" s="7" t="str">
        <f t="shared" si="8"/>
        <v>ren "1-88.pdf" "1055962844-7691.pdf"</v>
      </c>
      <c r="Z89" s="7" t="str">
        <f>Tabla1[[#This Row],[Número de documento del contacto]]&amp;"_"&amp;Tabla1[[#This Row],[Número de resolución de archivo]]&amp;".pdf"</f>
        <v>1055962844_7691.pdf</v>
      </c>
      <c r="AA89" s="7" t="s">
        <v>49</v>
      </c>
      <c r="AB89" s="7" t="str">
        <f>Tabla1[[#This Row],[Nombre PDF / cedula + num resolucion]]&amp;";"&amp;Tabla1[[#This Row],[instructivo]]</f>
        <v>1055962844_7691.pdf;10. Instructivo_Radicar_Activación_Credencial_DIGITAL_SIRNA.pdf</v>
      </c>
      <c r="AC89" s="7" t="str">
        <f>Tabla1[[#This Row],[Número de resolución de archivo]]&amp;"_"&amp;Tabla1[[#This Row],[Número de documento del contacto]]</f>
        <v>7691_1055962844</v>
      </c>
    </row>
    <row r="90" spans="1:29" x14ac:dyDescent="0.25">
      <c r="A90">
        <v>17726</v>
      </c>
      <c r="B90" t="s">
        <v>14</v>
      </c>
      <c r="C90" t="s">
        <v>15</v>
      </c>
      <c r="D90" t="s">
        <v>16</v>
      </c>
      <c r="E90" t="s">
        <v>17</v>
      </c>
      <c r="F90" s="14">
        <v>46149</v>
      </c>
      <c r="G90">
        <v>1061693674</v>
      </c>
      <c r="H90" t="s">
        <v>226</v>
      </c>
      <c r="I90" t="s">
        <v>227</v>
      </c>
      <c r="J90" t="s">
        <v>20</v>
      </c>
      <c r="K90" t="s">
        <v>21</v>
      </c>
      <c r="L90" s="14">
        <v>46184</v>
      </c>
      <c r="M90">
        <v>35</v>
      </c>
      <c r="N90" t="s">
        <v>22</v>
      </c>
      <c r="O90" t="s">
        <v>22</v>
      </c>
      <c r="P90" s="14">
        <v>46107</v>
      </c>
      <c r="Q90" t="s">
        <v>23</v>
      </c>
      <c r="R90" s="7">
        <f>IFERROR(VLOOKUP(Tabla1[[#This Row],[Número de documento del contacto]],'Resoluciones 1 (Res)'!$A:$C,2,0),"")</f>
        <v>7568</v>
      </c>
      <c r="S90" s="11">
        <f>IFERROR(VLOOKUP(Tabla1[[#This Row],[Número de documento del contacto]],'Resoluciones 1 (Res)'!$A:$C,3,0),"")</f>
        <v>46184.606747685197</v>
      </c>
      <c r="T90" s="7" t="str">
        <f>IFERROR(VLOOKUP(Tabla1[[#This Row],[Número de documento del contacto]],'Resoluciones 2 (Req)'!$B:$E,3,0),"")</f>
        <v>14700</v>
      </c>
      <c r="U90" s="7" t="str">
        <f t="shared" si="6"/>
        <v>7 de mayo de 2026</v>
      </c>
      <c r="V90" s="7" t="str">
        <f t="shared" si="7"/>
        <v>26 de marzo de 2026</v>
      </c>
      <c r="W90" s="8" t="str">
        <f>"1-" &amp; ROWS($W$2:W90) &amp; ".pdf"</f>
        <v>1-89.pdf</v>
      </c>
      <c r="X90" s="7" t="str">
        <f>Tabla1[[#This Row],[Número de documento del contacto]]&amp;"-"&amp;Tabla1[[#This Row],[Número de resolución de archivo]]&amp;".pdf"</f>
        <v>1061693674-7568.pdf</v>
      </c>
      <c r="Y90" s="7" t="str">
        <f t="shared" si="8"/>
        <v>ren "1-89.pdf" "1061693674-7568.pdf"</v>
      </c>
      <c r="Z90" s="7" t="str">
        <f>Tabla1[[#This Row],[Número de documento del contacto]]&amp;"_"&amp;Tabla1[[#This Row],[Número de resolución de archivo]]&amp;".pdf"</f>
        <v>1061693674_7568.pdf</v>
      </c>
      <c r="AA90" s="7" t="s">
        <v>49</v>
      </c>
      <c r="AB90" s="7" t="str">
        <f>Tabla1[[#This Row],[Nombre PDF / cedula + num resolucion]]&amp;";"&amp;Tabla1[[#This Row],[instructivo]]</f>
        <v>1061693674_7568.pdf;10. Instructivo_Radicar_Activación_Credencial_DIGITAL_SIRNA.pdf</v>
      </c>
      <c r="AC90" s="7" t="str">
        <f>Tabla1[[#This Row],[Número de resolución de archivo]]&amp;"_"&amp;Tabla1[[#This Row],[Número de documento del contacto]]</f>
        <v>7568_1061693674</v>
      </c>
    </row>
    <row r="91" spans="1:29" x14ac:dyDescent="0.25">
      <c r="A91">
        <v>17741</v>
      </c>
      <c r="B91" t="s">
        <v>14</v>
      </c>
      <c r="C91" t="s">
        <v>15</v>
      </c>
      <c r="D91" t="s">
        <v>16</v>
      </c>
      <c r="E91" t="s">
        <v>17</v>
      </c>
      <c r="F91" s="14">
        <v>46149</v>
      </c>
      <c r="G91">
        <v>1065002465</v>
      </c>
      <c r="H91" t="s">
        <v>228</v>
      </c>
      <c r="I91" t="s">
        <v>229</v>
      </c>
      <c r="J91" t="s">
        <v>20</v>
      </c>
      <c r="K91" t="s">
        <v>21</v>
      </c>
      <c r="L91" s="14">
        <v>46184</v>
      </c>
      <c r="M91">
        <v>35</v>
      </c>
      <c r="N91" t="s">
        <v>22</v>
      </c>
      <c r="O91" t="s">
        <v>22</v>
      </c>
      <c r="P91" s="14">
        <v>46107</v>
      </c>
      <c r="Q91" t="s">
        <v>23</v>
      </c>
      <c r="R91" s="7">
        <f>IFERROR(VLOOKUP(Tabla1[[#This Row],[Número de documento del contacto]],'Resoluciones 1 (Res)'!$A:$C,2,0),"")</f>
        <v>7425</v>
      </c>
      <c r="S91" s="11">
        <f>IFERROR(VLOOKUP(Tabla1[[#This Row],[Número de documento del contacto]],'Resoluciones 1 (Res)'!$A:$C,3,0),"")</f>
        <v>46184.541458333297</v>
      </c>
      <c r="T91" s="7" t="str">
        <f>IFERROR(VLOOKUP(Tabla1[[#This Row],[Número de documento del contacto]],'Resoluciones 2 (Req)'!$B:$E,3,0),"")</f>
        <v>14701</v>
      </c>
      <c r="U91" s="7" t="str">
        <f t="shared" si="6"/>
        <v>7 de mayo de 2026</v>
      </c>
      <c r="V91" s="7" t="str">
        <f t="shared" si="7"/>
        <v>26 de marzo de 2026</v>
      </c>
      <c r="W91" s="8" t="str">
        <f>"1-" &amp; ROWS($W$2:W91) &amp; ".pdf"</f>
        <v>1-90.pdf</v>
      </c>
      <c r="X91" s="7" t="str">
        <f>Tabla1[[#This Row],[Número de documento del contacto]]&amp;"-"&amp;Tabla1[[#This Row],[Número de resolución de archivo]]&amp;".pdf"</f>
        <v>1065002465-7425.pdf</v>
      </c>
      <c r="Y91" s="7" t="str">
        <f t="shared" si="8"/>
        <v>ren "1-90.pdf" "1065002465-7425.pdf"</v>
      </c>
      <c r="Z91" s="7" t="str">
        <f>Tabla1[[#This Row],[Número de documento del contacto]]&amp;"_"&amp;Tabla1[[#This Row],[Número de resolución de archivo]]&amp;".pdf"</f>
        <v>1065002465_7425.pdf</v>
      </c>
      <c r="AA91" s="7" t="s">
        <v>49</v>
      </c>
      <c r="AB91" s="7" t="str">
        <f>Tabla1[[#This Row],[Nombre PDF / cedula + num resolucion]]&amp;";"&amp;Tabla1[[#This Row],[instructivo]]</f>
        <v>1065002465_7425.pdf;10. Instructivo_Radicar_Activación_Credencial_DIGITAL_SIRNA.pdf</v>
      </c>
      <c r="AC91" s="7" t="str">
        <f>Tabla1[[#This Row],[Número de resolución de archivo]]&amp;"_"&amp;Tabla1[[#This Row],[Número de documento del contacto]]</f>
        <v>7425_1065002465</v>
      </c>
    </row>
    <row r="92" spans="1:29" x14ac:dyDescent="0.25">
      <c r="A92">
        <v>13804</v>
      </c>
      <c r="B92" t="s">
        <v>14</v>
      </c>
      <c r="C92" t="s">
        <v>15</v>
      </c>
      <c r="D92" t="s">
        <v>16</v>
      </c>
      <c r="E92" t="s">
        <v>17</v>
      </c>
      <c r="F92" s="14">
        <v>46149</v>
      </c>
      <c r="G92">
        <v>1067885609</v>
      </c>
      <c r="H92" t="s">
        <v>230</v>
      </c>
      <c r="I92" t="s">
        <v>231</v>
      </c>
      <c r="J92" t="s">
        <v>20</v>
      </c>
      <c r="K92" t="s">
        <v>21</v>
      </c>
      <c r="L92" s="14">
        <v>46184</v>
      </c>
      <c r="M92">
        <v>35</v>
      </c>
      <c r="N92" t="s">
        <v>22</v>
      </c>
      <c r="O92" t="s">
        <v>22</v>
      </c>
      <c r="P92" s="14">
        <v>46084</v>
      </c>
      <c r="Q92" t="s">
        <v>23</v>
      </c>
      <c r="R92" s="7">
        <f>IFERROR(VLOOKUP(Tabla1[[#This Row],[Número de documento del contacto]],'Resoluciones 1 (Res)'!$A:$C,2,0),"")</f>
        <v>7734</v>
      </c>
      <c r="S92" s="11">
        <f>IFERROR(VLOOKUP(Tabla1[[#This Row],[Número de documento del contacto]],'Resoluciones 1 (Res)'!$A:$C,3,0),"")</f>
        <v>46184.606747685197</v>
      </c>
      <c r="T92" s="7" t="str">
        <f>IFERROR(VLOOKUP(Tabla1[[#This Row],[Número de documento del contacto]],'Resoluciones 2 (Req)'!$B:$E,3,0),"")</f>
        <v>14783</v>
      </c>
      <c r="U92" s="7" t="str">
        <f t="shared" si="6"/>
        <v>7 de mayo de 2026</v>
      </c>
      <c r="V92" s="7" t="str">
        <f t="shared" si="7"/>
        <v>3 de marzo de 2026</v>
      </c>
      <c r="W92" s="8" t="str">
        <f>"1-" &amp; ROWS($W$2:W92) &amp; ".pdf"</f>
        <v>1-91.pdf</v>
      </c>
      <c r="X92" s="7" t="str">
        <f>Tabla1[[#This Row],[Número de documento del contacto]]&amp;"-"&amp;Tabla1[[#This Row],[Número de resolución de archivo]]&amp;".pdf"</f>
        <v>1067885609-7734.pdf</v>
      </c>
      <c r="Y92" s="7" t="str">
        <f t="shared" si="8"/>
        <v>ren "1-91.pdf" "1067885609-7734.pdf"</v>
      </c>
      <c r="Z92" s="7" t="str">
        <f>Tabla1[[#This Row],[Número de documento del contacto]]&amp;"_"&amp;Tabla1[[#This Row],[Número de resolución de archivo]]&amp;".pdf"</f>
        <v>1067885609_7734.pdf</v>
      </c>
      <c r="AA92" s="7" t="s">
        <v>49</v>
      </c>
      <c r="AB92" s="7" t="str">
        <f>Tabla1[[#This Row],[Nombre PDF / cedula + num resolucion]]&amp;";"&amp;Tabla1[[#This Row],[instructivo]]</f>
        <v>1067885609_7734.pdf;10. Instructivo_Radicar_Activación_Credencial_DIGITAL_SIRNA.pdf</v>
      </c>
      <c r="AC92" s="7" t="str">
        <f>Tabla1[[#This Row],[Número de resolución de archivo]]&amp;"_"&amp;Tabla1[[#This Row],[Número de documento del contacto]]</f>
        <v>7734_1067885609</v>
      </c>
    </row>
    <row r="93" spans="1:29" x14ac:dyDescent="0.25">
      <c r="A93">
        <v>17689</v>
      </c>
      <c r="B93" t="s">
        <v>14</v>
      </c>
      <c r="C93" t="s">
        <v>15</v>
      </c>
      <c r="D93" t="s">
        <v>16</v>
      </c>
      <c r="E93" t="s">
        <v>17</v>
      </c>
      <c r="F93" s="14">
        <v>46149</v>
      </c>
      <c r="G93">
        <v>1073506423</v>
      </c>
      <c r="H93" t="s">
        <v>232</v>
      </c>
      <c r="I93" t="s">
        <v>233</v>
      </c>
      <c r="J93" t="s">
        <v>20</v>
      </c>
      <c r="K93" t="s">
        <v>21</v>
      </c>
      <c r="L93" s="14">
        <v>46184</v>
      </c>
      <c r="M93">
        <v>35</v>
      </c>
      <c r="N93" t="s">
        <v>22</v>
      </c>
      <c r="O93" t="s">
        <v>22</v>
      </c>
      <c r="P93" s="14">
        <v>46107</v>
      </c>
      <c r="Q93" t="s">
        <v>23</v>
      </c>
      <c r="R93" s="7">
        <f>IFERROR(VLOOKUP(Tabla1[[#This Row],[Número de documento del contacto]],'Resoluciones 1 (Res)'!$A:$C,2,0),"")</f>
        <v>7474</v>
      </c>
      <c r="S93" s="11">
        <f>IFERROR(VLOOKUP(Tabla1[[#This Row],[Número de documento del contacto]],'Resoluciones 1 (Res)'!$A:$C,3,0),"")</f>
        <v>46184.606747685197</v>
      </c>
      <c r="T93" s="7" t="str">
        <f>IFERROR(VLOOKUP(Tabla1[[#This Row],[Número de documento del contacto]],'Resoluciones 2 (Req)'!$B:$E,3,0),"")</f>
        <v>14702</v>
      </c>
      <c r="U93" s="7" t="str">
        <f t="shared" si="6"/>
        <v>7 de mayo de 2026</v>
      </c>
      <c r="V93" s="7" t="str">
        <f t="shared" si="7"/>
        <v>26 de marzo de 2026</v>
      </c>
      <c r="W93" s="8" t="str">
        <f>"1-" &amp; ROWS($W$2:W93) &amp; ".pdf"</f>
        <v>1-92.pdf</v>
      </c>
      <c r="X93" s="7" t="str">
        <f>Tabla1[[#This Row],[Número de documento del contacto]]&amp;"-"&amp;Tabla1[[#This Row],[Número de resolución de archivo]]&amp;".pdf"</f>
        <v>1073506423-7474.pdf</v>
      </c>
      <c r="Y93" s="7" t="str">
        <f t="shared" si="8"/>
        <v>ren "1-92.pdf" "1073506423-7474.pdf"</v>
      </c>
      <c r="Z93" s="7" t="str">
        <f>Tabla1[[#This Row],[Número de documento del contacto]]&amp;"_"&amp;Tabla1[[#This Row],[Número de resolución de archivo]]&amp;".pdf"</f>
        <v>1073506423_7474.pdf</v>
      </c>
      <c r="AA93" s="7" t="s">
        <v>49</v>
      </c>
      <c r="AB93" s="7" t="str">
        <f>Tabla1[[#This Row],[Nombre PDF / cedula + num resolucion]]&amp;";"&amp;Tabla1[[#This Row],[instructivo]]</f>
        <v>1073506423_7474.pdf;10. Instructivo_Radicar_Activación_Credencial_DIGITAL_SIRNA.pdf</v>
      </c>
      <c r="AC93" s="7" t="str">
        <f>Tabla1[[#This Row],[Número de resolución de archivo]]&amp;"_"&amp;Tabla1[[#This Row],[Número de documento del contacto]]</f>
        <v>7474_1073506423</v>
      </c>
    </row>
    <row r="94" spans="1:29" x14ac:dyDescent="0.25">
      <c r="A94">
        <v>18131</v>
      </c>
      <c r="B94" t="s">
        <v>14</v>
      </c>
      <c r="C94" t="s">
        <v>15</v>
      </c>
      <c r="D94" t="s">
        <v>16</v>
      </c>
      <c r="E94" t="s">
        <v>17</v>
      </c>
      <c r="F94" s="14">
        <v>46149</v>
      </c>
      <c r="G94">
        <v>1075229316</v>
      </c>
      <c r="H94" t="s">
        <v>234</v>
      </c>
      <c r="I94" t="s">
        <v>235</v>
      </c>
      <c r="J94" t="s">
        <v>20</v>
      </c>
      <c r="K94" t="s">
        <v>21</v>
      </c>
      <c r="L94" s="14">
        <v>46184</v>
      </c>
      <c r="M94">
        <v>35</v>
      </c>
      <c r="N94" t="s">
        <v>22</v>
      </c>
      <c r="O94" t="s">
        <v>22</v>
      </c>
      <c r="P94" s="14">
        <v>46110</v>
      </c>
      <c r="Q94" t="s">
        <v>23</v>
      </c>
      <c r="R94" s="7">
        <f>IFERROR(VLOOKUP(Tabla1[[#This Row],[Número de documento del contacto]],'Resoluciones 1 (Res)'!$A:$C,2,0),"")</f>
        <v>7591</v>
      </c>
      <c r="S94" s="11">
        <f>IFERROR(VLOOKUP(Tabla1[[#This Row],[Número de documento del contacto]],'Resoluciones 1 (Res)'!$A:$C,3,0),"")</f>
        <v>46184.606747685197</v>
      </c>
      <c r="T94" s="7" t="str">
        <f>IFERROR(VLOOKUP(Tabla1[[#This Row],[Número de documento del contacto]],'Resoluciones 2 (Req)'!$B:$E,3,0),"")</f>
        <v>14630</v>
      </c>
      <c r="U94" s="7" t="str">
        <f t="shared" si="6"/>
        <v>7 de mayo de 2026</v>
      </c>
      <c r="V94" s="7" t="str">
        <f t="shared" si="7"/>
        <v>29 de marzo de 2026</v>
      </c>
      <c r="W94" s="8" t="str">
        <f>"1-" &amp; ROWS($W$2:W94) &amp; ".pdf"</f>
        <v>1-93.pdf</v>
      </c>
      <c r="X94" s="7" t="str">
        <f>Tabla1[[#This Row],[Número de documento del contacto]]&amp;"-"&amp;Tabla1[[#This Row],[Número de resolución de archivo]]&amp;".pdf"</f>
        <v>1075229316-7591.pdf</v>
      </c>
      <c r="Y94" s="7" t="str">
        <f t="shared" si="8"/>
        <v>ren "1-93.pdf" "1075229316-7591.pdf"</v>
      </c>
      <c r="Z94" s="7" t="str">
        <f>Tabla1[[#This Row],[Número de documento del contacto]]&amp;"_"&amp;Tabla1[[#This Row],[Número de resolución de archivo]]&amp;".pdf"</f>
        <v>1075229316_7591.pdf</v>
      </c>
      <c r="AA94" s="7" t="s">
        <v>49</v>
      </c>
      <c r="AB94" s="7" t="str">
        <f>Tabla1[[#This Row],[Nombre PDF / cedula + num resolucion]]&amp;";"&amp;Tabla1[[#This Row],[instructivo]]</f>
        <v>1075229316_7591.pdf;10. Instructivo_Radicar_Activación_Credencial_DIGITAL_SIRNA.pdf</v>
      </c>
      <c r="AC94" s="7" t="str">
        <f>Tabla1[[#This Row],[Número de resolución de archivo]]&amp;"_"&amp;Tabla1[[#This Row],[Número de documento del contacto]]</f>
        <v>7591_1075229316</v>
      </c>
    </row>
    <row r="95" spans="1:29" x14ac:dyDescent="0.25">
      <c r="A95">
        <v>18281</v>
      </c>
      <c r="B95" t="s">
        <v>14</v>
      </c>
      <c r="C95" t="s">
        <v>15</v>
      </c>
      <c r="D95" t="s">
        <v>16</v>
      </c>
      <c r="E95" t="s">
        <v>17</v>
      </c>
      <c r="F95" s="14">
        <v>46149</v>
      </c>
      <c r="G95">
        <v>1075235815</v>
      </c>
      <c r="H95" t="s">
        <v>236</v>
      </c>
      <c r="I95" t="s">
        <v>237</v>
      </c>
      <c r="J95" t="s">
        <v>20</v>
      </c>
      <c r="K95" t="s">
        <v>21</v>
      </c>
      <c r="L95" s="14">
        <v>46184</v>
      </c>
      <c r="M95">
        <v>35</v>
      </c>
      <c r="N95" t="s">
        <v>22</v>
      </c>
      <c r="O95" t="s">
        <v>22</v>
      </c>
      <c r="P95" s="14">
        <v>46111</v>
      </c>
      <c r="Q95" t="s">
        <v>23</v>
      </c>
      <c r="R95" s="7">
        <f>IFERROR(VLOOKUP(Tabla1[[#This Row],[Número de documento del contacto]],'Resoluciones 1 (Res)'!$A:$C,2,0),"")</f>
        <v>7604</v>
      </c>
      <c r="S95" s="11">
        <f>IFERROR(VLOOKUP(Tabla1[[#This Row],[Número de documento del contacto]],'Resoluciones 1 (Res)'!$A:$C,3,0),"")</f>
        <v>46184.606747685197</v>
      </c>
      <c r="T95" s="7" t="str">
        <f>IFERROR(VLOOKUP(Tabla1[[#This Row],[Número de documento del contacto]],'Resoluciones 2 (Req)'!$B:$E,3,0),"")</f>
        <v>14631</v>
      </c>
      <c r="U95" s="7" t="str">
        <f t="shared" si="6"/>
        <v>7 de mayo de 2026</v>
      </c>
      <c r="V95" s="7" t="str">
        <f t="shared" si="7"/>
        <v>30 de marzo de 2026</v>
      </c>
      <c r="W95" s="8" t="str">
        <f>"1-" &amp; ROWS($W$2:W95) &amp; ".pdf"</f>
        <v>1-94.pdf</v>
      </c>
      <c r="X95" s="7" t="str">
        <f>Tabla1[[#This Row],[Número de documento del contacto]]&amp;"-"&amp;Tabla1[[#This Row],[Número de resolución de archivo]]&amp;".pdf"</f>
        <v>1075235815-7604.pdf</v>
      </c>
      <c r="Y95" s="7" t="str">
        <f t="shared" si="8"/>
        <v>ren "1-94.pdf" "1075235815-7604.pdf"</v>
      </c>
      <c r="Z95" s="7" t="str">
        <f>Tabla1[[#This Row],[Número de documento del contacto]]&amp;"_"&amp;Tabla1[[#This Row],[Número de resolución de archivo]]&amp;".pdf"</f>
        <v>1075235815_7604.pdf</v>
      </c>
      <c r="AA95" s="7" t="s">
        <v>49</v>
      </c>
      <c r="AB95" s="7" t="str">
        <f>Tabla1[[#This Row],[Nombre PDF / cedula + num resolucion]]&amp;";"&amp;Tabla1[[#This Row],[instructivo]]</f>
        <v>1075235815_7604.pdf;10. Instructivo_Radicar_Activación_Credencial_DIGITAL_SIRNA.pdf</v>
      </c>
      <c r="AC95" s="7" t="str">
        <f>Tabla1[[#This Row],[Número de resolución de archivo]]&amp;"_"&amp;Tabla1[[#This Row],[Número de documento del contacto]]</f>
        <v>7604_1075235815</v>
      </c>
    </row>
    <row r="96" spans="1:29" x14ac:dyDescent="0.25">
      <c r="A96">
        <v>18412</v>
      </c>
      <c r="B96" t="s">
        <v>14</v>
      </c>
      <c r="C96" t="s">
        <v>15</v>
      </c>
      <c r="D96" t="s">
        <v>16</v>
      </c>
      <c r="E96" t="s">
        <v>17</v>
      </c>
      <c r="F96" s="14">
        <v>46149</v>
      </c>
      <c r="G96">
        <v>1075293567</v>
      </c>
      <c r="H96" t="s">
        <v>238</v>
      </c>
      <c r="I96" t="s">
        <v>239</v>
      </c>
      <c r="J96" t="s">
        <v>20</v>
      </c>
      <c r="K96" t="s">
        <v>21</v>
      </c>
      <c r="L96" s="14">
        <v>46184</v>
      </c>
      <c r="M96">
        <v>35</v>
      </c>
      <c r="N96" t="s">
        <v>22</v>
      </c>
      <c r="O96" t="s">
        <v>22</v>
      </c>
      <c r="P96" s="14">
        <v>46114</v>
      </c>
      <c r="Q96" t="s">
        <v>23</v>
      </c>
      <c r="R96" s="7">
        <f>IFERROR(VLOOKUP(Tabla1[[#This Row],[Número de documento del contacto]],'Resoluciones 1 (Res)'!$A:$C,2,0),"")</f>
        <v>7488</v>
      </c>
      <c r="S96" s="11">
        <f>IFERROR(VLOOKUP(Tabla1[[#This Row],[Número de documento del contacto]],'Resoluciones 1 (Res)'!$A:$C,3,0),"")</f>
        <v>46184.606747685197</v>
      </c>
      <c r="T96" s="7" t="str">
        <f>IFERROR(VLOOKUP(Tabla1[[#This Row],[Número de documento del contacto]],'Resoluciones 2 (Req)'!$B:$E,3,0),"")</f>
        <v>14632</v>
      </c>
      <c r="U96" s="7" t="str">
        <f t="shared" si="6"/>
        <v>7 de mayo de 2026</v>
      </c>
      <c r="V96" s="7" t="str">
        <f t="shared" si="7"/>
        <v>2 de abril de 2026</v>
      </c>
      <c r="W96" s="8" t="str">
        <f>"1-" &amp; ROWS($W$2:W96) &amp; ".pdf"</f>
        <v>1-95.pdf</v>
      </c>
      <c r="X96" s="7" t="str">
        <f>Tabla1[[#This Row],[Número de documento del contacto]]&amp;"-"&amp;Tabla1[[#This Row],[Número de resolución de archivo]]&amp;".pdf"</f>
        <v>1075293567-7488.pdf</v>
      </c>
      <c r="Y96" s="7" t="str">
        <f t="shared" si="8"/>
        <v>ren "1-95.pdf" "1075293567-7488.pdf"</v>
      </c>
      <c r="Z96" s="7" t="str">
        <f>Tabla1[[#This Row],[Número de documento del contacto]]&amp;"_"&amp;Tabla1[[#This Row],[Número de resolución de archivo]]&amp;".pdf"</f>
        <v>1075293567_7488.pdf</v>
      </c>
      <c r="AA96" s="7" t="s">
        <v>49</v>
      </c>
      <c r="AB96" s="7" t="str">
        <f>Tabla1[[#This Row],[Nombre PDF / cedula + num resolucion]]&amp;";"&amp;Tabla1[[#This Row],[instructivo]]</f>
        <v>1075293567_7488.pdf;10. Instructivo_Radicar_Activación_Credencial_DIGITAL_SIRNA.pdf</v>
      </c>
      <c r="AC96" s="7" t="str">
        <f>Tabla1[[#This Row],[Número de resolución de archivo]]&amp;"_"&amp;Tabla1[[#This Row],[Número de documento del contacto]]</f>
        <v>7488_1075293567</v>
      </c>
    </row>
    <row r="97" spans="1:29" x14ac:dyDescent="0.25">
      <c r="A97">
        <v>14075</v>
      </c>
      <c r="B97" t="s">
        <v>14</v>
      </c>
      <c r="C97" t="s">
        <v>15</v>
      </c>
      <c r="D97" t="s">
        <v>16</v>
      </c>
      <c r="E97" t="s">
        <v>17</v>
      </c>
      <c r="F97" s="14">
        <v>46149</v>
      </c>
      <c r="G97">
        <v>1075300872</v>
      </c>
      <c r="H97" t="s">
        <v>240</v>
      </c>
      <c r="I97" t="s">
        <v>241</v>
      </c>
      <c r="J97" t="s">
        <v>20</v>
      </c>
      <c r="K97" t="s">
        <v>21</v>
      </c>
      <c r="L97" s="14">
        <v>46184</v>
      </c>
      <c r="M97">
        <v>35</v>
      </c>
      <c r="N97" t="s">
        <v>22</v>
      </c>
      <c r="O97" t="s">
        <v>22</v>
      </c>
      <c r="P97" s="14">
        <v>46085</v>
      </c>
      <c r="Q97" t="s">
        <v>23</v>
      </c>
      <c r="R97" s="7">
        <f>IFERROR(VLOOKUP(Tabla1[[#This Row],[Número de documento del contacto]],'Resoluciones 1 (Res)'!$A:$C,2,0),"")</f>
        <v>7614</v>
      </c>
      <c r="S97" s="11">
        <f>IFERROR(VLOOKUP(Tabla1[[#This Row],[Número de documento del contacto]],'Resoluciones 1 (Res)'!$A:$C,3,0),"")</f>
        <v>46184.606747685197</v>
      </c>
      <c r="T97" s="7" t="str">
        <f>IFERROR(VLOOKUP(Tabla1[[#This Row],[Número de documento del contacto]],'Resoluciones 2 (Req)'!$B:$E,3,0),"")</f>
        <v>14749</v>
      </c>
      <c r="U97" s="7" t="str">
        <f t="shared" si="6"/>
        <v>7 de mayo de 2026</v>
      </c>
      <c r="V97" s="7" t="str">
        <f t="shared" si="7"/>
        <v>4 de marzo de 2026</v>
      </c>
      <c r="W97" s="8" t="str">
        <f>"1-" &amp; ROWS($W$2:W97) &amp; ".pdf"</f>
        <v>1-96.pdf</v>
      </c>
      <c r="X97" s="7" t="str">
        <f>Tabla1[[#This Row],[Número de documento del contacto]]&amp;"-"&amp;Tabla1[[#This Row],[Número de resolución de archivo]]&amp;".pdf"</f>
        <v>1075300872-7614.pdf</v>
      </c>
      <c r="Y97" s="7" t="str">
        <f t="shared" si="8"/>
        <v>ren "1-96.pdf" "1075300872-7614.pdf"</v>
      </c>
      <c r="Z97" s="7" t="str">
        <f>Tabla1[[#This Row],[Número de documento del contacto]]&amp;"_"&amp;Tabla1[[#This Row],[Número de resolución de archivo]]&amp;".pdf"</f>
        <v>1075300872_7614.pdf</v>
      </c>
      <c r="AA97" s="7" t="s">
        <v>49</v>
      </c>
      <c r="AB97" s="7" t="str">
        <f>Tabla1[[#This Row],[Nombre PDF / cedula + num resolucion]]&amp;";"&amp;Tabla1[[#This Row],[instructivo]]</f>
        <v>1075300872_7614.pdf;10. Instructivo_Radicar_Activación_Credencial_DIGITAL_SIRNA.pdf</v>
      </c>
      <c r="AC97" s="7" t="str">
        <f>Tabla1[[#This Row],[Número de resolución de archivo]]&amp;"_"&amp;Tabla1[[#This Row],[Número de documento del contacto]]</f>
        <v>7614_1075300872</v>
      </c>
    </row>
    <row r="98" spans="1:29" x14ac:dyDescent="0.25">
      <c r="A98">
        <v>14000</v>
      </c>
      <c r="B98" t="s">
        <v>14</v>
      </c>
      <c r="C98" t="s">
        <v>15</v>
      </c>
      <c r="D98" t="s">
        <v>16</v>
      </c>
      <c r="E98" t="s">
        <v>17</v>
      </c>
      <c r="F98" s="14">
        <v>46149</v>
      </c>
      <c r="G98">
        <v>1076329219</v>
      </c>
      <c r="H98" t="s">
        <v>242</v>
      </c>
      <c r="I98" t="s">
        <v>243</v>
      </c>
      <c r="J98" t="s">
        <v>20</v>
      </c>
      <c r="K98" t="s">
        <v>21</v>
      </c>
      <c r="L98" s="14">
        <v>46184</v>
      </c>
      <c r="M98">
        <v>35</v>
      </c>
      <c r="N98" t="s">
        <v>22</v>
      </c>
      <c r="O98" t="s">
        <v>22</v>
      </c>
      <c r="P98" s="14">
        <v>46085</v>
      </c>
      <c r="Q98" t="s">
        <v>23</v>
      </c>
      <c r="R98" s="7">
        <f>IFERROR(VLOOKUP(Tabla1[[#This Row],[Número de documento del contacto]],'Resoluciones 1 (Res)'!$A:$C,2,0),"")</f>
        <v>7442</v>
      </c>
      <c r="S98" s="11">
        <f>IFERROR(VLOOKUP(Tabla1[[#This Row],[Número de documento del contacto]],'Resoluciones 1 (Res)'!$A:$C,3,0),"")</f>
        <v>46184.606747685197</v>
      </c>
      <c r="T98" s="7" t="str">
        <f>IFERROR(VLOOKUP(Tabla1[[#This Row],[Número de documento del contacto]],'Resoluciones 2 (Req)'!$B:$E,3,0),"")</f>
        <v>14751</v>
      </c>
      <c r="U98" s="7" t="str">
        <f t="shared" si="6"/>
        <v>7 de mayo de 2026</v>
      </c>
      <c r="V98" s="7" t="str">
        <f t="shared" si="7"/>
        <v>4 de marzo de 2026</v>
      </c>
      <c r="W98" s="8" t="str">
        <f>"1-" &amp; ROWS($W$2:W98) &amp; ".pdf"</f>
        <v>1-97.pdf</v>
      </c>
      <c r="X98" s="7" t="str">
        <f>Tabla1[[#This Row],[Número de documento del contacto]]&amp;"-"&amp;Tabla1[[#This Row],[Número de resolución de archivo]]&amp;".pdf"</f>
        <v>1076329219-7442.pdf</v>
      </c>
      <c r="Y98" s="7" t="str">
        <f t="shared" si="8"/>
        <v>ren "1-97.pdf" "1076329219-7442.pdf"</v>
      </c>
      <c r="Z98" s="7" t="str">
        <f>Tabla1[[#This Row],[Número de documento del contacto]]&amp;"_"&amp;Tabla1[[#This Row],[Número de resolución de archivo]]&amp;".pdf"</f>
        <v>1076329219_7442.pdf</v>
      </c>
      <c r="AA98" s="7" t="s">
        <v>49</v>
      </c>
      <c r="AB98" s="7" t="str">
        <f>Tabla1[[#This Row],[Nombre PDF / cedula + num resolucion]]&amp;";"&amp;Tabla1[[#This Row],[instructivo]]</f>
        <v>1076329219_7442.pdf;10. Instructivo_Radicar_Activación_Credencial_DIGITAL_SIRNA.pdf</v>
      </c>
      <c r="AC98" s="7" t="str">
        <f>Tabla1[[#This Row],[Número de resolución de archivo]]&amp;"_"&amp;Tabla1[[#This Row],[Número de documento del contacto]]</f>
        <v>7442_1076329219</v>
      </c>
    </row>
    <row r="99" spans="1:29" x14ac:dyDescent="0.25">
      <c r="A99">
        <v>18239</v>
      </c>
      <c r="B99" t="s">
        <v>14</v>
      </c>
      <c r="C99" t="s">
        <v>15</v>
      </c>
      <c r="D99" t="s">
        <v>16</v>
      </c>
      <c r="E99" t="s">
        <v>17</v>
      </c>
      <c r="F99" s="14">
        <v>46149</v>
      </c>
      <c r="G99">
        <v>1077942206</v>
      </c>
      <c r="H99" t="s">
        <v>244</v>
      </c>
      <c r="I99" t="s">
        <v>245</v>
      </c>
      <c r="J99" t="s">
        <v>20</v>
      </c>
      <c r="K99" t="s">
        <v>21</v>
      </c>
      <c r="L99" s="14">
        <v>46184</v>
      </c>
      <c r="M99">
        <v>35</v>
      </c>
      <c r="N99" t="s">
        <v>22</v>
      </c>
      <c r="O99" t="s">
        <v>22</v>
      </c>
      <c r="P99" s="14">
        <v>46111</v>
      </c>
      <c r="Q99" t="s">
        <v>23</v>
      </c>
      <c r="R99" s="7">
        <f>IFERROR(VLOOKUP(Tabla1[[#This Row],[Número de documento del contacto]],'Resoluciones 1 (Res)'!$A:$C,2,0),"")</f>
        <v>7735</v>
      </c>
      <c r="S99" s="11">
        <f>IFERROR(VLOOKUP(Tabla1[[#This Row],[Número de documento del contacto]],'Resoluciones 1 (Res)'!$A:$C,3,0),"")</f>
        <v>46184.606747685197</v>
      </c>
      <c r="T99" s="7" t="str">
        <f>IFERROR(VLOOKUP(Tabla1[[#This Row],[Número de documento del contacto]],'Resoluciones 2 (Req)'!$B:$E,3,0),"")</f>
        <v>14633</v>
      </c>
      <c r="U99" s="7" t="str">
        <f t="shared" si="6"/>
        <v>7 de mayo de 2026</v>
      </c>
      <c r="V99" s="7" t="str">
        <f t="shared" si="7"/>
        <v>30 de marzo de 2026</v>
      </c>
      <c r="W99" s="8" t="str">
        <f>"1-" &amp; ROWS($W$2:W99) &amp; ".pdf"</f>
        <v>1-98.pdf</v>
      </c>
      <c r="X99" s="7" t="str">
        <f>Tabla1[[#This Row],[Número de documento del contacto]]&amp;"-"&amp;Tabla1[[#This Row],[Número de resolución de archivo]]&amp;".pdf"</f>
        <v>1077942206-7735.pdf</v>
      </c>
      <c r="Y99" s="7" t="str">
        <f t="shared" si="8"/>
        <v>ren "1-98.pdf" "1077942206-7735.pdf"</v>
      </c>
      <c r="Z99" s="7" t="str">
        <f>Tabla1[[#This Row],[Número de documento del contacto]]&amp;"_"&amp;Tabla1[[#This Row],[Número de resolución de archivo]]&amp;".pdf"</f>
        <v>1077942206_7735.pdf</v>
      </c>
      <c r="AA99" s="7" t="s">
        <v>49</v>
      </c>
      <c r="AB99" s="7" t="str">
        <f>Tabla1[[#This Row],[Nombre PDF / cedula + num resolucion]]&amp;";"&amp;Tabla1[[#This Row],[instructivo]]</f>
        <v>1077942206_7735.pdf;10. Instructivo_Radicar_Activación_Credencial_DIGITAL_SIRNA.pdf</v>
      </c>
      <c r="AC99" s="7" t="str">
        <f>Tabla1[[#This Row],[Número de resolución de archivo]]&amp;"_"&amp;Tabla1[[#This Row],[Número de documento del contacto]]</f>
        <v>7735_1077942206</v>
      </c>
    </row>
    <row r="100" spans="1:29" x14ac:dyDescent="0.25">
      <c r="A100">
        <v>17828</v>
      </c>
      <c r="B100" t="s">
        <v>14</v>
      </c>
      <c r="C100" t="s">
        <v>15</v>
      </c>
      <c r="D100" t="s">
        <v>16</v>
      </c>
      <c r="E100" t="s">
        <v>17</v>
      </c>
      <c r="F100" s="14">
        <v>46149</v>
      </c>
      <c r="G100">
        <v>1082958322</v>
      </c>
      <c r="H100" t="s">
        <v>246</v>
      </c>
      <c r="I100" t="s">
        <v>247</v>
      </c>
      <c r="J100" t="s">
        <v>20</v>
      </c>
      <c r="K100" t="s">
        <v>21</v>
      </c>
      <c r="L100" s="14">
        <v>46184</v>
      </c>
      <c r="M100">
        <v>35</v>
      </c>
      <c r="N100" t="s">
        <v>22</v>
      </c>
      <c r="O100" t="s">
        <v>22</v>
      </c>
      <c r="P100" s="14">
        <v>46107</v>
      </c>
      <c r="Q100" t="s">
        <v>23</v>
      </c>
      <c r="R100" s="7">
        <f>IFERROR(VLOOKUP(Tabla1[[#This Row],[Número de documento del contacto]],'Resoluciones 1 (Res)'!$A:$C,2,0),"")</f>
        <v>7502</v>
      </c>
      <c r="S100" s="11">
        <f>IFERROR(VLOOKUP(Tabla1[[#This Row],[Número de documento del contacto]],'Resoluciones 1 (Res)'!$A:$C,3,0),"")</f>
        <v>46184.606747685197</v>
      </c>
      <c r="T100" s="7" t="str">
        <f>IFERROR(VLOOKUP(Tabla1[[#This Row],[Número de documento del contacto]],'Resoluciones 2 (Req)'!$B:$E,3,0),"")</f>
        <v>14703</v>
      </c>
      <c r="U100" s="7" t="str">
        <f t="shared" si="6"/>
        <v>7 de mayo de 2026</v>
      </c>
      <c r="V100" s="7" t="str">
        <f t="shared" si="7"/>
        <v>26 de marzo de 2026</v>
      </c>
      <c r="W100" s="8" t="str">
        <f>"1-" &amp; ROWS($W$2:W100) &amp; ".pdf"</f>
        <v>1-99.pdf</v>
      </c>
      <c r="X100" s="7" t="str">
        <f>Tabla1[[#This Row],[Número de documento del contacto]]&amp;"-"&amp;Tabla1[[#This Row],[Número de resolución de archivo]]&amp;".pdf"</f>
        <v>1082958322-7502.pdf</v>
      </c>
      <c r="Y100" s="7" t="str">
        <f t="shared" si="8"/>
        <v>ren "1-99.pdf" "1082958322-7502.pdf"</v>
      </c>
      <c r="Z100" s="7" t="str">
        <f>Tabla1[[#This Row],[Número de documento del contacto]]&amp;"_"&amp;Tabla1[[#This Row],[Número de resolución de archivo]]&amp;".pdf"</f>
        <v>1082958322_7502.pdf</v>
      </c>
      <c r="AA100" s="7" t="s">
        <v>49</v>
      </c>
      <c r="AB100" s="7" t="str">
        <f>Tabla1[[#This Row],[Nombre PDF / cedula + num resolucion]]&amp;";"&amp;Tabla1[[#This Row],[instructivo]]</f>
        <v>1082958322_7502.pdf;10. Instructivo_Radicar_Activación_Credencial_DIGITAL_SIRNA.pdf</v>
      </c>
      <c r="AC100" s="7" t="str">
        <f>Tabla1[[#This Row],[Número de resolución de archivo]]&amp;"_"&amp;Tabla1[[#This Row],[Número de documento del contacto]]</f>
        <v>7502_1082958322</v>
      </c>
    </row>
    <row r="101" spans="1:29" x14ac:dyDescent="0.25">
      <c r="A101">
        <v>14077</v>
      </c>
      <c r="B101" t="s">
        <v>14</v>
      </c>
      <c r="C101" t="s">
        <v>15</v>
      </c>
      <c r="D101" t="s">
        <v>16</v>
      </c>
      <c r="E101" t="s">
        <v>17</v>
      </c>
      <c r="F101" s="14">
        <v>46149</v>
      </c>
      <c r="G101">
        <v>1082961230</v>
      </c>
      <c r="H101" t="s">
        <v>248</v>
      </c>
      <c r="I101" t="s">
        <v>249</v>
      </c>
      <c r="J101" t="s">
        <v>20</v>
      </c>
      <c r="K101" t="s">
        <v>21</v>
      </c>
      <c r="L101" s="14">
        <v>46184</v>
      </c>
      <c r="M101">
        <v>35</v>
      </c>
      <c r="N101" t="s">
        <v>22</v>
      </c>
      <c r="O101" t="s">
        <v>22</v>
      </c>
      <c r="P101" s="14">
        <v>46085</v>
      </c>
      <c r="Q101" t="s">
        <v>23</v>
      </c>
      <c r="R101" s="7">
        <f>IFERROR(VLOOKUP(Tabla1[[#This Row],[Número de documento del contacto]],'Resoluciones 1 (Res)'!$A:$C,2,0),"")</f>
        <v>7555</v>
      </c>
      <c r="S101" s="11">
        <f>IFERROR(VLOOKUP(Tabla1[[#This Row],[Número de documento del contacto]],'Resoluciones 1 (Res)'!$A:$C,3,0),"")</f>
        <v>46184.606747685197</v>
      </c>
      <c r="T101" s="7" t="str">
        <f>IFERROR(VLOOKUP(Tabla1[[#This Row],[Número de documento del contacto]],'Resoluciones 2 (Req)'!$B:$E,3,0),"")</f>
        <v>14752</v>
      </c>
      <c r="U101" s="7" t="str">
        <f t="shared" si="6"/>
        <v>7 de mayo de 2026</v>
      </c>
      <c r="V101" s="7" t="str">
        <f t="shared" si="7"/>
        <v>4 de marzo de 2026</v>
      </c>
      <c r="W101" s="8" t="str">
        <f>"1-" &amp; ROWS($W$2:W101) &amp; ".pdf"</f>
        <v>1-100.pdf</v>
      </c>
      <c r="X101" s="7" t="str">
        <f>Tabla1[[#This Row],[Número de documento del contacto]]&amp;"-"&amp;Tabla1[[#This Row],[Número de resolución de archivo]]&amp;".pdf"</f>
        <v>1082961230-7555.pdf</v>
      </c>
      <c r="Y101" s="7" t="str">
        <f t="shared" si="8"/>
        <v>ren "1-100.pdf" "1082961230-7555.pdf"</v>
      </c>
      <c r="Z101" s="7" t="str">
        <f>Tabla1[[#This Row],[Número de documento del contacto]]&amp;"_"&amp;Tabla1[[#This Row],[Número de resolución de archivo]]&amp;".pdf"</f>
        <v>1082961230_7555.pdf</v>
      </c>
      <c r="AA101" s="7" t="s">
        <v>49</v>
      </c>
      <c r="AB101" s="7" t="str">
        <f>Tabla1[[#This Row],[Nombre PDF / cedula + num resolucion]]&amp;";"&amp;Tabla1[[#This Row],[instructivo]]</f>
        <v>1082961230_7555.pdf;10. Instructivo_Radicar_Activación_Credencial_DIGITAL_SIRNA.pdf</v>
      </c>
      <c r="AC101" s="7" t="str">
        <f>Tabla1[[#This Row],[Número de resolución de archivo]]&amp;"_"&amp;Tabla1[[#This Row],[Número de documento del contacto]]</f>
        <v>7555_1082961230</v>
      </c>
    </row>
    <row r="102" spans="1:29" x14ac:dyDescent="0.25">
      <c r="A102">
        <v>17940</v>
      </c>
      <c r="B102" t="s">
        <v>14</v>
      </c>
      <c r="C102" t="s">
        <v>15</v>
      </c>
      <c r="D102" t="s">
        <v>16</v>
      </c>
      <c r="E102" t="s">
        <v>17</v>
      </c>
      <c r="F102" s="14">
        <v>46149</v>
      </c>
      <c r="G102">
        <v>1088003555</v>
      </c>
      <c r="H102" t="s">
        <v>250</v>
      </c>
      <c r="I102" t="s">
        <v>251</v>
      </c>
      <c r="J102" t="s">
        <v>20</v>
      </c>
      <c r="K102" t="s">
        <v>21</v>
      </c>
      <c r="L102" s="14">
        <v>46184</v>
      </c>
      <c r="M102">
        <v>35</v>
      </c>
      <c r="N102" t="s">
        <v>22</v>
      </c>
      <c r="O102" t="s">
        <v>22</v>
      </c>
      <c r="P102" s="14">
        <v>46108</v>
      </c>
      <c r="Q102" t="s">
        <v>23</v>
      </c>
      <c r="R102" s="7">
        <f>IFERROR(VLOOKUP(Tabla1[[#This Row],[Número de documento del contacto]],'Resoluciones 1 (Res)'!$A:$C,2,0),"")</f>
        <v>7490</v>
      </c>
      <c r="S102" s="11">
        <f>IFERROR(VLOOKUP(Tabla1[[#This Row],[Número de documento del contacto]],'Resoluciones 1 (Res)'!$A:$C,3,0),"")</f>
        <v>46184.606747685197</v>
      </c>
      <c r="T102" s="7" t="str">
        <f>IFERROR(VLOOKUP(Tabla1[[#This Row],[Número de documento del contacto]],'Resoluciones 2 (Req)'!$B:$E,3,0),"")</f>
        <v>14634</v>
      </c>
      <c r="U102" s="7" t="str">
        <f t="shared" si="6"/>
        <v>7 de mayo de 2026</v>
      </c>
      <c r="V102" s="7" t="str">
        <f t="shared" si="7"/>
        <v>27 de marzo de 2026</v>
      </c>
      <c r="W102" s="8" t="str">
        <f>"1-" &amp; ROWS($W$2:W102) &amp; ".pdf"</f>
        <v>1-101.pdf</v>
      </c>
      <c r="X102" s="7" t="str">
        <f>Tabla1[[#This Row],[Número de documento del contacto]]&amp;"-"&amp;Tabla1[[#This Row],[Número de resolución de archivo]]&amp;".pdf"</f>
        <v>1088003555-7490.pdf</v>
      </c>
      <c r="Y102" s="7" t="str">
        <f t="shared" si="8"/>
        <v>ren "1-101.pdf" "1088003555-7490.pdf"</v>
      </c>
      <c r="Z102" s="7" t="str">
        <f>Tabla1[[#This Row],[Número de documento del contacto]]&amp;"_"&amp;Tabla1[[#This Row],[Número de resolución de archivo]]&amp;".pdf"</f>
        <v>1088003555_7490.pdf</v>
      </c>
      <c r="AA102" s="7" t="s">
        <v>49</v>
      </c>
      <c r="AB102" s="7" t="str">
        <f>Tabla1[[#This Row],[Nombre PDF / cedula + num resolucion]]&amp;";"&amp;Tabla1[[#This Row],[instructivo]]</f>
        <v>1088003555_7490.pdf;10. Instructivo_Radicar_Activación_Credencial_DIGITAL_SIRNA.pdf</v>
      </c>
      <c r="AC102" s="7" t="str">
        <f>Tabla1[[#This Row],[Número de resolución de archivo]]&amp;"_"&amp;Tabla1[[#This Row],[Número de documento del contacto]]</f>
        <v>7490_1088003555</v>
      </c>
    </row>
    <row r="103" spans="1:29" x14ac:dyDescent="0.25">
      <c r="A103">
        <v>16831</v>
      </c>
      <c r="B103" t="s">
        <v>14</v>
      </c>
      <c r="C103" t="s">
        <v>15</v>
      </c>
      <c r="D103" t="s">
        <v>16</v>
      </c>
      <c r="E103" t="s">
        <v>17</v>
      </c>
      <c r="F103" s="14">
        <v>46149</v>
      </c>
      <c r="G103">
        <v>1088306138</v>
      </c>
      <c r="H103" t="s">
        <v>252</v>
      </c>
      <c r="I103" t="s">
        <v>253</v>
      </c>
      <c r="J103" t="s">
        <v>20</v>
      </c>
      <c r="K103" t="s">
        <v>21</v>
      </c>
      <c r="L103" s="14">
        <v>46184</v>
      </c>
      <c r="M103">
        <v>35</v>
      </c>
      <c r="N103" t="s">
        <v>22</v>
      </c>
      <c r="O103" t="s">
        <v>22</v>
      </c>
      <c r="P103" s="14">
        <v>46101</v>
      </c>
      <c r="Q103" t="s">
        <v>23</v>
      </c>
      <c r="R103" s="7">
        <f>IFERROR(VLOOKUP(Tabla1[[#This Row],[Número de documento del contacto]],'Resoluciones 1 (Res)'!$A:$C,2,0),"")</f>
        <v>7453</v>
      </c>
      <c r="S103" s="11">
        <f>IFERROR(VLOOKUP(Tabla1[[#This Row],[Número de documento del contacto]],'Resoluciones 1 (Res)'!$A:$C,3,0),"")</f>
        <v>46184.606747685197</v>
      </c>
      <c r="T103" s="7" t="str">
        <f>IFERROR(VLOOKUP(Tabla1[[#This Row],[Número de documento del contacto]],'Resoluciones 2 (Req)'!$B:$E,3,0),"")</f>
        <v>14705</v>
      </c>
      <c r="U103" s="7" t="str">
        <f t="shared" si="6"/>
        <v>7 de mayo de 2026</v>
      </c>
      <c r="V103" s="7" t="str">
        <f t="shared" si="7"/>
        <v>20 de marzo de 2026</v>
      </c>
      <c r="W103" s="8" t="str">
        <f>"1-" &amp; ROWS($W$2:W103) &amp; ".pdf"</f>
        <v>1-102.pdf</v>
      </c>
      <c r="X103" s="7" t="str">
        <f>Tabla1[[#This Row],[Número de documento del contacto]]&amp;"-"&amp;Tabla1[[#This Row],[Número de resolución de archivo]]&amp;".pdf"</f>
        <v>1088306138-7453.pdf</v>
      </c>
      <c r="Y103" s="7" t="str">
        <f t="shared" si="8"/>
        <v>ren "1-102.pdf" "1088306138-7453.pdf"</v>
      </c>
      <c r="Z103" s="7" t="str">
        <f>Tabla1[[#This Row],[Número de documento del contacto]]&amp;"_"&amp;Tabla1[[#This Row],[Número de resolución de archivo]]&amp;".pdf"</f>
        <v>1088306138_7453.pdf</v>
      </c>
      <c r="AA103" s="7" t="s">
        <v>49</v>
      </c>
      <c r="AB103" s="7" t="str">
        <f>Tabla1[[#This Row],[Nombre PDF / cedula + num resolucion]]&amp;";"&amp;Tabla1[[#This Row],[instructivo]]</f>
        <v>1088306138_7453.pdf;10. Instructivo_Radicar_Activación_Credencial_DIGITAL_SIRNA.pdf</v>
      </c>
      <c r="AC103" s="7" t="str">
        <f>Tabla1[[#This Row],[Número de resolución de archivo]]&amp;"_"&amp;Tabla1[[#This Row],[Número de documento del contacto]]</f>
        <v>7453_1088306138</v>
      </c>
    </row>
    <row r="104" spans="1:29" x14ac:dyDescent="0.25">
      <c r="A104">
        <v>14296</v>
      </c>
      <c r="B104" t="s">
        <v>14</v>
      </c>
      <c r="C104" t="s">
        <v>15</v>
      </c>
      <c r="D104" t="s">
        <v>16</v>
      </c>
      <c r="E104" t="s">
        <v>17</v>
      </c>
      <c r="F104" s="14">
        <v>46149</v>
      </c>
      <c r="G104">
        <v>1088316121</v>
      </c>
      <c r="H104" t="s">
        <v>254</v>
      </c>
      <c r="I104" t="s">
        <v>255</v>
      </c>
      <c r="J104" t="s">
        <v>20</v>
      </c>
      <c r="K104" t="s">
        <v>21</v>
      </c>
      <c r="L104" s="14">
        <v>46184</v>
      </c>
      <c r="M104">
        <v>35</v>
      </c>
      <c r="N104" t="s">
        <v>22</v>
      </c>
      <c r="O104" t="s">
        <v>22</v>
      </c>
      <c r="P104" s="14">
        <v>46086</v>
      </c>
      <c r="Q104" t="s">
        <v>23</v>
      </c>
      <c r="R104" s="7">
        <f>IFERROR(VLOOKUP(Tabla1[[#This Row],[Número de documento del contacto]],'Resoluciones 1 (Res)'!$A:$C,2,0),"")</f>
        <v>7740</v>
      </c>
      <c r="S104" s="11">
        <f>IFERROR(VLOOKUP(Tabla1[[#This Row],[Número de documento del contacto]],'Resoluciones 1 (Res)'!$A:$C,3,0),"")</f>
        <v>46184.606747685197</v>
      </c>
      <c r="T104" s="7" t="str">
        <f>IFERROR(VLOOKUP(Tabla1[[#This Row],[Número de documento del contacto]],'Resoluciones 2 (Req)'!$B:$E,3,0),"")</f>
        <v>14735</v>
      </c>
      <c r="U104" s="7" t="str">
        <f t="shared" si="6"/>
        <v>7 de mayo de 2026</v>
      </c>
      <c r="V104" s="7" t="str">
        <f t="shared" si="7"/>
        <v>5 de marzo de 2026</v>
      </c>
      <c r="W104" s="8" t="str">
        <f>"1-" &amp; ROWS($W$2:W104) &amp; ".pdf"</f>
        <v>1-103.pdf</v>
      </c>
      <c r="X104" s="7" t="str">
        <f>Tabla1[[#This Row],[Número de documento del contacto]]&amp;"-"&amp;Tabla1[[#This Row],[Número de resolución de archivo]]&amp;".pdf"</f>
        <v>1088316121-7740.pdf</v>
      </c>
      <c r="Y104" s="7" t="str">
        <f t="shared" si="8"/>
        <v>ren "1-103.pdf" "1088316121-7740.pdf"</v>
      </c>
      <c r="Z104" s="7" t="str">
        <f>Tabla1[[#This Row],[Número de documento del contacto]]&amp;"_"&amp;Tabla1[[#This Row],[Número de resolución de archivo]]&amp;".pdf"</f>
        <v>1088316121_7740.pdf</v>
      </c>
      <c r="AA104" s="7" t="s">
        <v>49</v>
      </c>
      <c r="AB104" s="7" t="str">
        <f>Tabla1[[#This Row],[Nombre PDF / cedula + num resolucion]]&amp;";"&amp;Tabla1[[#This Row],[instructivo]]</f>
        <v>1088316121_7740.pdf;10. Instructivo_Radicar_Activación_Credencial_DIGITAL_SIRNA.pdf</v>
      </c>
      <c r="AC104" s="7" t="str">
        <f>Tabla1[[#This Row],[Número de resolución de archivo]]&amp;"_"&amp;Tabla1[[#This Row],[Número de documento del contacto]]</f>
        <v>7740_1088316121</v>
      </c>
    </row>
    <row r="105" spans="1:29" x14ac:dyDescent="0.25">
      <c r="A105">
        <v>17049</v>
      </c>
      <c r="B105" t="s">
        <v>14</v>
      </c>
      <c r="C105" t="s">
        <v>15</v>
      </c>
      <c r="D105" t="s">
        <v>16</v>
      </c>
      <c r="E105" t="s">
        <v>17</v>
      </c>
      <c r="F105" s="14">
        <v>46149</v>
      </c>
      <c r="G105">
        <v>1090416951</v>
      </c>
      <c r="H105" t="s">
        <v>256</v>
      </c>
      <c r="I105" t="s">
        <v>257</v>
      </c>
      <c r="J105" t="s">
        <v>20</v>
      </c>
      <c r="K105" t="s">
        <v>21</v>
      </c>
      <c r="L105" s="14">
        <v>46184</v>
      </c>
      <c r="M105">
        <v>35</v>
      </c>
      <c r="N105" t="s">
        <v>22</v>
      </c>
      <c r="O105" t="s">
        <v>22</v>
      </c>
      <c r="P105" s="14">
        <v>46103</v>
      </c>
      <c r="Q105" t="s">
        <v>23</v>
      </c>
      <c r="R105" s="7">
        <f>IFERROR(VLOOKUP(Tabla1[[#This Row],[Número de documento del contacto]],'Resoluciones 1 (Res)'!$A:$C,2,0),"")</f>
        <v>7683</v>
      </c>
      <c r="S105" s="11">
        <f>IFERROR(VLOOKUP(Tabla1[[#This Row],[Número de documento del contacto]],'Resoluciones 1 (Res)'!$A:$C,3,0),"")</f>
        <v>46184.606747685197</v>
      </c>
      <c r="T105" s="7" t="str">
        <f>IFERROR(VLOOKUP(Tabla1[[#This Row],[Número de documento del contacto]],'Resoluciones 2 (Req)'!$B:$E,3,0),"")</f>
        <v>14706</v>
      </c>
      <c r="U105" s="7" t="str">
        <f t="shared" si="6"/>
        <v>7 de mayo de 2026</v>
      </c>
      <c r="V105" s="7" t="str">
        <f t="shared" si="7"/>
        <v>22 de marzo de 2026</v>
      </c>
      <c r="W105" s="8" t="str">
        <f>"1-" &amp; ROWS($W$2:W105) &amp; ".pdf"</f>
        <v>1-104.pdf</v>
      </c>
      <c r="X105" s="7" t="str">
        <f>Tabla1[[#This Row],[Número de documento del contacto]]&amp;"-"&amp;Tabla1[[#This Row],[Número de resolución de archivo]]&amp;".pdf"</f>
        <v>1090416951-7683.pdf</v>
      </c>
      <c r="Y105" s="7" t="str">
        <f t="shared" si="8"/>
        <v>ren "1-104.pdf" "1090416951-7683.pdf"</v>
      </c>
      <c r="Z105" s="7" t="str">
        <f>Tabla1[[#This Row],[Número de documento del contacto]]&amp;"_"&amp;Tabla1[[#This Row],[Número de resolución de archivo]]&amp;".pdf"</f>
        <v>1090416951_7683.pdf</v>
      </c>
      <c r="AA105" s="7" t="s">
        <v>49</v>
      </c>
      <c r="AB105" s="7" t="str">
        <f>Tabla1[[#This Row],[Nombre PDF / cedula + num resolucion]]&amp;";"&amp;Tabla1[[#This Row],[instructivo]]</f>
        <v>1090416951_7683.pdf;10. Instructivo_Radicar_Activación_Credencial_DIGITAL_SIRNA.pdf</v>
      </c>
      <c r="AC105" s="7" t="str">
        <f>Tabla1[[#This Row],[Número de resolución de archivo]]&amp;"_"&amp;Tabla1[[#This Row],[Número de documento del contacto]]</f>
        <v>7683_1090416951</v>
      </c>
    </row>
    <row r="106" spans="1:29" x14ac:dyDescent="0.25">
      <c r="A106">
        <v>17840</v>
      </c>
      <c r="B106" t="s">
        <v>14</v>
      </c>
      <c r="C106" t="s">
        <v>15</v>
      </c>
      <c r="D106" t="s">
        <v>16</v>
      </c>
      <c r="E106" t="s">
        <v>17</v>
      </c>
      <c r="F106" s="14">
        <v>46149</v>
      </c>
      <c r="G106">
        <v>1094265795</v>
      </c>
      <c r="H106" t="s">
        <v>258</v>
      </c>
      <c r="I106" t="s">
        <v>259</v>
      </c>
      <c r="J106" t="s">
        <v>20</v>
      </c>
      <c r="K106" t="s">
        <v>21</v>
      </c>
      <c r="L106" s="14">
        <v>46184</v>
      </c>
      <c r="M106">
        <v>35</v>
      </c>
      <c r="N106" t="s">
        <v>22</v>
      </c>
      <c r="O106" t="s">
        <v>22</v>
      </c>
      <c r="P106" s="14">
        <v>46108</v>
      </c>
      <c r="Q106" t="s">
        <v>23</v>
      </c>
      <c r="R106" s="7">
        <f>IFERROR(VLOOKUP(Tabla1[[#This Row],[Número de documento del contacto]],'Resoluciones 1 (Res)'!$A:$C,2,0),"")</f>
        <v>7664</v>
      </c>
      <c r="S106" s="11">
        <f>IFERROR(VLOOKUP(Tabla1[[#This Row],[Número de documento del contacto]],'Resoluciones 1 (Res)'!$A:$C,3,0),"")</f>
        <v>46184.606747685197</v>
      </c>
      <c r="T106" s="7" t="str">
        <f>IFERROR(VLOOKUP(Tabla1[[#This Row],[Número de documento del contacto]],'Resoluciones 2 (Req)'!$B:$E,3,0),"")</f>
        <v>14635</v>
      </c>
      <c r="U106" s="7" t="str">
        <f t="shared" si="6"/>
        <v>7 de mayo de 2026</v>
      </c>
      <c r="V106" s="7" t="str">
        <f t="shared" si="7"/>
        <v>27 de marzo de 2026</v>
      </c>
      <c r="W106" s="8" t="str">
        <f>"1-" &amp; ROWS($W$2:W106) &amp; ".pdf"</f>
        <v>1-105.pdf</v>
      </c>
      <c r="X106" s="7" t="str">
        <f>Tabla1[[#This Row],[Número de documento del contacto]]&amp;"-"&amp;Tabla1[[#This Row],[Número de resolución de archivo]]&amp;".pdf"</f>
        <v>1094265795-7664.pdf</v>
      </c>
      <c r="Y106" s="7" t="str">
        <f t="shared" si="8"/>
        <v>ren "1-105.pdf" "1094265795-7664.pdf"</v>
      </c>
      <c r="Z106" s="7" t="str">
        <f>Tabla1[[#This Row],[Número de documento del contacto]]&amp;"_"&amp;Tabla1[[#This Row],[Número de resolución de archivo]]&amp;".pdf"</f>
        <v>1094265795_7664.pdf</v>
      </c>
      <c r="AA106" s="7" t="s">
        <v>49</v>
      </c>
      <c r="AB106" s="7" t="str">
        <f>Tabla1[[#This Row],[Nombre PDF / cedula + num resolucion]]&amp;";"&amp;Tabla1[[#This Row],[instructivo]]</f>
        <v>1094265795_7664.pdf;10. Instructivo_Radicar_Activación_Credencial_DIGITAL_SIRNA.pdf</v>
      </c>
      <c r="AC106" s="7" t="str">
        <f>Tabla1[[#This Row],[Número de resolución de archivo]]&amp;"_"&amp;Tabla1[[#This Row],[Número de documento del contacto]]</f>
        <v>7664_1094265795</v>
      </c>
    </row>
    <row r="107" spans="1:29" x14ac:dyDescent="0.25">
      <c r="A107">
        <v>17441</v>
      </c>
      <c r="B107" t="s">
        <v>14</v>
      </c>
      <c r="C107" t="s">
        <v>15</v>
      </c>
      <c r="D107" t="s">
        <v>16</v>
      </c>
      <c r="E107" t="s">
        <v>17</v>
      </c>
      <c r="F107" s="14">
        <v>46149</v>
      </c>
      <c r="G107">
        <v>1095825631</v>
      </c>
      <c r="H107" t="s">
        <v>260</v>
      </c>
      <c r="I107" t="s">
        <v>261</v>
      </c>
      <c r="J107" t="s">
        <v>20</v>
      </c>
      <c r="K107" t="s">
        <v>21</v>
      </c>
      <c r="L107" s="14">
        <v>46184</v>
      </c>
      <c r="M107">
        <v>35</v>
      </c>
      <c r="N107" t="s">
        <v>22</v>
      </c>
      <c r="O107" t="s">
        <v>22</v>
      </c>
      <c r="P107" s="14">
        <v>46106</v>
      </c>
      <c r="Q107" t="s">
        <v>23</v>
      </c>
      <c r="R107" s="7">
        <f>IFERROR(VLOOKUP(Tabla1[[#This Row],[Número de documento del contacto]],'Resoluciones 1 (Res)'!$A:$C,2,0),"")</f>
        <v>7635</v>
      </c>
      <c r="S107" s="11">
        <f>IFERROR(VLOOKUP(Tabla1[[#This Row],[Número de documento del contacto]],'Resoluciones 1 (Res)'!$A:$C,3,0),"")</f>
        <v>46184.606747685197</v>
      </c>
      <c r="T107" s="7" t="str">
        <f>IFERROR(VLOOKUP(Tabla1[[#This Row],[Número de documento del contacto]],'Resoluciones 2 (Req)'!$B:$E,3,0),"")</f>
        <v>14707</v>
      </c>
      <c r="U107" s="7" t="str">
        <f t="shared" si="6"/>
        <v>7 de mayo de 2026</v>
      </c>
      <c r="V107" s="7" t="str">
        <f t="shared" si="7"/>
        <v>25 de marzo de 2026</v>
      </c>
      <c r="W107" s="8" t="str">
        <f>"1-" &amp; ROWS($W$2:W107) &amp; ".pdf"</f>
        <v>1-106.pdf</v>
      </c>
      <c r="X107" s="7" t="str">
        <f>Tabla1[[#This Row],[Número de documento del contacto]]&amp;"-"&amp;Tabla1[[#This Row],[Número de resolución de archivo]]&amp;".pdf"</f>
        <v>1095825631-7635.pdf</v>
      </c>
      <c r="Y107" s="7" t="str">
        <f t="shared" si="8"/>
        <v>ren "1-106.pdf" "1095825631-7635.pdf"</v>
      </c>
      <c r="Z107" s="7" t="str">
        <f>Tabla1[[#This Row],[Número de documento del contacto]]&amp;"_"&amp;Tabla1[[#This Row],[Número de resolución de archivo]]&amp;".pdf"</f>
        <v>1095825631_7635.pdf</v>
      </c>
      <c r="AA107" s="7" t="s">
        <v>49</v>
      </c>
      <c r="AB107" s="7" t="str">
        <f>Tabla1[[#This Row],[Nombre PDF / cedula + num resolucion]]&amp;";"&amp;Tabla1[[#This Row],[instructivo]]</f>
        <v>1095825631_7635.pdf;10. Instructivo_Radicar_Activación_Credencial_DIGITAL_SIRNA.pdf</v>
      </c>
      <c r="AC107" s="7" t="str">
        <f>Tabla1[[#This Row],[Número de resolución de archivo]]&amp;"_"&amp;Tabla1[[#This Row],[Número de documento del contacto]]</f>
        <v>7635_1095825631</v>
      </c>
    </row>
    <row r="108" spans="1:29" x14ac:dyDescent="0.25">
      <c r="A108">
        <v>17848</v>
      </c>
      <c r="B108" t="s">
        <v>14</v>
      </c>
      <c r="C108" t="s">
        <v>15</v>
      </c>
      <c r="D108" t="s">
        <v>16</v>
      </c>
      <c r="E108" t="s">
        <v>17</v>
      </c>
      <c r="F108" s="14">
        <v>46149</v>
      </c>
      <c r="G108">
        <v>1095840842</v>
      </c>
      <c r="H108" t="s">
        <v>262</v>
      </c>
      <c r="I108" t="s">
        <v>263</v>
      </c>
      <c r="J108" t="s">
        <v>20</v>
      </c>
      <c r="K108" t="s">
        <v>21</v>
      </c>
      <c r="L108" s="14">
        <v>46184</v>
      </c>
      <c r="M108">
        <v>35</v>
      </c>
      <c r="N108" t="s">
        <v>22</v>
      </c>
      <c r="O108" t="s">
        <v>22</v>
      </c>
      <c r="P108" s="14">
        <v>46108</v>
      </c>
      <c r="Q108" t="s">
        <v>23</v>
      </c>
      <c r="R108" s="7">
        <f>IFERROR(VLOOKUP(Tabla1[[#This Row],[Número de documento del contacto]],'Resoluciones 1 (Res)'!$A:$C,2,0),"")</f>
        <v>7470</v>
      </c>
      <c r="S108" s="11">
        <f>IFERROR(VLOOKUP(Tabla1[[#This Row],[Número de documento del contacto]],'Resoluciones 1 (Res)'!$A:$C,3,0),"")</f>
        <v>46184.606747685197</v>
      </c>
      <c r="T108" s="7" t="str">
        <f>IFERROR(VLOOKUP(Tabla1[[#This Row],[Número de documento del contacto]],'Resoluciones 2 (Req)'!$B:$E,3,0),"")</f>
        <v>14636</v>
      </c>
      <c r="U108" s="7" t="str">
        <f t="shared" si="6"/>
        <v>7 de mayo de 2026</v>
      </c>
      <c r="V108" s="7" t="str">
        <f t="shared" si="7"/>
        <v>27 de marzo de 2026</v>
      </c>
      <c r="W108" s="8" t="str">
        <f>"1-" &amp; ROWS($W$2:W108) &amp; ".pdf"</f>
        <v>1-107.pdf</v>
      </c>
      <c r="X108" s="7" t="str">
        <f>Tabla1[[#This Row],[Número de documento del contacto]]&amp;"-"&amp;Tabla1[[#This Row],[Número de resolución de archivo]]&amp;".pdf"</f>
        <v>1095840842-7470.pdf</v>
      </c>
      <c r="Y108" s="7" t="str">
        <f t="shared" si="8"/>
        <v>ren "1-107.pdf" "1095840842-7470.pdf"</v>
      </c>
      <c r="Z108" s="7" t="str">
        <f>Tabla1[[#This Row],[Número de documento del contacto]]&amp;"_"&amp;Tabla1[[#This Row],[Número de resolución de archivo]]&amp;".pdf"</f>
        <v>1095840842_7470.pdf</v>
      </c>
      <c r="AA108" s="7" t="s">
        <v>49</v>
      </c>
      <c r="AB108" s="7" t="str">
        <f>Tabla1[[#This Row],[Nombre PDF / cedula + num resolucion]]&amp;";"&amp;Tabla1[[#This Row],[instructivo]]</f>
        <v>1095840842_7470.pdf;10. Instructivo_Radicar_Activación_Credencial_DIGITAL_SIRNA.pdf</v>
      </c>
      <c r="AC108" s="7" t="str">
        <f>Tabla1[[#This Row],[Número de resolución de archivo]]&amp;"_"&amp;Tabla1[[#This Row],[Número de documento del contacto]]</f>
        <v>7470_1095840842</v>
      </c>
    </row>
    <row r="109" spans="1:29" x14ac:dyDescent="0.25">
      <c r="A109">
        <v>13934</v>
      </c>
      <c r="B109" t="s">
        <v>14</v>
      </c>
      <c r="C109" t="s">
        <v>15</v>
      </c>
      <c r="D109" t="s">
        <v>16</v>
      </c>
      <c r="E109" t="s">
        <v>17</v>
      </c>
      <c r="F109" s="14">
        <v>46149</v>
      </c>
      <c r="G109">
        <v>1095943565</v>
      </c>
      <c r="H109" t="s">
        <v>264</v>
      </c>
      <c r="I109" t="s">
        <v>265</v>
      </c>
      <c r="J109" t="s">
        <v>20</v>
      </c>
      <c r="K109" t="s">
        <v>21</v>
      </c>
      <c r="L109" s="14">
        <v>46184</v>
      </c>
      <c r="M109">
        <v>35</v>
      </c>
      <c r="N109" t="s">
        <v>22</v>
      </c>
      <c r="O109" t="s">
        <v>22</v>
      </c>
      <c r="P109" s="14">
        <v>46084</v>
      </c>
      <c r="Q109" t="s">
        <v>23</v>
      </c>
      <c r="R109" s="7">
        <f>IFERROR(VLOOKUP(Tabla1[[#This Row],[Número de documento del contacto]],'Resoluciones 1 (Res)'!$A:$C,2,0),"")</f>
        <v>7609</v>
      </c>
      <c r="S109" s="11">
        <f>IFERROR(VLOOKUP(Tabla1[[#This Row],[Número de documento del contacto]],'Resoluciones 1 (Res)'!$A:$C,3,0),"")</f>
        <v>46184.606747685197</v>
      </c>
      <c r="T109" s="7" t="str">
        <f>IFERROR(VLOOKUP(Tabla1[[#This Row],[Número de documento del contacto]],'Resoluciones 2 (Req)'!$B:$E,3,0),"")</f>
        <v>14784</v>
      </c>
      <c r="U109" s="7" t="str">
        <f t="shared" si="6"/>
        <v>7 de mayo de 2026</v>
      </c>
      <c r="V109" s="7" t="str">
        <f t="shared" si="7"/>
        <v>3 de marzo de 2026</v>
      </c>
      <c r="W109" s="8" t="str">
        <f>"1-" &amp; ROWS($W$2:W109) &amp; ".pdf"</f>
        <v>1-108.pdf</v>
      </c>
      <c r="X109" s="7" t="str">
        <f>Tabla1[[#This Row],[Número de documento del contacto]]&amp;"-"&amp;Tabla1[[#This Row],[Número de resolución de archivo]]&amp;".pdf"</f>
        <v>1095943565-7609.pdf</v>
      </c>
      <c r="Y109" s="7" t="str">
        <f t="shared" si="8"/>
        <v>ren "1-108.pdf" "1095943565-7609.pdf"</v>
      </c>
      <c r="Z109" s="7" t="str">
        <f>Tabla1[[#This Row],[Número de documento del contacto]]&amp;"_"&amp;Tabla1[[#This Row],[Número de resolución de archivo]]&amp;".pdf"</f>
        <v>1095943565_7609.pdf</v>
      </c>
      <c r="AA109" s="7" t="s">
        <v>49</v>
      </c>
      <c r="AB109" s="7" t="str">
        <f>Tabla1[[#This Row],[Nombre PDF / cedula + num resolucion]]&amp;";"&amp;Tabla1[[#This Row],[instructivo]]</f>
        <v>1095943565_7609.pdf;10. Instructivo_Radicar_Activación_Credencial_DIGITAL_SIRNA.pdf</v>
      </c>
      <c r="AC109" s="7" t="str">
        <f>Tabla1[[#This Row],[Número de resolución de archivo]]&amp;"_"&amp;Tabla1[[#This Row],[Número de documento del contacto]]</f>
        <v>7609_1095943565</v>
      </c>
    </row>
    <row r="110" spans="1:29" x14ac:dyDescent="0.25">
      <c r="A110">
        <v>17227</v>
      </c>
      <c r="B110" t="s">
        <v>14</v>
      </c>
      <c r="C110" t="s">
        <v>15</v>
      </c>
      <c r="D110" t="s">
        <v>16</v>
      </c>
      <c r="E110" t="s">
        <v>17</v>
      </c>
      <c r="F110" s="14">
        <v>46149</v>
      </c>
      <c r="G110">
        <v>1098730126</v>
      </c>
      <c r="H110" t="s">
        <v>266</v>
      </c>
      <c r="I110" t="s">
        <v>267</v>
      </c>
      <c r="J110" t="s">
        <v>20</v>
      </c>
      <c r="K110" t="s">
        <v>21</v>
      </c>
      <c r="L110" s="14">
        <v>46184</v>
      </c>
      <c r="M110">
        <v>35</v>
      </c>
      <c r="N110" t="s">
        <v>22</v>
      </c>
      <c r="O110" t="s">
        <v>22</v>
      </c>
      <c r="P110" s="14">
        <v>46105</v>
      </c>
      <c r="Q110" t="s">
        <v>23</v>
      </c>
      <c r="R110" s="7">
        <f>IFERROR(VLOOKUP(Tabla1[[#This Row],[Número de documento del contacto]],'Resoluciones 1 (Res)'!$A:$C,2,0),"")</f>
        <v>7639</v>
      </c>
      <c r="S110" s="11">
        <f>IFERROR(VLOOKUP(Tabla1[[#This Row],[Número de documento del contacto]],'Resoluciones 1 (Res)'!$A:$C,3,0),"")</f>
        <v>46184.606747685197</v>
      </c>
      <c r="T110" s="7" t="str">
        <f>IFERROR(VLOOKUP(Tabla1[[#This Row],[Número de documento del contacto]],'Resoluciones 2 (Req)'!$B:$E,3,0),"")</f>
        <v>14708</v>
      </c>
      <c r="U110" s="7" t="str">
        <f t="shared" si="6"/>
        <v>7 de mayo de 2026</v>
      </c>
      <c r="V110" s="7" t="str">
        <f t="shared" si="7"/>
        <v>24 de marzo de 2026</v>
      </c>
      <c r="W110" s="8" t="str">
        <f>"1-" &amp; ROWS($W$2:W110) &amp; ".pdf"</f>
        <v>1-109.pdf</v>
      </c>
      <c r="X110" s="7" t="str">
        <f>Tabla1[[#This Row],[Número de documento del contacto]]&amp;"-"&amp;Tabla1[[#This Row],[Número de resolución de archivo]]&amp;".pdf"</f>
        <v>1098730126-7639.pdf</v>
      </c>
      <c r="Y110" s="7" t="str">
        <f t="shared" si="8"/>
        <v>ren "1-109.pdf" "1098730126-7639.pdf"</v>
      </c>
      <c r="Z110" s="7" t="str">
        <f>Tabla1[[#This Row],[Número de documento del contacto]]&amp;"_"&amp;Tabla1[[#This Row],[Número de resolución de archivo]]&amp;".pdf"</f>
        <v>1098730126_7639.pdf</v>
      </c>
      <c r="AA110" s="7" t="s">
        <v>49</v>
      </c>
      <c r="AB110" s="7" t="str">
        <f>Tabla1[[#This Row],[Nombre PDF / cedula + num resolucion]]&amp;";"&amp;Tabla1[[#This Row],[instructivo]]</f>
        <v>1098730126_7639.pdf;10. Instructivo_Radicar_Activación_Credencial_DIGITAL_SIRNA.pdf</v>
      </c>
      <c r="AC110" s="7" t="str">
        <f>Tabla1[[#This Row],[Número de resolución de archivo]]&amp;"_"&amp;Tabla1[[#This Row],[Número de documento del contacto]]</f>
        <v>7639_1098730126</v>
      </c>
    </row>
    <row r="111" spans="1:29" x14ac:dyDescent="0.25">
      <c r="A111">
        <v>18442</v>
      </c>
      <c r="B111" t="s">
        <v>14</v>
      </c>
      <c r="C111" t="s">
        <v>15</v>
      </c>
      <c r="D111" t="s">
        <v>16</v>
      </c>
      <c r="E111" t="s">
        <v>17</v>
      </c>
      <c r="F111" s="14">
        <v>46149</v>
      </c>
      <c r="G111">
        <v>1098789661</v>
      </c>
      <c r="H111" t="s">
        <v>268</v>
      </c>
      <c r="I111" t="s">
        <v>269</v>
      </c>
      <c r="J111" t="s">
        <v>20</v>
      </c>
      <c r="K111" t="s">
        <v>21</v>
      </c>
      <c r="L111" s="14">
        <v>46184</v>
      </c>
      <c r="M111">
        <v>35</v>
      </c>
      <c r="N111" t="s">
        <v>22</v>
      </c>
      <c r="O111" t="s">
        <v>22</v>
      </c>
      <c r="P111" s="14">
        <v>46115</v>
      </c>
      <c r="Q111" t="s">
        <v>23</v>
      </c>
      <c r="R111" s="7">
        <f>IFERROR(VLOOKUP(Tabla1[[#This Row],[Número de documento del contacto]],'Resoluciones 1 (Res)'!$A:$C,2,0),"")</f>
        <v>7612</v>
      </c>
      <c r="S111" s="11">
        <f>IFERROR(VLOOKUP(Tabla1[[#This Row],[Número de documento del contacto]],'Resoluciones 1 (Res)'!$A:$C,3,0),"")</f>
        <v>46184.606747685197</v>
      </c>
      <c r="T111" s="7" t="str">
        <f>IFERROR(VLOOKUP(Tabla1[[#This Row],[Número de documento del contacto]],'Resoluciones 2 (Req)'!$B:$E,3,0),"")</f>
        <v>14637</v>
      </c>
      <c r="U111" s="7" t="str">
        <f t="shared" si="6"/>
        <v>7 de mayo de 2026</v>
      </c>
      <c r="V111" s="7" t="str">
        <f t="shared" si="7"/>
        <v>3 de abril de 2026</v>
      </c>
      <c r="W111" s="8" t="str">
        <f>"1-" &amp; ROWS($W$2:W111) &amp; ".pdf"</f>
        <v>1-110.pdf</v>
      </c>
      <c r="X111" s="7" t="str">
        <f>Tabla1[[#This Row],[Número de documento del contacto]]&amp;"-"&amp;Tabla1[[#This Row],[Número de resolución de archivo]]&amp;".pdf"</f>
        <v>1098789661-7612.pdf</v>
      </c>
      <c r="Y111" s="7" t="str">
        <f t="shared" si="8"/>
        <v>ren "1-110.pdf" "1098789661-7612.pdf"</v>
      </c>
      <c r="Z111" s="7" t="str">
        <f>Tabla1[[#This Row],[Número de documento del contacto]]&amp;"_"&amp;Tabla1[[#This Row],[Número de resolución de archivo]]&amp;".pdf"</f>
        <v>1098789661_7612.pdf</v>
      </c>
      <c r="AA111" s="7" t="s">
        <v>49</v>
      </c>
      <c r="AB111" s="7" t="str">
        <f>Tabla1[[#This Row],[Nombre PDF / cedula + num resolucion]]&amp;";"&amp;Tabla1[[#This Row],[instructivo]]</f>
        <v>1098789661_7612.pdf;10. Instructivo_Radicar_Activación_Credencial_DIGITAL_SIRNA.pdf</v>
      </c>
      <c r="AC111" s="7" t="str">
        <f>Tabla1[[#This Row],[Número de resolución de archivo]]&amp;"_"&amp;Tabla1[[#This Row],[Número de documento del contacto]]</f>
        <v>7612_1098789661</v>
      </c>
    </row>
    <row r="112" spans="1:29" x14ac:dyDescent="0.25">
      <c r="A112">
        <v>17422</v>
      </c>
      <c r="B112" t="s">
        <v>14</v>
      </c>
      <c r="C112" t="s">
        <v>15</v>
      </c>
      <c r="D112" t="s">
        <v>16</v>
      </c>
      <c r="E112" t="s">
        <v>17</v>
      </c>
      <c r="F112" s="14">
        <v>46149</v>
      </c>
      <c r="G112">
        <v>1098822183</v>
      </c>
      <c r="H112" t="s">
        <v>270</v>
      </c>
      <c r="I112" t="s">
        <v>271</v>
      </c>
      <c r="J112" t="s">
        <v>20</v>
      </c>
      <c r="K112" t="s">
        <v>21</v>
      </c>
      <c r="L112" s="14">
        <v>46184</v>
      </c>
      <c r="M112">
        <v>35</v>
      </c>
      <c r="N112" t="s">
        <v>22</v>
      </c>
      <c r="O112" t="s">
        <v>22</v>
      </c>
      <c r="P112" s="14">
        <v>46106</v>
      </c>
      <c r="Q112" t="s">
        <v>23</v>
      </c>
      <c r="R112" s="7">
        <f>IFERROR(VLOOKUP(Tabla1[[#This Row],[Número de documento del contacto]],'Resoluciones 1 (Res)'!$A:$C,2,0),"")</f>
        <v>7513</v>
      </c>
      <c r="S112" s="11">
        <f>IFERROR(VLOOKUP(Tabla1[[#This Row],[Número de documento del contacto]],'Resoluciones 1 (Res)'!$A:$C,3,0),"")</f>
        <v>46184.606747685197</v>
      </c>
      <c r="T112" s="7" t="str">
        <f>IFERROR(VLOOKUP(Tabla1[[#This Row],[Número de documento del contacto]],'Resoluciones 2 (Req)'!$B:$E,3,0),"")</f>
        <v>14709</v>
      </c>
      <c r="U112" s="7" t="str">
        <f t="shared" si="6"/>
        <v>7 de mayo de 2026</v>
      </c>
      <c r="V112" s="7" t="str">
        <f t="shared" si="7"/>
        <v>25 de marzo de 2026</v>
      </c>
      <c r="W112" s="8" t="str">
        <f>"1-" &amp; ROWS($W$2:W112) &amp; ".pdf"</f>
        <v>1-111.pdf</v>
      </c>
      <c r="X112" s="7" t="str">
        <f>Tabla1[[#This Row],[Número de documento del contacto]]&amp;"-"&amp;Tabla1[[#This Row],[Número de resolución de archivo]]&amp;".pdf"</f>
        <v>1098822183-7513.pdf</v>
      </c>
      <c r="Y112" s="7" t="str">
        <f t="shared" si="8"/>
        <v>ren "1-111.pdf" "1098822183-7513.pdf"</v>
      </c>
      <c r="Z112" s="7" t="str">
        <f>Tabla1[[#This Row],[Número de documento del contacto]]&amp;"_"&amp;Tabla1[[#This Row],[Número de resolución de archivo]]&amp;".pdf"</f>
        <v>1098822183_7513.pdf</v>
      </c>
      <c r="AA112" s="7" t="s">
        <v>49</v>
      </c>
      <c r="AB112" s="7" t="str">
        <f>Tabla1[[#This Row],[Nombre PDF / cedula + num resolucion]]&amp;";"&amp;Tabla1[[#This Row],[instructivo]]</f>
        <v>1098822183_7513.pdf;10. Instructivo_Radicar_Activación_Credencial_DIGITAL_SIRNA.pdf</v>
      </c>
      <c r="AC112" s="7" t="str">
        <f>Tabla1[[#This Row],[Número de resolución de archivo]]&amp;"_"&amp;Tabla1[[#This Row],[Número de documento del contacto]]</f>
        <v>7513_1098822183</v>
      </c>
    </row>
    <row r="113" spans="1:29" x14ac:dyDescent="0.25">
      <c r="A113">
        <v>17064</v>
      </c>
      <c r="B113" t="s">
        <v>14</v>
      </c>
      <c r="C113" t="s">
        <v>15</v>
      </c>
      <c r="D113" t="s">
        <v>16</v>
      </c>
      <c r="E113" t="s">
        <v>17</v>
      </c>
      <c r="F113" s="14">
        <v>46149</v>
      </c>
      <c r="G113">
        <v>1100960090</v>
      </c>
      <c r="H113" t="s">
        <v>272</v>
      </c>
      <c r="I113" t="s">
        <v>273</v>
      </c>
      <c r="J113" t="s">
        <v>20</v>
      </c>
      <c r="K113" t="s">
        <v>21</v>
      </c>
      <c r="L113" s="14">
        <v>46184</v>
      </c>
      <c r="M113">
        <v>35</v>
      </c>
      <c r="N113" t="s">
        <v>22</v>
      </c>
      <c r="O113" t="s">
        <v>22</v>
      </c>
      <c r="P113" s="14">
        <v>46103</v>
      </c>
      <c r="Q113" t="s">
        <v>23</v>
      </c>
      <c r="R113" s="7">
        <f>IFERROR(VLOOKUP(Tabla1[[#This Row],[Número de documento del contacto]],'Resoluciones 1 (Res)'!$A:$C,2,0),"")</f>
        <v>7697</v>
      </c>
      <c r="S113" s="11">
        <f>IFERROR(VLOOKUP(Tabla1[[#This Row],[Número de documento del contacto]],'Resoluciones 1 (Res)'!$A:$C,3,0),"")</f>
        <v>46184.606747685197</v>
      </c>
      <c r="T113" s="7" t="str">
        <f>IFERROR(VLOOKUP(Tabla1[[#This Row],[Número de documento del contacto]],'Resoluciones 2 (Req)'!$B:$E,3,0),"")</f>
        <v>14710</v>
      </c>
      <c r="U113" s="7" t="str">
        <f t="shared" si="6"/>
        <v>7 de mayo de 2026</v>
      </c>
      <c r="V113" s="7" t="str">
        <f t="shared" si="7"/>
        <v>22 de marzo de 2026</v>
      </c>
      <c r="W113" s="8" t="str">
        <f>"1-" &amp; ROWS($W$2:W113) &amp; ".pdf"</f>
        <v>1-112.pdf</v>
      </c>
      <c r="X113" s="7" t="str">
        <f>Tabla1[[#This Row],[Número de documento del contacto]]&amp;"-"&amp;Tabla1[[#This Row],[Número de resolución de archivo]]&amp;".pdf"</f>
        <v>1100960090-7697.pdf</v>
      </c>
      <c r="Y113" s="7" t="str">
        <f t="shared" si="8"/>
        <v>ren "1-112.pdf" "1100960090-7697.pdf"</v>
      </c>
      <c r="Z113" s="7" t="str">
        <f>Tabla1[[#This Row],[Número de documento del contacto]]&amp;"_"&amp;Tabla1[[#This Row],[Número de resolución de archivo]]&amp;".pdf"</f>
        <v>1100960090_7697.pdf</v>
      </c>
      <c r="AA113" s="7" t="s">
        <v>49</v>
      </c>
      <c r="AB113" s="7" t="str">
        <f>Tabla1[[#This Row],[Nombre PDF / cedula + num resolucion]]&amp;";"&amp;Tabla1[[#This Row],[instructivo]]</f>
        <v>1100960090_7697.pdf;10. Instructivo_Radicar_Activación_Credencial_DIGITAL_SIRNA.pdf</v>
      </c>
      <c r="AC113" s="7" t="str">
        <f>Tabla1[[#This Row],[Número de resolución de archivo]]&amp;"_"&amp;Tabla1[[#This Row],[Número de documento del contacto]]</f>
        <v>7697_1100960090</v>
      </c>
    </row>
    <row r="114" spans="1:29" x14ac:dyDescent="0.25">
      <c r="A114">
        <v>17967</v>
      </c>
      <c r="B114" t="s">
        <v>14</v>
      </c>
      <c r="C114" t="s">
        <v>15</v>
      </c>
      <c r="D114" t="s">
        <v>16</v>
      </c>
      <c r="E114" t="s">
        <v>17</v>
      </c>
      <c r="F114" s="14">
        <v>46149</v>
      </c>
      <c r="G114">
        <v>1101018012</v>
      </c>
      <c r="H114" t="s">
        <v>274</v>
      </c>
      <c r="I114" t="s">
        <v>275</v>
      </c>
      <c r="J114" t="s">
        <v>20</v>
      </c>
      <c r="K114" t="s">
        <v>21</v>
      </c>
      <c r="L114" s="14">
        <v>46184</v>
      </c>
      <c r="M114">
        <v>35</v>
      </c>
      <c r="N114" t="s">
        <v>22</v>
      </c>
      <c r="O114" t="s">
        <v>22</v>
      </c>
      <c r="P114" s="14">
        <v>46108</v>
      </c>
      <c r="Q114" t="s">
        <v>23</v>
      </c>
      <c r="R114" s="7">
        <f>IFERROR(VLOOKUP(Tabla1[[#This Row],[Número de documento del contacto]],'Resoluciones 1 (Res)'!$A:$C,2,0),"")</f>
        <v>7719</v>
      </c>
      <c r="S114" s="11">
        <f>IFERROR(VLOOKUP(Tabla1[[#This Row],[Número de documento del contacto]],'Resoluciones 1 (Res)'!$A:$C,3,0),"")</f>
        <v>46184.606747685197</v>
      </c>
      <c r="T114" s="7" t="str">
        <f>IFERROR(VLOOKUP(Tabla1[[#This Row],[Número de documento del contacto]],'Resoluciones 2 (Req)'!$B:$E,3,0),"")</f>
        <v>14638</v>
      </c>
      <c r="U114" s="7" t="str">
        <f t="shared" si="6"/>
        <v>7 de mayo de 2026</v>
      </c>
      <c r="V114" s="7" t="str">
        <f t="shared" si="7"/>
        <v>27 de marzo de 2026</v>
      </c>
      <c r="W114" s="8" t="str">
        <f>"1-" &amp; ROWS($W$2:W114) &amp; ".pdf"</f>
        <v>1-113.pdf</v>
      </c>
      <c r="X114" s="7" t="str">
        <f>Tabla1[[#This Row],[Número de documento del contacto]]&amp;"-"&amp;Tabla1[[#This Row],[Número de resolución de archivo]]&amp;".pdf"</f>
        <v>1101018012-7719.pdf</v>
      </c>
      <c r="Y114" s="7" t="str">
        <f t="shared" si="8"/>
        <v>ren "1-113.pdf" "1101018012-7719.pdf"</v>
      </c>
      <c r="Z114" s="7" t="str">
        <f>Tabla1[[#This Row],[Número de documento del contacto]]&amp;"_"&amp;Tabla1[[#This Row],[Número de resolución de archivo]]&amp;".pdf"</f>
        <v>1101018012_7719.pdf</v>
      </c>
      <c r="AA114" s="7" t="s">
        <v>49</v>
      </c>
      <c r="AB114" s="7" t="str">
        <f>Tabla1[[#This Row],[Nombre PDF / cedula + num resolucion]]&amp;";"&amp;Tabla1[[#This Row],[instructivo]]</f>
        <v>1101018012_7719.pdf;10. Instructivo_Radicar_Activación_Credencial_DIGITAL_SIRNA.pdf</v>
      </c>
      <c r="AC114" s="7" t="str">
        <f>Tabla1[[#This Row],[Número de resolución de archivo]]&amp;"_"&amp;Tabla1[[#This Row],[Número de documento del contacto]]</f>
        <v>7719_1101018012</v>
      </c>
    </row>
    <row r="115" spans="1:29" x14ac:dyDescent="0.25">
      <c r="A115">
        <v>17529</v>
      </c>
      <c r="B115" t="s">
        <v>14</v>
      </c>
      <c r="C115" t="s">
        <v>15</v>
      </c>
      <c r="D115" t="s">
        <v>16</v>
      </c>
      <c r="E115" t="s">
        <v>17</v>
      </c>
      <c r="F115" s="14">
        <v>46149</v>
      </c>
      <c r="G115">
        <v>1102358562</v>
      </c>
      <c r="H115" t="s">
        <v>276</v>
      </c>
      <c r="I115" t="s">
        <v>277</v>
      </c>
      <c r="J115" t="s">
        <v>20</v>
      </c>
      <c r="K115" t="s">
        <v>21</v>
      </c>
      <c r="L115" s="14">
        <v>46184</v>
      </c>
      <c r="M115">
        <v>35</v>
      </c>
      <c r="N115" t="s">
        <v>22</v>
      </c>
      <c r="O115" t="s">
        <v>22</v>
      </c>
      <c r="P115" s="14">
        <v>46106</v>
      </c>
      <c r="Q115" t="s">
        <v>23</v>
      </c>
      <c r="R115" s="7">
        <f>IFERROR(VLOOKUP(Tabla1[[#This Row],[Número de documento del contacto]],'Resoluciones 1 (Res)'!$A:$C,2,0),"")</f>
        <v>7745</v>
      </c>
      <c r="S115" s="11">
        <f>IFERROR(VLOOKUP(Tabla1[[#This Row],[Número de documento del contacto]],'Resoluciones 1 (Res)'!$A:$C,3,0),"")</f>
        <v>46184.606747685197</v>
      </c>
      <c r="T115" s="7" t="str">
        <f>IFERROR(VLOOKUP(Tabla1[[#This Row],[Número de documento del contacto]],'Resoluciones 2 (Req)'!$B:$E,3,0),"")</f>
        <v>14711</v>
      </c>
      <c r="U115" s="7" t="str">
        <f t="shared" si="6"/>
        <v>7 de mayo de 2026</v>
      </c>
      <c r="V115" s="7" t="str">
        <f t="shared" si="7"/>
        <v>25 de marzo de 2026</v>
      </c>
      <c r="W115" s="8" t="str">
        <f>"1-" &amp; ROWS($W$2:W115) &amp; ".pdf"</f>
        <v>1-114.pdf</v>
      </c>
      <c r="X115" s="7" t="str">
        <f>Tabla1[[#This Row],[Número de documento del contacto]]&amp;"-"&amp;Tabla1[[#This Row],[Número de resolución de archivo]]&amp;".pdf"</f>
        <v>1102358562-7745.pdf</v>
      </c>
      <c r="Y115" s="7" t="str">
        <f t="shared" si="8"/>
        <v>ren "1-114.pdf" "1102358562-7745.pdf"</v>
      </c>
      <c r="Z115" s="7" t="str">
        <f>Tabla1[[#This Row],[Número de documento del contacto]]&amp;"_"&amp;Tabla1[[#This Row],[Número de resolución de archivo]]&amp;".pdf"</f>
        <v>1102358562_7745.pdf</v>
      </c>
      <c r="AA115" s="7" t="s">
        <v>49</v>
      </c>
      <c r="AB115" s="7" t="str">
        <f>Tabla1[[#This Row],[Nombre PDF / cedula + num resolucion]]&amp;";"&amp;Tabla1[[#This Row],[instructivo]]</f>
        <v>1102358562_7745.pdf;10. Instructivo_Radicar_Activación_Credencial_DIGITAL_SIRNA.pdf</v>
      </c>
      <c r="AC115" s="7" t="str">
        <f>Tabla1[[#This Row],[Número de resolución de archivo]]&amp;"_"&amp;Tabla1[[#This Row],[Número de documento del contacto]]</f>
        <v>7745_1102358562</v>
      </c>
    </row>
    <row r="116" spans="1:29" x14ac:dyDescent="0.25">
      <c r="A116">
        <v>17622</v>
      </c>
      <c r="B116" t="s">
        <v>14</v>
      </c>
      <c r="C116" t="s">
        <v>15</v>
      </c>
      <c r="D116" t="s">
        <v>16</v>
      </c>
      <c r="E116" t="s">
        <v>17</v>
      </c>
      <c r="F116" s="14">
        <v>46149</v>
      </c>
      <c r="G116">
        <v>1102884114</v>
      </c>
      <c r="H116" t="s">
        <v>278</v>
      </c>
      <c r="I116" t="s">
        <v>279</v>
      </c>
      <c r="J116" t="s">
        <v>20</v>
      </c>
      <c r="K116" t="s">
        <v>21</v>
      </c>
      <c r="L116" s="14">
        <v>46184</v>
      </c>
      <c r="M116">
        <v>35</v>
      </c>
      <c r="N116" t="s">
        <v>22</v>
      </c>
      <c r="O116" t="s">
        <v>22</v>
      </c>
      <c r="P116" s="14">
        <v>46107</v>
      </c>
      <c r="Q116" t="s">
        <v>23</v>
      </c>
      <c r="R116" s="7">
        <f>IFERROR(VLOOKUP(Tabla1[[#This Row],[Número de documento del contacto]],'Resoluciones 1 (Res)'!$A:$C,2,0),"")</f>
        <v>7641</v>
      </c>
      <c r="S116" s="11">
        <f>IFERROR(VLOOKUP(Tabla1[[#This Row],[Número de documento del contacto]],'Resoluciones 1 (Res)'!$A:$C,3,0),"")</f>
        <v>46184.606747685197</v>
      </c>
      <c r="T116" s="7" t="str">
        <f>IFERROR(VLOOKUP(Tabla1[[#This Row],[Número de documento del contacto]],'Resoluciones 2 (Req)'!$B:$E,3,0),"")</f>
        <v>14712</v>
      </c>
      <c r="U116" s="7" t="str">
        <f t="shared" si="6"/>
        <v>7 de mayo de 2026</v>
      </c>
      <c r="V116" s="7" t="str">
        <f t="shared" si="7"/>
        <v>26 de marzo de 2026</v>
      </c>
      <c r="W116" s="8" t="str">
        <f>"1-" &amp; ROWS($W$2:W116) &amp; ".pdf"</f>
        <v>1-115.pdf</v>
      </c>
      <c r="X116" s="7" t="str">
        <f>Tabla1[[#This Row],[Número de documento del contacto]]&amp;"-"&amp;Tabla1[[#This Row],[Número de resolución de archivo]]&amp;".pdf"</f>
        <v>1102884114-7641.pdf</v>
      </c>
      <c r="Y116" s="7" t="str">
        <f t="shared" si="8"/>
        <v>ren "1-115.pdf" "1102884114-7641.pdf"</v>
      </c>
      <c r="Z116" s="7" t="str">
        <f>Tabla1[[#This Row],[Número de documento del contacto]]&amp;"_"&amp;Tabla1[[#This Row],[Número de resolución de archivo]]&amp;".pdf"</f>
        <v>1102884114_7641.pdf</v>
      </c>
      <c r="AA116" s="7" t="s">
        <v>49</v>
      </c>
      <c r="AB116" s="7" t="str">
        <f>Tabla1[[#This Row],[Nombre PDF / cedula + num resolucion]]&amp;";"&amp;Tabla1[[#This Row],[instructivo]]</f>
        <v>1102884114_7641.pdf;10. Instructivo_Radicar_Activación_Credencial_DIGITAL_SIRNA.pdf</v>
      </c>
      <c r="AC116" s="7" t="str">
        <f>Tabla1[[#This Row],[Número de resolución de archivo]]&amp;"_"&amp;Tabla1[[#This Row],[Número de documento del contacto]]</f>
        <v>7641_1102884114</v>
      </c>
    </row>
    <row r="117" spans="1:29" x14ac:dyDescent="0.25">
      <c r="A117">
        <v>17642</v>
      </c>
      <c r="B117" t="s">
        <v>14</v>
      </c>
      <c r="C117" t="s">
        <v>15</v>
      </c>
      <c r="D117" t="s">
        <v>16</v>
      </c>
      <c r="E117" t="s">
        <v>17</v>
      </c>
      <c r="F117" s="14">
        <v>46149</v>
      </c>
      <c r="G117">
        <v>1107520651</v>
      </c>
      <c r="H117" t="s">
        <v>280</v>
      </c>
      <c r="I117" t="s">
        <v>281</v>
      </c>
      <c r="J117" t="s">
        <v>20</v>
      </c>
      <c r="K117" t="s">
        <v>21</v>
      </c>
      <c r="L117" s="14">
        <v>46184</v>
      </c>
      <c r="M117">
        <v>35</v>
      </c>
      <c r="N117" t="s">
        <v>22</v>
      </c>
      <c r="O117" t="s">
        <v>22</v>
      </c>
      <c r="P117" s="14">
        <v>46107</v>
      </c>
      <c r="Q117" t="s">
        <v>23</v>
      </c>
      <c r="R117" s="7">
        <f>IFERROR(VLOOKUP(Tabla1[[#This Row],[Número de documento del contacto]],'Resoluciones 1 (Res)'!$A:$C,2,0),"")</f>
        <v>7575</v>
      </c>
      <c r="S117" s="11">
        <f>IFERROR(VLOOKUP(Tabla1[[#This Row],[Número de documento del contacto]],'Resoluciones 1 (Res)'!$A:$C,3,0),"")</f>
        <v>46184.606747685197</v>
      </c>
      <c r="T117" s="7" t="str">
        <f>IFERROR(VLOOKUP(Tabla1[[#This Row],[Número de documento del contacto]],'Resoluciones 2 (Req)'!$B:$E,3,0),"")</f>
        <v>14713</v>
      </c>
      <c r="U117" s="7" t="str">
        <f t="shared" si="6"/>
        <v>7 de mayo de 2026</v>
      </c>
      <c r="V117" s="7" t="str">
        <f t="shared" si="7"/>
        <v>26 de marzo de 2026</v>
      </c>
      <c r="W117" s="8" t="str">
        <f>"1-" &amp; ROWS($W$2:W117) &amp; ".pdf"</f>
        <v>1-116.pdf</v>
      </c>
      <c r="X117" s="7" t="str">
        <f>Tabla1[[#This Row],[Número de documento del contacto]]&amp;"-"&amp;Tabla1[[#This Row],[Número de resolución de archivo]]&amp;".pdf"</f>
        <v>1107520651-7575.pdf</v>
      </c>
      <c r="Y117" s="7" t="str">
        <f t="shared" si="8"/>
        <v>ren "1-116.pdf" "1107520651-7575.pdf"</v>
      </c>
      <c r="Z117" s="7" t="str">
        <f>Tabla1[[#This Row],[Número de documento del contacto]]&amp;"_"&amp;Tabla1[[#This Row],[Número de resolución de archivo]]&amp;".pdf"</f>
        <v>1107520651_7575.pdf</v>
      </c>
      <c r="AA117" s="7" t="s">
        <v>49</v>
      </c>
      <c r="AB117" s="7" t="str">
        <f>Tabla1[[#This Row],[Nombre PDF / cedula + num resolucion]]&amp;";"&amp;Tabla1[[#This Row],[instructivo]]</f>
        <v>1107520651_7575.pdf;10. Instructivo_Radicar_Activación_Credencial_DIGITAL_SIRNA.pdf</v>
      </c>
      <c r="AC117" s="7" t="str">
        <f>Tabla1[[#This Row],[Número de resolución de archivo]]&amp;"_"&amp;Tabla1[[#This Row],[Número de documento del contacto]]</f>
        <v>7575_1107520651</v>
      </c>
    </row>
    <row r="118" spans="1:29" x14ac:dyDescent="0.25">
      <c r="A118">
        <v>16653</v>
      </c>
      <c r="B118" t="s">
        <v>14</v>
      </c>
      <c r="C118" t="s">
        <v>15</v>
      </c>
      <c r="D118" t="s">
        <v>16</v>
      </c>
      <c r="E118" t="s">
        <v>17</v>
      </c>
      <c r="F118" s="14">
        <v>46149</v>
      </c>
      <c r="G118">
        <v>1110514278</v>
      </c>
      <c r="H118" t="s">
        <v>282</v>
      </c>
      <c r="I118" t="s">
        <v>283</v>
      </c>
      <c r="J118" t="s">
        <v>20</v>
      </c>
      <c r="K118" t="s">
        <v>21</v>
      </c>
      <c r="L118" s="14">
        <v>46184</v>
      </c>
      <c r="M118">
        <v>35</v>
      </c>
      <c r="N118" t="s">
        <v>22</v>
      </c>
      <c r="O118" t="s">
        <v>22</v>
      </c>
      <c r="P118" s="14">
        <v>46100</v>
      </c>
      <c r="Q118" t="s">
        <v>23</v>
      </c>
      <c r="R118" s="7">
        <f>IFERROR(VLOOKUP(Tabla1[[#This Row],[Número de documento del contacto]],'Resoluciones 1 (Res)'!$A:$C,2,0),"")</f>
        <v>7444</v>
      </c>
      <c r="S118" s="11">
        <f>IFERROR(VLOOKUP(Tabla1[[#This Row],[Número de documento del contacto]],'Resoluciones 1 (Res)'!$A:$C,3,0),"")</f>
        <v>46184.606747685197</v>
      </c>
      <c r="T118" s="7" t="str">
        <f>IFERROR(VLOOKUP(Tabla1[[#This Row],[Número de documento del contacto]],'Resoluciones 2 (Req)'!$B:$E,3,0),"")</f>
        <v>14733</v>
      </c>
      <c r="U118" s="7" t="str">
        <f t="shared" si="6"/>
        <v>7 de mayo de 2026</v>
      </c>
      <c r="V118" s="7" t="str">
        <f t="shared" si="7"/>
        <v>19 de marzo de 2026</v>
      </c>
      <c r="W118" s="8" t="str">
        <f>"1-" &amp; ROWS($W$2:W118) &amp; ".pdf"</f>
        <v>1-117.pdf</v>
      </c>
      <c r="X118" s="7" t="str">
        <f>Tabla1[[#This Row],[Número de documento del contacto]]&amp;"-"&amp;Tabla1[[#This Row],[Número de resolución de archivo]]&amp;".pdf"</f>
        <v>1110514278-7444.pdf</v>
      </c>
      <c r="Y118" s="7" t="str">
        <f t="shared" si="8"/>
        <v>ren "1-117.pdf" "1110514278-7444.pdf"</v>
      </c>
      <c r="Z118" s="7" t="str">
        <f>Tabla1[[#This Row],[Número de documento del contacto]]&amp;"_"&amp;Tabla1[[#This Row],[Número de resolución de archivo]]&amp;".pdf"</f>
        <v>1110514278_7444.pdf</v>
      </c>
      <c r="AA118" s="7" t="s">
        <v>49</v>
      </c>
      <c r="AB118" s="7" t="str">
        <f>Tabla1[[#This Row],[Nombre PDF / cedula + num resolucion]]&amp;";"&amp;Tabla1[[#This Row],[instructivo]]</f>
        <v>1110514278_7444.pdf;10. Instructivo_Radicar_Activación_Credencial_DIGITAL_SIRNA.pdf</v>
      </c>
      <c r="AC118" s="7" t="str">
        <f>Tabla1[[#This Row],[Número de resolución de archivo]]&amp;"_"&amp;Tabla1[[#This Row],[Número de documento del contacto]]</f>
        <v>7444_1110514278</v>
      </c>
    </row>
    <row r="119" spans="1:29" x14ac:dyDescent="0.25">
      <c r="A119">
        <v>13809</v>
      </c>
      <c r="B119" t="s">
        <v>14</v>
      </c>
      <c r="C119" t="s">
        <v>15</v>
      </c>
      <c r="D119" t="s">
        <v>16</v>
      </c>
      <c r="E119" t="s">
        <v>17</v>
      </c>
      <c r="F119" s="14">
        <v>46149</v>
      </c>
      <c r="G119">
        <v>1114874471</v>
      </c>
      <c r="H119" t="s">
        <v>284</v>
      </c>
      <c r="I119" t="s">
        <v>285</v>
      </c>
      <c r="J119" t="s">
        <v>20</v>
      </c>
      <c r="K119" t="s">
        <v>21</v>
      </c>
      <c r="L119" s="14">
        <v>46184</v>
      </c>
      <c r="M119">
        <v>35</v>
      </c>
      <c r="N119" t="s">
        <v>22</v>
      </c>
      <c r="O119" t="s">
        <v>22</v>
      </c>
      <c r="P119" s="14">
        <v>46084</v>
      </c>
      <c r="Q119" t="s">
        <v>23</v>
      </c>
      <c r="R119" s="7">
        <f>IFERROR(VLOOKUP(Tabla1[[#This Row],[Número de documento del contacto]],'Resoluciones 1 (Res)'!$A:$C,2,0),"")</f>
        <v>7542</v>
      </c>
      <c r="S119" s="11">
        <f>IFERROR(VLOOKUP(Tabla1[[#This Row],[Número de documento del contacto]],'Resoluciones 1 (Res)'!$A:$C,3,0),"")</f>
        <v>46184.606747685197</v>
      </c>
      <c r="T119" s="7" t="str">
        <f>IFERROR(VLOOKUP(Tabla1[[#This Row],[Número de documento del contacto]],'Resoluciones 2 (Req)'!$B:$E,3,0),"")</f>
        <v>14786</v>
      </c>
      <c r="U119" s="7" t="str">
        <f t="shared" si="6"/>
        <v>7 de mayo de 2026</v>
      </c>
      <c r="V119" s="7" t="str">
        <f t="shared" si="7"/>
        <v>3 de marzo de 2026</v>
      </c>
      <c r="W119" s="8" t="str">
        <f>"1-" &amp; ROWS($W$2:W119) &amp; ".pdf"</f>
        <v>1-118.pdf</v>
      </c>
      <c r="X119" s="7" t="str">
        <f>Tabla1[[#This Row],[Número de documento del contacto]]&amp;"-"&amp;Tabla1[[#This Row],[Número de resolución de archivo]]&amp;".pdf"</f>
        <v>1114874471-7542.pdf</v>
      </c>
      <c r="Y119" s="7" t="str">
        <f t="shared" si="8"/>
        <v>ren "1-118.pdf" "1114874471-7542.pdf"</v>
      </c>
      <c r="Z119" s="7" t="str">
        <f>Tabla1[[#This Row],[Número de documento del contacto]]&amp;"_"&amp;Tabla1[[#This Row],[Número de resolución de archivo]]&amp;".pdf"</f>
        <v>1114874471_7542.pdf</v>
      </c>
      <c r="AA119" s="7" t="s">
        <v>49</v>
      </c>
      <c r="AB119" s="7" t="str">
        <f>Tabla1[[#This Row],[Nombre PDF / cedula + num resolucion]]&amp;";"&amp;Tabla1[[#This Row],[instructivo]]</f>
        <v>1114874471_7542.pdf;10. Instructivo_Radicar_Activación_Credencial_DIGITAL_SIRNA.pdf</v>
      </c>
      <c r="AC119" s="7" t="str">
        <f>Tabla1[[#This Row],[Número de resolución de archivo]]&amp;"_"&amp;Tabla1[[#This Row],[Número de documento del contacto]]</f>
        <v>7542_1114874471</v>
      </c>
    </row>
    <row r="120" spans="1:29" x14ac:dyDescent="0.25">
      <c r="A120">
        <v>18268</v>
      </c>
      <c r="B120" t="s">
        <v>14</v>
      </c>
      <c r="C120" t="s">
        <v>15</v>
      </c>
      <c r="D120" t="s">
        <v>16</v>
      </c>
      <c r="E120" t="s">
        <v>17</v>
      </c>
      <c r="F120" s="14">
        <v>46149</v>
      </c>
      <c r="G120">
        <v>1115860506</v>
      </c>
      <c r="H120" t="s">
        <v>286</v>
      </c>
      <c r="I120" t="s">
        <v>287</v>
      </c>
      <c r="J120" t="s">
        <v>20</v>
      </c>
      <c r="K120" t="s">
        <v>21</v>
      </c>
      <c r="L120" s="14">
        <v>46184</v>
      </c>
      <c r="M120">
        <v>35</v>
      </c>
      <c r="N120" t="s">
        <v>22</v>
      </c>
      <c r="O120" t="s">
        <v>22</v>
      </c>
      <c r="P120" s="14">
        <v>46111</v>
      </c>
      <c r="Q120" t="s">
        <v>23</v>
      </c>
      <c r="R120" s="7">
        <f>IFERROR(VLOOKUP(Tabla1[[#This Row],[Número de documento del contacto]],'Resoluciones 1 (Res)'!$A:$C,2,0),"")</f>
        <v>7712</v>
      </c>
      <c r="S120" s="11">
        <f>IFERROR(VLOOKUP(Tabla1[[#This Row],[Número de documento del contacto]],'Resoluciones 1 (Res)'!$A:$C,3,0),"")</f>
        <v>46184.606747685197</v>
      </c>
      <c r="T120" s="7" t="str">
        <f>IFERROR(VLOOKUP(Tabla1[[#This Row],[Número de documento del contacto]],'Resoluciones 2 (Req)'!$B:$E,3,0),"")</f>
        <v>14639</v>
      </c>
      <c r="U120" s="7" t="str">
        <f t="shared" si="6"/>
        <v>7 de mayo de 2026</v>
      </c>
      <c r="V120" s="7" t="str">
        <f t="shared" si="7"/>
        <v>30 de marzo de 2026</v>
      </c>
      <c r="W120" s="8" t="str">
        <f>"1-" &amp; ROWS($W$2:W120) &amp; ".pdf"</f>
        <v>1-119.pdf</v>
      </c>
      <c r="X120" s="7" t="str">
        <f>Tabla1[[#This Row],[Número de documento del contacto]]&amp;"-"&amp;Tabla1[[#This Row],[Número de resolución de archivo]]&amp;".pdf"</f>
        <v>1115860506-7712.pdf</v>
      </c>
      <c r="Y120" s="7" t="str">
        <f t="shared" si="8"/>
        <v>ren "1-119.pdf" "1115860506-7712.pdf"</v>
      </c>
      <c r="Z120" s="7" t="str">
        <f>Tabla1[[#This Row],[Número de documento del contacto]]&amp;"_"&amp;Tabla1[[#This Row],[Número de resolución de archivo]]&amp;".pdf"</f>
        <v>1115860506_7712.pdf</v>
      </c>
      <c r="AA120" s="7" t="s">
        <v>49</v>
      </c>
      <c r="AB120" s="7" t="str">
        <f>Tabla1[[#This Row],[Nombre PDF / cedula + num resolucion]]&amp;";"&amp;Tabla1[[#This Row],[instructivo]]</f>
        <v>1115860506_7712.pdf;10. Instructivo_Radicar_Activación_Credencial_DIGITAL_SIRNA.pdf</v>
      </c>
      <c r="AC120" s="7" t="str">
        <f>Tabla1[[#This Row],[Número de resolución de archivo]]&amp;"_"&amp;Tabla1[[#This Row],[Número de documento del contacto]]</f>
        <v>7712_1115860506</v>
      </c>
    </row>
    <row r="121" spans="1:29" x14ac:dyDescent="0.25">
      <c r="A121">
        <v>17144</v>
      </c>
      <c r="B121" t="s">
        <v>14</v>
      </c>
      <c r="C121" t="s">
        <v>15</v>
      </c>
      <c r="D121" t="s">
        <v>16</v>
      </c>
      <c r="E121" t="s">
        <v>17</v>
      </c>
      <c r="F121" s="14">
        <v>46149</v>
      </c>
      <c r="G121">
        <v>1118823654</v>
      </c>
      <c r="H121" t="s">
        <v>288</v>
      </c>
      <c r="I121" t="s">
        <v>289</v>
      </c>
      <c r="J121" t="s">
        <v>20</v>
      </c>
      <c r="K121" t="s">
        <v>21</v>
      </c>
      <c r="L121" s="14">
        <v>46184</v>
      </c>
      <c r="M121">
        <v>35</v>
      </c>
      <c r="N121" t="s">
        <v>22</v>
      </c>
      <c r="O121" t="s">
        <v>22</v>
      </c>
      <c r="P121" s="14">
        <v>46104</v>
      </c>
      <c r="Q121" t="s">
        <v>23</v>
      </c>
      <c r="R121" s="7">
        <f>IFERROR(VLOOKUP(Tabla1[[#This Row],[Número de documento del contacto]],'Resoluciones 1 (Res)'!$A:$C,2,0),"")</f>
        <v>7676</v>
      </c>
      <c r="S121" s="11">
        <f>IFERROR(VLOOKUP(Tabla1[[#This Row],[Número de documento del contacto]],'Resoluciones 1 (Res)'!$A:$C,3,0),"")</f>
        <v>46184.606747685197</v>
      </c>
      <c r="T121" s="7" t="str">
        <f>IFERROR(VLOOKUP(Tabla1[[#This Row],[Número de documento del contacto]],'Resoluciones 2 (Req)'!$B:$E,3,0),"")</f>
        <v>14714</v>
      </c>
      <c r="U121" s="7" t="str">
        <f t="shared" si="6"/>
        <v>7 de mayo de 2026</v>
      </c>
      <c r="V121" s="7" t="str">
        <f t="shared" si="7"/>
        <v>23 de marzo de 2026</v>
      </c>
      <c r="W121" s="8" t="str">
        <f>"1-" &amp; ROWS($W$2:W121) &amp; ".pdf"</f>
        <v>1-120.pdf</v>
      </c>
      <c r="X121" s="7" t="str">
        <f>Tabla1[[#This Row],[Número de documento del contacto]]&amp;"-"&amp;Tabla1[[#This Row],[Número de resolución de archivo]]&amp;".pdf"</f>
        <v>1118823654-7676.pdf</v>
      </c>
      <c r="Y121" s="7" t="str">
        <f t="shared" si="8"/>
        <v>ren "1-120.pdf" "1118823654-7676.pdf"</v>
      </c>
      <c r="Z121" s="7" t="str">
        <f>Tabla1[[#This Row],[Número de documento del contacto]]&amp;"_"&amp;Tabla1[[#This Row],[Número de resolución de archivo]]&amp;".pdf"</f>
        <v>1118823654_7676.pdf</v>
      </c>
      <c r="AA121" s="7" t="s">
        <v>49</v>
      </c>
      <c r="AB121" s="7" t="str">
        <f>Tabla1[[#This Row],[Nombre PDF / cedula + num resolucion]]&amp;";"&amp;Tabla1[[#This Row],[instructivo]]</f>
        <v>1118823654_7676.pdf;10. Instructivo_Radicar_Activación_Credencial_DIGITAL_SIRNA.pdf</v>
      </c>
      <c r="AC121" s="7" t="str">
        <f>Tabla1[[#This Row],[Número de resolución de archivo]]&amp;"_"&amp;Tabla1[[#This Row],[Número de documento del contacto]]</f>
        <v>7676_1118823654</v>
      </c>
    </row>
    <row r="122" spans="1:29" x14ac:dyDescent="0.25">
      <c r="A122">
        <v>17156</v>
      </c>
      <c r="B122" t="s">
        <v>14</v>
      </c>
      <c r="C122" t="s">
        <v>15</v>
      </c>
      <c r="D122" t="s">
        <v>16</v>
      </c>
      <c r="E122" t="s">
        <v>17</v>
      </c>
      <c r="F122" s="14">
        <v>46149</v>
      </c>
      <c r="G122">
        <v>1119838015</v>
      </c>
      <c r="H122" t="s">
        <v>290</v>
      </c>
      <c r="I122" t="s">
        <v>291</v>
      </c>
      <c r="J122" t="s">
        <v>20</v>
      </c>
      <c r="K122" t="s">
        <v>21</v>
      </c>
      <c r="L122" s="14">
        <v>46184</v>
      </c>
      <c r="M122">
        <v>35</v>
      </c>
      <c r="N122" t="s">
        <v>22</v>
      </c>
      <c r="O122" t="s">
        <v>22</v>
      </c>
      <c r="P122" s="14">
        <v>46105</v>
      </c>
      <c r="Q122" t="s">
        <v>23</v>
      </c>
      <c r="R122" s="7">
        <f>IFERROR(VLOOKUP(Tabla1[[#This Row],[Número de documento del contacto]],'Resoluciones 1 (Res)'!$A:$C,2,0),"")</f>
        <v>7472</v>
      </c>
      <c r="S122" s="11">
        <f>IFERROR(VLOOKUP(Tabla1[[#This Row],[Número de documento del contacto]],'Resoluciones 1 (Res)'!$A:$C,3,0),"")</f>
        <v>46184.606747685197</v>
      </c>
      <c r="T122" s="7" t="str">
        <f>IFERROR(VLOOKUP(Tabla1[[#This Row],[Número de documento del contacto]],'Resoluciones 2 (Req)'!$B:$E,3,0),"")</f>
        <v>14715</v>
      </c>
      <c r="U122" s="7" t="str">
        <f t="shared" si="6"/>
        <v>7 de mayo de 2026</v>
      </c>
      <c r="V122" s="7" t="str">
        <f t="shared" si="7"/>
        <v>24 de marzo de 2026</v>
      </c>
      <c r="W122" s="8" t="str">
        <f>"1-" &amp; ROWS($W$2:W122) &amp; ".pdf"</f>
        <v>1-121.pdf</v>
      </c>
      <c r="X122" s="7" t="str">
        <f>Tabla1[[#This Row],[Número de documento del contacto]]&amp;"-"&amp;Tabla1[[#This Row],[Número de resolución de archivo]]&amp;".pdf"</f>
        <v>1119838015-7472.pdf</v>
      </c>
      <c r="Y122" s="7" t="str">
        <f t="shared" si="8"/>
        <v>ren "1-121.pdf" "1119838015-7472.pdf"</v>
      </c>
      <c r="Z122" s="7" t="str">
        <f>Tabla1[[#This Row],[Número de documento del contacto]]&amp;"_"&amp;Tabla1[[#This Row],[Número de resolución de archivo]]&amp;".pdf"</f>
        <v>1119838015_7472.pdf</v>
      </c>
      <c r="AA122" s="7" t="s">
        <v>49</v>
      </c>
      <c r="AB122" s="7" t="str">
        <f>Tabla1[[#This Row],[Nombre PDF / cedula + num resolucion]]&amp;";"&amp;Tabla1[[#This Row],[instructivo]]</f>
        <v>1119838015_7472.pdf;10. Instructivo_Radicar_Activación_Credencial_DIGITAL_SIRNA.pdf</v>
      </c>
      <c r="AC122" s="7" t="str">
        <f>Tabla1[[#This Row],[Número de resolución de archivo]]&amp;"_"&amp;Tabla1[[#This Row],[Número de documento del contacto]]</f>
        <v>7472_1119838015</v>
      </c>
    </row>
    <row r="123" spans="1:29" x14ac:dyDescent="0.25">
      <c r="A123">
        <v>17000</v>
      </c>
      <c r="B123" t="s">
        <v>14</v>
      </c>
      <c r="C123" t="s">
        <v>15</v>
      </c>
      <c r="D123" t="s">
        <v>16</v>
      </c>
      <c r="E123" t="s">
        <v>17</v>
      </c>
      <c r="F123" s="14">
        <v>46149</v>
      </c>
      <c r="G123">
        <v>1121929214</v>
      </c>
      <c r="H123" t="s">
        <v>292</v>
      </c>
      <c r="I123" t="s">
        <v>293</v>
      </c>
      <c r="J123" t="s">
        <v>20</v>
      </c>
      <c r="K123" t="s">
        <v>21</v>
      </c>
      <c r="L123" s="14">
        <v>46184</v>
      </c>
      <c r="M123">
        <v>35</v>
      </c>
      <c r="N123" t="s">
        <v>22</v>
      </c>
      <c r="O123" t="s">
        <v>22</v>
      </c>
      <c r="P123" s="14">
        <v>46102</v>
      </c>
      <c r="Q123" t="s">
        <v>23</v>
      </c>
      <c r="R123" s="7">
        <f>IFERROR(VLOOKUP(Tabla1[[#This Row],[Número de documento del contacto]],'Resoluciones 1 (Res)'!$A:$C,2,0),"")</f>
        <v>7743</v>
      </c>
      <c r="S123" s="11">
        <f>IFERROR(VLOOKUP(Tabla1[[#This Row],[Número de documento del contacto]],'Resoluciones 1 (Res)'!$A:$C,3,0),"")</f>
        <v>46184.606747685197</v>
      </c>
      <c r="T123" s="7" t="str">
        <f>IFERROR(VLOOKUP(Tabla1[[#This Row],[Número de documento del contacto]],'Resoluciones 2 (Req)'!$B:$E,3,0),"")</f>
        <v>14716</v>
      </c>
      <c r="U123" s="7" t="str">
        <f t="shared" si="6"/>
        <v>7 de mayo de 2026</v>
      </c>
      <c r="V123" s="7" t="str">
        <f t="shared" si="7"/>
        <v>21 de marzo de 2026</v>
      </c>
      <c r="W123" s="8" t="str">
        <f>"1-" &amp; ROWS($W$2:W123) &amp; ".pdf"</f>
        <v>1-122.pdf</v>
      </c>
      <c r="X123" s="7" t="str">
        <f>Tabla1[[#This Row],[Número de documento del contacto]]&amp;"-"&amp;Tabla1[[#This Row],[Número de resolución de archivo]]&amp;".pdf"</f>
        <v>1121929214-7743.pdf</v>
      </c>
      <c r="Y123" s="7" t="str">
        <f t="shared" si="8"/>
        <v>ren "1-122.pdf" "1121929214-7743.pdf"</v>
      </c>
      <c r="Z123" s="7" t="str">
        <f>Tabla1[[#This Row],[Número de documento del contacto]]&amp;"_"&amp;Tabla1[[#This Row],[Número de resolución de archivo]]&amp;".pdf"</f>
        <v>1121929214_7743.pdf</v>
      </c>
      <c r="AA123" s="7" t="s">
        <v>49</v>
      </c>
      <c r="AB123" s="7" t="str">
        <f>Tabla1[[#This Row],[Nombre PDF / cedula + num resolucion]]&amp;";"&amp;Tabla1[[#This Row],[instructivo]]</f>
        <v>1121929214_7743.pdf;10. Instructivo_Radicar_Activación_Credencial_DIGITAL_SIRNA.pdf</v>
      </c>
      <c r="AC123" s="7" t="str">
        <f>Tabla1[[#This Row],[Número de resolución de archivo]]&amp;"_"&amp;Tabla1[[#This Row],[Número de documento del contacto]]</f>
        <v>7743_1121929214</v>
      </c>
    </row>
    <row r="124" spans="1:29" x14ac:dyDescent="0.25">
      <c r="A124">
        <v>16845</v>
      </c>
      <c r="B124" t="s">
        <v>14</v>
      </c>
      <c r="C124" t="s">
        <v>15</v>
      </c>
      <c r="D124" t="s">
        <v>16</v>
      </c>
      <c r="E124" t="s">
        <v>17</v>
      </c>
      <c r="F124" s="14">
        <v>46149</v>
      </c>
      <c r="G124">
        <v>1122136757</v>
      </c>
      <c r="H124" t="s">
        <v>294</v>
      </c>
      <c r="I124" t="s">
        <v>295</v>
      </c>
      <c r="J124" t="s">
        <v>20</v>
      </c>
      <c r="K124" t="s">
        <v>21</v>
      </c>
      <c r="L124" s="14">
        <v>46184</v>
      </c>
      <c r="M124">
        <v>35</v>
      </c>
      <c r="N124" t="s">
        <v>22</v>
      </c>
      <c r="O124" t="s">
        <v>22</v>
      </c>
      <c r="P124" s="14">
        <v>46101</v>
      </c>
      <c r="Q124" t="s">
        <v>23</v>
      </c>
      <c r="R124" s="7">
        <f>IFERROR(VLOOKUP(Tabla1[[#This Row],[Número de documento del contacto]],'Resoluciones 1 (Res)'!$A:$C,2,0),"")</f>
        <v>7545</v>
      </c>
      <c r="S124" s="11">
        <f>IFERROR(VLOOKUP(Tabla1[[#This Row],[Número de documento del contacto]],'Resoluciones 1 (Res)'!$A:$C,3,0),"")</f>
        <v>46184.606747685197</v>
      </c>
      <c r="T124" s="7" t="str">
        <f>IFERROR(VLOOKUP(Tabla1[[#This Row],[Número de documento del contacto]],'Resoluciones 2 (Req)'!$B:$E,3,0),"")</f>
        <v>14717</v>
      </c>
      <c r="U124" s="7" t="str">
        <f t="shared" si="6"/>
        <v>7 de mayo de 2026</v>
      </c>
      <c r="V124" s="7" t="str">
        <f t="shared" si="7"/>
        <v>20 de marzo de 2026</v>
      </c>
      <c r="W124" s="8" t="str">
        <f>"1-" &amp; ROWS($W$2:W124) &amp; ".pdf"</f>
        <v>1-123.pdf</v>
      </c>
      <c r="X124" s="7" t="str">
        <f>Tabla1[[#This Row],[Número de documento del contacto]]&amp;"-"&amp;Tabla1[[#This Row],[Número de resolución de archivo]]&amp;".pdf"</f>
        <v>1122136757-7545.pdf</v>
      </c>
      <c r="Y124" s="7" t="str">
        <f t="shared" si="8"/>
        <v>ren "1-123.pdf" "1122136757-7545.pdf"</v>
      </c>
      <c r="Z124" s="7" t="str">
        <f>Tabla1[[#This Row],[Número de documento del contacto]]&amp;"_"&amp;Tabla1[[#This Row],[Número de resolución de archivo]]&amp;".pdf"</f>
        <v>1122136757_7545.pdf</v>
      </c>
      <c r="AA124" s="7" t="s">
        <v>49</v>
      </c>
      <c r="AB124" s="7" t="str">
        <f>Tabla1[[#This Row],[Nombre PDF / cedula + num resolucion]]&amp;";"&amp;Tabla1[[#This Row],[instructivo]]</f>
        <v>1122136757_7545.pdf;10. Instructivo_Radicar_Activación_Credencial_DIGITAL_SIRNA.pdf</v>
      </c>
      <c r="AC124" s="7" t="str">
        <f>Tabla1[[#This Row],[Número de resolución de archivo]]&amp;"_"&amp;Tabla1[[#This Row],[Número de documento del contacto]]</f>
        <v>7545_1122136757</v>
      </c>
    </row>
    <row r="125" spans="1:29" x14ac:dyDescent="0.25">
      <c r="A125">
        <v>13845</v>
      </c>
      <c r="B125" t="s">
        <v>14</v>
      </c>
      <c r="C125" t="s">
        <v>15</v>
      </c>
      <c r="D125" t="s">
        <v>16</v>
      </c>
      <c r="E125" t="s">
        <v>17</v>
      </c>
      <c r="F125" s="14">
        <v>46149</v>
      </c>
      <c r="G125">
        <v>1128264345</v>
      </c>
      <c r="H125" t="s">
        <v>296</v>
      </c>
      <c r="I125" t="s">
        <v>297</v>
      </c>
      <c r="J125" t="s">
        <v>20</v>
      </c>
      <c r="K125" t="s">
        <v>21</v>
      </c>
      <c r="L125" s="14">
        <v>46184</v>
      </c>
      <c r="M125">
        <v>35</v>
      </c>
      <c r="N125" t="s">
        <v>22</v>
      </c>
      <c r="O125" t="s">
        <v>22</v>
      </c>
      <c r="P125" s="14">
        <v>46084</v>
      </c>
      <c r="Q125" t="s">
        <v>23</v>
      </c>
      <c r="R125" s="7">
        <f>IFERROR(VLOOKUP(Tabla1[[#This Row],[Número de documento del contacto]],'Resoluciones 1 (Res)'!$A:$C,2,0),"")</f>
        <v>7727</v>
      </c>
      <c r="S125" s="11">
        <f>IFERROR(VLOOKUP(Tabla1[[#This Row],[Número de documento del contacto]],'Resoluciones 1 (Res)'!$A:$C,3,0),"")</f>
        <v>46184.606747685197</v>
      </c>
      <c r="T125" s="7" t="str">
        <f>IFERROR(VLOOKUP(Tabla1[[#This Row],[Número de documento del contacto]],'Resoluciones 2 (Req)'!$B:$E,3,0),"")</f>
        <v>14787</v>
      </c>
      <c r="U125" s="7" t="str">
        <f t="shared" si="6"/>
        <v>7 de mayo de 2026</v>
      </c>
      <c r="V125" s="7" t="str">
        <f t="shared" si="7"/>
        <v>3 de marzo de 2026</v>
      </c>
      <c r="W125" s="8" t="str">
        <f>"1-" &amp; ROWS($W$2:W125) &amp; ".pdf"</f>
        <v>1-124.pdf</v>
      </c>
      <c r="X125" s="7" t="str">
        <f>Tabla1[[#This Row],[Número de documento del contacto]]&amp;"-"&amp;Tabla1[[#This Row],[Número de resolución de archivo]]&amp;".pdf"</f>
        <v>1128264345-7727.pdf</v>
      </c>
      <c r="Y125" s="7" t="str">
        <f t="shared" si="8"/>
        <v>ren "1-124.pdf" "1128264345-7727.pdf"</v>
      </c>
      <c r="Z125" s="7" t="str">
        <f>Tabla1[[#This Row],[Número de documento del contacto]]&amp;"_"&amp;Tabla1[[#This Row],[Número de resolución de archivo]]&amp;".pdf"</f>
        <v>1128264345_7727.pdf</v>
      </c>
      <c r="AA125" s="7" t="s">
        <v>49</v>
      </c>
      <c r="AB125" s="7" t="str">
        <f>Tabla1[[#This Row],[Nombre PDF / cedula + num resolucion]]&amp;";"&amp;Tabla1[[#This Row],[instructivo]]</f>
        <v>1128264345_7727.pdf;10. Instructivo_Radicar_Activación_Credencial_DIGITAL_SIRNA.pdf</v>
      </c>
      <c r="AC125" s="7" t="str">
        <f>Tabla1[[#This Row],[Número de resolución de archivo]]&amp;"_"&amp;Tabla1[[#This Row],[Número de documento del contacto]]</f>
        <v>7727_1128264345</v>
      </c>
    </row>
    <row r="126" spans="1:29" x14ac:dyDescent="0.25">
      <c r="A126">
        <v>14018</v>
      </c>
      <c r="B126" t="s">
        <v>14</v>
      </c>
      <c r="C126" t="s">
        <v>15</v>
      </c>
      <c r="D126" t="s">
        <v>16</v>
      </c>
      <c r="E126" t="s">
        <v>17</v>
      </c>
      <c r="F126" s="14">
        <v>46149</v>
      </c>
      <c r="G126">
        <v>1128269259</v>
      </c>
      <c r="H126" t="s">
        <v>298</v>
      </c>
      <c r="I126" t="s">
        <v>299</v>
      </c>
      <c r="J126" t="s">
        <v>20</v>
      </c>
      <c r="K126" t="s">
        <v>21</v>
      </c>
      <c r="L126" s="14">
        <v>46184</v>
      </c>
      <c r="M126">
        <v>35</v>
      </c>
      <c r="N126" t="s">
        <v>22</v>
      </c>
      <c r="O126" t="s">
        <v>22</v>
      </c>
      <c r="P126" s="14">
        <v>46085</v>
      </c>
      <c r="Q126" t="s">
        <v>23</v>
      </c>
      <c r="R126" s="7">
        <f>IFERROR(VLOOKUP(Tabla1[[#This Row],[Número de documento del contacto]],'Resoluciones 1 (Res)'!$A:$C,2,0),"")</f>
        <v>7722</v>
      </c>
      <c r="S126" s="11">
        <f>IFERROR(VLOOKUP(Tabla1[[#This Row],[Número de documento del contacto]],'Resoluciones 1 (Res)'!$A:$C,3,0),"")</f>
        <v>46184.606747685197</v>
      </c>
      <c r="T126" s="7" t="str">
        <f>IFERROR(VLOOKUP(Tabla1[[#This Row],[Número de documento del contacto]],'Resoluciones 2 (Req)'!$B:$E,3,0),"")</f>
        <v>14755</v>
      </c>
      <c r="U126" s="7" t="str">
        <f t="shared" si="6"/>
        <v>7 de mayo de 2026</v>
      </c>
      <c r="V126" s="7" t="str">
        <f t="shared" si="7"/>
        <v>4 de marzo de 2026</v>
      </c>
      <c r="W126" s="8" t="str">
        <f>"1-" &amp; ROWS($W$2:W126) &amp; ".pdf"</f>
        <v>1-125.pdf</v>
      </c>
      <c r="X126" s="7" t="str">
        <f>Tabla1[[#This Row],[Número de documento del contacto]]&amp;"-"&amp;Tabla1[[#This Row],[Número de resolución de archivo]]&amp;".pdf"</f>
        <v>1128269259-7722.pdf</v>
      </c>
      <c r="Y126" s="7" t="str">
        <f t="shared" si="8"/>
        <v>ren "1-125.pdf" "1128269259-7722.pdf"</v>
      </c>
      <c r="Z126" s="7" t="str">
        <f>Tabla1[[#This Row],[Número de documento del contacto]]&amp;"_"&amp;Tabla1[[#This Row],[Número de resolución de archivo]]&amp;".pdf"</f>
        <v>1128269259_7722.pdf</v>
      </c>
      <c r="AA126" s="7" t="s">
        <v>49</v>
      </c>
      <c r="AB126" s="7" t="str">
        <f>Tabla1[[#This Row],[Nombre PDF / cedula + num resolucion]]&amp;";"&amp;Tabla1[[#This Row],[instructivo]]</f>
        <v>1128269259_7722.pdf;10. Instructivo_Radicar_Activación_Credencial_DIGITAL_SIRNA.pdf</v>
      </c>
      <c r="AC126" s="7" t="str">
        <f>Tabla1[[#This Row],[Número de resolución de archivo]]&amp;"_"&amp;Tabla1[[#This Row],[Número de documento del contacto]]</f>
        <v>7722_1128269259</v>
      </c>
    </row>
    <row r="127" spans="1:29" x14ac:dyDescent="0.25">
      <c r="A127">
        <v>17756</v>
      </c>
      <c r="B127" t="s">
        <v>14</v>
      </c>
      <c r="C127" t="s">
        <v>15</v>
      </c>
      <c r="D127" t="s">
        <v>16</v>
      </c>
      <c r="E127" t="s">
        <v>17</v>
      </c>
      <c r="F127" s="14">
        <v>46149</v>
      </c>
      <c r="G127">
        <v>1140836304</v>
      </c>
      <c r="H127" t="s">
        <v>300</v>
      </c>
      <c r="I127" t="s">
        <v>301</v>
      </c>
      <c r="J127" t="s">
        <v>20</v>
      </c>
      <c r="K127" t="s">
        <v>21</v>
      </c>
      <c r="L127" s="14">
        <v>46184</v>
      </c>
      <c r="M127">
        <v>35</v>
      </c>
      <c r="N127" t="s">
        <v>22</v>
      </c>
      <c r="O127" t="s">
        <v>22</v>
      </c>
      <c r="P127" s="14">
        <v>46107</v>
      </c>
      <c r="Q127" t="s">
        <v>23</v>
      </c>
      <c r="R127" s="7">
        <f>IFERROR(VLOOKUP(Tabla1[[#This Row],[Número de documento del contacto]],'Resoluciones 1 (Res)'!$A:$C,2,0),"")</f>
        <v>7462</v>
      </c>
      <c r="S127" s="11">
        <f>IFERROR(VLOOKUP(Tabla1[[#This Row],[Número de documento del contacto]],'Resoluciones 1 (Res)'!$A:$C,3,0),"")</f>
        <v>46184.606747685197</v>
      </c>
      <c r="T127" s="7" t="str">
        <f>IFERROR(VLOOKUP(Tabla1[[#This Row],[Número de documento del contacto]],'Resoluciones 2 (Req)'!$B:$E,3,0),"")</f>
        <v>14723</v>
      </c>
      <c r="U127" s="7" t="str">
        <f t="shared" si="6"/>
        <v>7 de mayo de 2026</v>
      </c>
      <c r="V127" s="7" t="str">
        <f t="shared" si="7"/>
        <v>26 de marzo de 2026</v>
      </c>
      <c r="W127" s="8" t="str">
        <f>"1-" &amp; ROWS($W$2:W127) &amp; ".pdf"</f>
        <v>1-126.pdf</v>
      </c>
      <c r="X127" s="7" t="str">
        <f>Tabla1[[#This Row],[Número de documento del contacto]]&amp;"-"&amp;Tabla1[[#This Row],[Número de resolución de archivo]]&amp;".pdf"</f>
        <v>1140836304-7462.pdf</v>
      </c>
      <c r="Y127" s="7" t="str">
        <f t="shared" si="8"/>
        <v>ren "1-126.pdf" "1140836304-7462.pdf"</v>
      </c>
      <c r="Z127" s="7" t="str">
        <f>Tabla1[[#This Row],[Número de documento del contacto]]&amp;"_"&amp;Tabla1[[#This Row],[Número de resolución de archivo]]&amp;".pdf"</f>
        <v>1140836304_7462.pdf</v>
      </c>
      <c r="AA127" s="7" t="s">
        <v>49</v>
      </c>
      <c r="AB127" s="7" t="str">
        <f>Tabla1[[#This Row],[Nombre PDF / cedula + num resolucion]]&amp;";"&amp;Tabla1[[#This Row],[instructivo]]</f>
        <v>1140836304_7462.pdf;10. Instructivo_Radicar_Activación_Credencial_DIGITAL_SIRNA.pdf</v>
      </c>
      <c r="AC127" s="7" t="str">
        <f>Tabla1[[#This Row],[Número de resolución de archivo]]&amp;"_"&amp;Tabla1[[#This Row],[Número de documento del contacto]]</f>
        <v>7462_1140836304</v>
      </c>
    </row>
    <row r="128" spans="1:29" x14ac:dyDescent="0.25">
      <c r="A128">
        <v>14156</v>
      </c>
      <c r="B128" t="s">
        <v>14</v>
      </c>
      <c r="C128" t="s">
        <v>15</v>
      </c>
      <c r="D128" t="s">
        <v>16</v>
      </c>
      <c r="E128" t="s">
        <v>17</v>
      </c>
      <c r="F128" s="14">
        <v>46149</v>
      </c>
      <c r="G128">
        <v>1140841729</v>
      </c>
      <c r="H128" t="s">
        <v>302</v>
      </c>
      <c r="I128" t="s">
        <v>303</v>
      </c>
      <c r="J128" t="s">
        <v>20</v>
      </c>
      <c r="K128" t="s">
        <v>21</v>
      </c>
      <c r="L128" s="14">
        <v>46184</v>
      </c>
      <c r="M128">
        <v>35</v>
      </c>
      <c r="N128" t="s">
        <v>22</v>
      </c>
      <c r="O128" t="s">
        <v>22</v>
      </c>
      <c r="P128" s="14">
        <v>46085</v>
      </c>
      <c r="Q128" t="s">
        <v>23</v>
      </c>
      <c r="R128" s="7">
        <f>IFERROR(VLOOKUP(Tabla1[[#This Row],[Número de documento del contacto]],'Resoluciones 1 (Res)'!$A:$C,2,0),"")</f>
        <v>7633</v>
      </c>
      <c r="S128" s="11">
        <f>IFERROR(VLOOKUP(Tabla1[[#This Row],[Número de documento del contacto]],'Resoluciones 1 (Res)'!$A:$C,3,0),"")</f>
        <v>46184.606747685197</v>
      </c>
      <c r="T128" s="7" t="str">
        <f>IFERROR(VLOOKUP(Tabla1[[#This Row],[Número de documento del contacto]],'Resoluciones 2 (Req)'!$B:$E,3,0),"")</f>
        <v>14764</v>
      </c>
      <c r="U128" s="7" t="str">
        <f t="shared" si="6"/>
        <v>7 de mayo de 2026</v>
      </c>
      <c r="V128" s="7" t="str">
        <f t="shared" si="7"/>
        <v>4 de marzo de 2026</v>
      </c>
      <c r="W128" s="8" t="str">
        <f>"1-" &amp; ROWS($W$2:W128) &amp; ".pdf"</f>
        <v>1-127.pdf</v>
      </c>
      <c r="X128" s="7" t="str">
        <f>Tabla1[[#This Row],[Número de documento del contacto]]&amp;"-"&amp;Tabla1[[#This Row],[Número de resolución de archivo]]&amp;".pdf"</f>
        <v>1140841729-7633.pdf</v>
      </c>
      <c r="Y128" s="7" t="str">
        <f t="shared" si="8"/>
        <v>ren "1-127.pdf" "1140841729-7633.pdf"</v>
      </c>
      <c r="Z128" s="7" t="str">
        <f>Tabla1[[#This Row],[Número de documento del contacto]]&amp;"_"&amp;Tabla1[[#This Row],[Número de resolución de archivo]]&amp;".pdf"</f>
        <v>1140841729_7633.pdf</v>
      </c>
      <c r="AA128" s="7" t="s">
        <v>49</v>
      </c>
      <c r="AB128" s="7" t="str">
        <f>Tabla1[[#This Row],[Nombre PDF / cedula + num resolucion]]&amp;";"&amp;Tabla1[[#This Row],[instructivo]]</f>
        <v>1140841729_7633.pdf;10. Instructivo_Radicar_Activación_Credencial_DIGITAL_SIRNA.pdf</v>
      </c>
      <c r="AC128" s="7" t="str">
        <f>Tabla1[[#This Row],[Número de resolución de archivo]]&amp;"_"&amp;Tabla1[[#This Row],[Número de documento del contacto]]</f>
        <v>7633_1140841729</v>
      </c>
    </row>
    <row r="129" spans="1:29" x14ac:dyDescent="0.25">
      <c r="A129">
        <v>16488</v>
      </c>
      <c r="B129" t="s">
        <v>14</v>
      </c>
      <c r="C129" t="s">
        <v>15</v>
      </c>
      <c r="D129" t="s">
        <v>16</v>
      </c>
      <c r="E129" t="s">
        <v>17</v>
      </c>
      <c r="F129" s="14">
        <v>46149</v>
      </c>
      <c r="G129">
        <v>1143834378</v>
      </c>
      <c r="H129" t="s">
        <v>304</v>
      </c>
      <c r="I129" t="s">
        <v>305</v>
      </c>
      <c r="J129" t="s">
        <v>20</v>
      </c>
      <c r="K129" t="s">
        <v>21</v>
      </c>
      <c r="L129" s="14">
        <v>46184</v>
      </c>
      <c r="M129">
        <v>35</v>
      </c>
      <c r="N129" t="s">
        <v>22</v>
      </c>
      <c r="O129" t="s">
        <v>22</v>
      </c>
      <c r="P129" s="14">
        <v>46099</v>
      </c>
      <c r="Q129" t="s">
        <v>23</v>
      </c>
      <c r="R129" s="7">
        <f>IFERROR(VLOOKUP(Tabla1[[#This Row],[Número de documento del contacto]],'Resoluciones 1 (Res)'!$A:$C,2,0),"")</f>
        <v>7694</v>
      </c>
      <c r="S129" s="11">
        <f>IFERROR(VLOOKUP(Tabla1[[#This Row],[Número de documento del contacto]],'Resoluciones 1 (Res)'!$A:$C,3,0),"")</f>
        <v>46184.606747685197</v>
      </c>
      <c r="T129" s="7" t="str">
        <f>IFERROR(VLOOKUP(Tabla1[[#This Row],[Número de documento del contacto]],'Resoluciones 2 (Req)'!$B:$E,3,0),"")</f>
        <v>14734</v>
      </c>
      <c r="U129" s="7" t="str">
        <f t="shared" si="6"/>
        <v>7 de mayo de 2026</v>
      </c>
      <c r="V129" s="7" t="str">
        <f t="shared" si="7"/>
        <v>18 de marzo de 2026</v>
      </c>
      <c r="W129" s="8" t="str">
        <f>"1-" &amp; ROWS($W$2:W129) &amp; ".pdf"</f>
        <v>1-128.pdf</v>
      </c>
      <c r="X129" s="7" t="str">
        <f>Tabla1[[#This Row],[Número de documento del contacto]]&amp;"-"&amp;Tabla1[[#This Row],[Número de resolución de archivo]]&amp;".pdf"</f>
        <v>1143834378-7694.pdf</v>
      </c>
      <c r="Y129" s="7" t="str">
        <f t="shared" si="8"/>
        <v>ren "1-128.pdf" "1143834378-7694.pdf"</v>
      </c>
      <c r="Z129" s="7" t="str">
        <f>Tabla1[[#This Row],[Número de documento del contacto]]&amp;"_"&amp;Tabla1[[#This Row],[Número de resolución de archivo]]&amp;".pdf"</f>
        <v>1143834378_7694.pdf</v>
      </c>
      <c r="AA129" s="7" t="s">
        <v>49</v>
      </c>
      <c r="AB129" s="7" t="str">
        <f>Tabla1[[#This Row],[Nombre PDF / cedula + num resolucion]]&amp;";"&amp;Tabla1[[#This Row],[instructivo]]</f>
        <v>1143834378_7694.pdf;10. Instructivo_Radicar_Activación_Credencial_DIGITAL_SIRNA.pdf</v>
      </c>
      <c r="AC129" s="7" t="str">
        <f>Tabla1[[#This Row],[Número de resolución de archivo]]&amp;"_"&amp;Tabla1[[#This Row],[Número de documento del contacto]]</f>
        <v>7694_1143834378</v>
      </c>
    </row>
    <row r="130" spans="1:29" x14ac:dyDescent="0.25">
      <c r="A130">
        <v>16970</v>
      </c>
      <c r="B130" t="s">
        <v>14</v>
      </c>
      <c r="C130" t="s">
        <v>15</v>
      </c>
      <c r="D130" t="s">
        <v>16</v>
      </c>
      <c r="E130" t="s">
        <v>17</v>
      </c>
      <c r="F130" s="14">
        <v>46149</v>
      </c>
      <c r="G130">
        <v>1144132126</v>
      </c>
      <c r="H130" t="s">
        <v>306</v>
      </c>
      <c r="I130" t="s">
        <v>307</v>
      </c>
      <c r="J130" t="s">
        <v>20</v>
      </c>
      <c r="K130" t="s">
        <v>21</v>
      </c>
      <c r="L130" s="14">
        <v>46184</v>
      </c>
      <c r="M130">
        <v>35</v>
      </c>
      <c r="N130" t="s">
        <v>22</v>
      </c>
      <c r="O130" t="s">
        <v>22</v>
      </c>
      <c r="P130" s="14">
        <v>46101</v>
      </c>
      <c r="Q130" t="s">
        <v>23</v>
      </c>
      <c r="R130" s="7">
        <f>IFERROR(VLOOKUP(Tabla1[[#This Row],[Número de documento del contacto]],'Resoluciones 1 (Res)'!$A:$C,2,0),"")</f>
        <v>7456</v>
      </c>
      <c r="S130" s="11">
        <f>IFERROR(VLOOKUP(Tabla1[[#This Row],[Número de documento del contacto]],'Resoluciones 1 (Res)'!$A:$C,3,0),"")</f>
        <v>46184.606747685197</v>
      </c>
      <c r="T130" s="7" t="str">
        <f>IFERROR(VLOOKUP(Tabla1[[#This Row],[Número de documento del contacto]],'Resoluciones 2 (Req)'!$B:$E,3,0),"")</f>
        <v>14726</v>
      </c>
      <c r="U130" s="7" t="str">
        <f t="shared" si="6"/>
        <v>7 de mayo de 2026</v>
      </c>
      <c r="V130" s="7" t="str">
        <f t="shared" si="7"/>
        <v>20 de marzo de 2026</v>
      </c>
      <c r="W130" s="8" t="str">
        <f>"1-" &amp; ROWS($W$2:W130) &amp; ".pdf"</f>
        <v>1-129.pdf</v>
      </c>
      <c r="X130" s="7" t="str">
        <f>Tabla1[[#This Row],[Número de documento del contacto]]&amp;"-"&amp;Tabla1[[#This Row],[Número de resolución de archivo]]&amp;".pdf"</f>
        <v>1144132126-7456.pdf</v>
      </c>
      <c r="Y130" s="7" t="str">
        <f t="shared" si="8"/>
        <v>ren "1-129.pdf" "1144132126-7456.pdf"</v>
      </c>
      <c r="Z130" s="7" t="str">
        <f>Tabla1[[#This Row],[Número de documento del contacto]]&amp;"_"&amp;Tabla1[[#This Row],[Número de resolución de archivo]]&amp;".pdf"</f>
        <v>1144132126_7456.pdf</v>
      </c>
      <c r="AA130" s="7" t="s">
        <v>49</v>
      </c>
      <c r="AB130" s="7" t="str">
        <f>Tabla1[[#This Row],[Nombre PDF / cedula + num resolucion]]&amp;";"&amp;Tabla1[[#This Row],[instructivo]]</f>
        <v>1144132126_7456.pdf;10. Instructivo_Radicar_Activación_Credencial_DIGITAL_SIRNA.pdf</v>
      </c>
      <c r="AC130" s="7" t="str">
        <f>Tabla1[[#This Row],[Número de resolución de archivo]]&amp;"_"&amp;Tabla1[[#This Row],[Número de documento del contacto]]</f>
        <v>7456_1144132126</v>
      </c>
    </row>
    <row r="131" spans="1:29" x14ac:dyDescent="0.25">
      <c r="A131">
        <v>17444</v>
      </c>
      <c r="B131" t="s">
        <v>14</v>
      </c>
      <c r="C131" t="s">
        <v>15</v>
      </c>
      <c r="D131" t="s">
        <v>16</v>
      </c>
      <c r="E131" t="s">
        <v>17</v>
      </c>
      <c r="F131" s="14">
        <v>46149</v>
      </c>
      <c r="G131">
        <v>1151958968</v>
      </c>
      <c r="H131" t="s">
        <v>308</v>
      </c>
      <c r="I131" t="s">
        <v>309</v>
      </c>
      <c r="J131" t="s">
        <v>20</v>
      </c>
      <c r="K131" t="s">
        <v>21</v>
      </c>
      <c r="L131" s="14">
        <v>46184</v>
      </c>
      <c r="M131">
        <v>35</v>
      </c>
      <c r="N131" t="s">
        <v>22</v>
      </c>
      <c r="O131" t="s">
        <v>22</v>
      </c>
      <c r="P131" s="14">
        <v>46106</v>
      </c>
      <c r="Q131" t="s">
        <v>23</v>
      </c>
      <c r="R131" s="7">
        <f>IFERROR(VLOOKUP(Tabla1[[#This Row],[Número de documento del contacto]],'Resoluciones 1 (Res)'!$A:$C,2,0),"")</f>
        <v>7744</v>
      </c>
      <c r="S131" s="11">
        <f>IFERROR(VLOOKUP(Tabla1[[#This Row],[Número de documento del contacto]],'Resoluciones 1 (Res)'!$A:$C,3,0),"")</f>
        <v>46184.606747685197</v>
      </c>
      <c r="T131" s="7" t="str">
        <f>IFERROR(VLOOKUP(Tabla1[[#This Row],[Número de documento del contacto]],'Resoluciones 2 (Req)'!$B:$E,3,0),"")</f>
        <v>14727</v>
      </c>
      <c r="U131" s="7" t="str">
        <f t="shared" si="6"/>
        <v>7 de mayo de 2026</v>
      </c>
      <c r="V131" s="7" t="str">
        <f t="shared" si="7"/>
        <v>25 de marzo de 2026</v>
      </c>
      <c r="W131" s="8" t="str">
        <f>"1-" &amp; ROWS($W$2:W131) &amp; ".pdf"</f>
        <v>1-130.pdf</v>
      </c>
      <c r="X131" s="7" t="str">
        <f>Tabla1[[#This Row],[Número de documento del contacto]]&amp;"-"&amp;Tabla1[[#This Row],[Número de resolución de archivo]]&amp;".pdf"</f>
        <v>1151958968-7744.pdf</v>
      </c>
      <c r="Y131" s="7" t="str">
        <f t="shared" si="8"/>
        <v>ren "1-130.pdf" "1151958968-7744.pdf"</v>
      </c>
      <c r="Z131" s="7" t="str">
        <f>Tabla1[[#This Row],[Número de documento del contacto]]&amp;"_"&amp;Tabla1[[#This Row],[Número de resolución de archivo]]&amp;".pdf"</f>
        <v>1151958968_7744.pdf</v>
      </c>
      <c r="AA131" s="7" t="s">
        <v>49</v>
      </c>
      <c r="AB131" s="7" t="str">
        <f>Tabla1[[#This Row],[Nombre PDF / cedula + num resolucion]]&amp;";"&amp;Tabla1[[#This Row],[instructivo]]</f>
        <v>1151958968_7744.pdf;10. Instructivo_Radicar_Activación_Credencial_DIGITAL_SIRNA.pdf</v>
      </c>
      <c r="AC131" s="7" t="str">
        <f>Tabla1[[#This Row],[Número de resolución de archivo]]&amp;"_"&amp;Tabla1[[#This Row],[Número de documento del contacto]]</f>
        <v>7744_1151958968</v>
      </c>
    </row>
    <row r="132" spans="1:29" x14ac:dyDescent="0.25">
      <c r="A132">
        <v>17138</v>
      </c>
      <c r="B132" t="s">
        <v>14</v>
      </c>
      <c r="C132" t="s">
        <v>15</v>
      </c>
      <c r="D132" t="s">
        <v>16</v>
      </c>
      <c r="E132" t="s">
        <v>17</v>
      </c>
      <c r="F132" s="14">
        <v>46149</v>
      </c>
      <c r="G132">
        <v>1152189596</v>
      </c>
      <c r="H132" t="s">
        <v>310</v>
      </c>
      <c r="I132" t="s">
        <v>311</v>
      </c>
      <c r="J132" t="s">
        <v>20</v>
      </c>
      <c r="K132" t="s">
        <v>21</v>
      </c>
      <c r="L132" s="14">
        <v>46184</v>
      </c>
      <c r="M132">
        <v>35</v>
      </c>
      <c r="N132" t="s">
        <v>22</v>
      </c>
      <c r="O132" t="s">
        <v>22</v>
      </c>
      <c r="P132" s="14">
        <v>46104</v>
      </c>
      <c r="Q132" t="s">
        <v>23</v>
      </c>
      <c r="R132" s="7">
        <f>IFERROR(VLOOKUP(Tabla1[[#This Row],[Número de documento del contacto]],'Resoluciones 1 (Res)'!$A:$C,2,0),"")</f>
        <v>7508</v>
      </c>
      <c r="S132" s="11">
        <f>IFERROR(VLOOKUP(Tabla1[[#This Row],[Número de documento del contacto]],'Resoluciones 1 (Res)'!$A:$C,3,0),"")</f>
        <v>46184.606747685197</v>
      </c>
      <c r="T132" s="7" t="str">
        <f>IFERROR(VLOOKUP(Tabla1[[#This Row],[Número de documento del contacto]],'Resoluciones 2 (Req)'!$B:$E,3,0),"")</f>
        <v>14729</v>
      </c>
      <c r="U132" s="7" t="str">
        <f t="shared" si="6"/>
        <v>7 de mayo de 2026</v>
      </c>
      <c r="V132" s="7" t="str">
        <f t="shared" si="7"/>
        <v>23 de marzo de 2026</v>
      </c>
      <c r="W132" s="8" t="str">
        <f>"1-" &amp; ROWS($W$2:W132) &amp; ".pdf"</f>
        <v>1-131.pdf</v>
      </c>
      <c r="X132" s="7" t="str">
        <f>Tabla1[[#This Row],[Número de documento del contacto]]&amp;"-"&amp;Tabla1[[#This Row],[Número de resolución de archivo]]&amp;".pdf"</f>
        <v>1152189596-7508.pdf</v>
      </c>
      <c r="Y132" s="7" t="str">
        <f t="shared" si="8"/>
        <v>ren "1-131.pdf" "1152189596-7508.pdf"</v>
      </c>
      <c r="Z132" s="7" t="str">
        <f>Tabla1[[#This Row],[Número de documento del contacto]]&amp;"_"&amp;Tabla1[[#This Row],[Número de resolución de archivo]]&amp;".pdf"</f>
        <v>1152189596_7508.pdf</v>
      </c>
      <c r="AA132" s="7" t="s">
        <v>49</v>
      </c>
      <c r="AB132" s="7" t="str">
        <f>Tabla1[[#This Row],[Nombre PDF / cedula + num resolucion]]&amp;";"&amp;Tabla1[[#This Row],[instructivo]]</f>
        <v>1152189596_7508.pdf;10. Instructivo_Radicar_Activación_Credencial_DIGITAL_SIRNA.pdf</v>
      </c>
      <c r="AC132" s="7" t="str">
        <f>Tabla1[[#This Row],[Número de resolución de archivo]]&amp;"_"&amp;Tabla1[[#This Row],[Número de documento del contacto]]</f>
        <v>7508_1152189596</v>
      </c>
    </row>
    <row r="133" spans="1:29" x14ac:dyDescent="0.25">
      <c r="A133">
        <v>18387</v>
      </c>
      <c r="B133" t="s">
        <v>14</v>
      </c>
      <c r="C133" t="s">
        <v>15</v>
      </c>
      <c r="D133" t="s">
        <v>16</v>
      </c>
      <c r="E133" t="s">
        <v>17</v>
      </c>
      <c r="F133" s="14">
        <v>46149</v>
      </c>
      <c r="G133">
        <v>1152446170</v>
      </c>
      <c r="H133" t="s">
        <v>312</v>
      </c>
      <c r="I133" t="s">
        <v>313</v>
      </c>
      <c r="J133" t="s">
        <v>20</v>
      </c>
      <c r="K133" t="s">
        <v>21</v>
      </c>
      <c r="L133" s="14">
        <v>46184</v>
      </c>
      <c r="M133">
        <v>35</v>
      </c>
      <c r="N133" t="s">
        <v>22</v>
      </c>
      <c r="O133" t="s">
        <v>22</v>
      </c>
      <c r="P133" s="14">
        <v>46113</v>
      </c>
      <c r="Q133" t="s">
        <v>23</v>
      </c>
      <c r="R133" s="7">
        <f>IFERROR(VLOOKUP(Tabla1[[#This Row],[Número de documento del contacto]],'Resoluciones 1 (Res)'!$A:$C,2,0),"")</f>
        <v>7481</v>
      </c>
      <c r="S133" s="11">
        <f>IFERROR(VLOOKUP(Tabla1[[#This Row],[Número de documento del contacto]],'Resoluciones 1 (Res)'!$A:$C,3,0),"")</f>
        <v>46184.606747685197</v>
      </c>
      <c r="T133" s="7" t="str">
        <f>IFERROR(VLOOKUP(Tabla1[[#This Row],[Número de documento del contacto]],'Resoluciones 2 (Req)'!$B:$E,3,0),"")</f>
        <v>14640</v>
      </c>
      <c r="U133" s="7" t="str">
        <f t="shared" si="6"/>
        <v>7 de mayo de 2026</v>
      </c>
      <c r="V133" s="7" t="str">
        <f t="shared" si="7"/>
        <v>1 de abril de 2026</v>
      </c>
      <c r="W133" s="8" t="str">
        <f>"1-" &amp; ROWS($W$2:W133) &amp; ".pdf"</f>
        <v>1-132.pdf</v>
      </c>
      <c r="X133" s="7" t="str">
        <f>Tabla1[[#This Row],[Número de documento del contacto]]&amp;"-"&amp;Tabla1[[#This Row],[Número de resolución de archivo]]&amp;".pdf"</f>
        <v>1152446170-7481.pdf</v>
      </c>
      <c r="Y133" s="7" t="str">
        <f t="shared" si="8"/>
        <v>ren "1-132.pdf" "1152446170-7481.pdf"</v>
      </c>
      <c r="Z133" s="7" t="str">
        <f>Tabla1[[#This Row],[Número de documento del contacto]]&amp;"_"&amp;Tabla1[[#This Row],[Número de resolución de archivo]]&amp;".pdf"</f>
        <v>1152446170_7481.pdf</v>
      </c>
      <c r="AA133" s="7" t="s">
        <v>49</v>
      </c>
      <c r="AB133" s="7" t="str">
        <f>Tabla1[[#This Row],[Nombre PDF / cedula + num resolucion]]&amp;";"&amp;Tabla1[[#This Row],[instructivo]]</f>
        <v>1152446170_7481.pdf;10. Instructivo_Radicar_Activación_Credencial_DIGITAL_SIRNA.pdf</v>
      </c>
      <c r="AC133" s="7" t="str">
        <f>Tabla1[[#This Row],[Número de resolución de archivo]]&amp;"_"&amp;Tabla1[[#This Row],[Número de documento del contacto]]</f>
        <v>7481_1152446170</v>
      </c>
    </row>
    <row r="134" spans="1:29" x14ac:dyDescent="0.25">
      <c r="A134">
        <v>18223</v>
      </c>
      <c r="B134" t="s">
        <v>14</v>
      </c>
      <c r="C134" t="s">
        <v>15</v>
      </c>
      <c r="D134" t="s">
        <v>16</v>
      </c>
      <c r="E134" t="s">
        <v>17</v>
      </c>
      <c r="F134" s="14">
        <v>46149</v>
      </c>
      <c r="G134">
        <v>1152447244</v>
      </c>
      <c r="H134" t="s">
        <v>314</v>
      </c>
      <c r="I134" t="s">
        <v>315</v>
      </c>
      <c r="J134" t="s">
        <v>20</v>
      </c>
      <c r="K134" t="s">
        <v>21</v>
      </c>
      <c r="L134" s="14">
        <v>46184</v>
      </c>
      <c r="M134">
        <v>35</v>
      </c>
      <c r="N134" t="s">
        <v>22</v>
      </c>
      <c r="O134" t="s">
        <v>22</v>
      </c>
      <c r="P134" s="14">
        <v>46111</v>
      </c>
      <c r="Q134" t="s">
        <v>23</v>
      </c>
      <c r="R134" s="7">
        <f>IFERROR(VLOOKUP(Tabla1[[#This Row],[Número de documento del contacto]],'Resoluciones 1 (Res)'!$A:$C,2,0),"")</f>
        <v>7566</v>
      </c>
      <c r="S134" s="11">
        <f>IFERROR(VLOOKUP(Tabla1[[#This Row],[Número de documento del contacto]],'Resoluciones 1 (Res)'!$A:$C,3,0),"")</f>
        <v>46184.606747685197</v>
      </c>
      <c r="T134" s="7" t="str">
        <f>IFERROR(VLOOKUP(Tabla1[[#This Row],[Número de documento del contacto]],'Resoluciones 2 (Req)'!$B:$E,3,0),"")</f>
        <v>14641</v>
      </c>
      <c r="U134" s="7" t="str">
        <f t="shared" si="6"/>
        <v>7 de mayo de 2026</v>
      </c>
      <c r="V134" s="7" t="str">
        <f t="shared" si="7"/>
        <v>30 de marzo de 2026</v>
      </c>
      <c r="W134" s="8" t="str">
        <f>"1-" &amp; ROWS($W$2:W134) &amp; ".pdf"</f>
        <v>1-133.pdf</v>
      </c>
      <c r="X134" s="7" t="str">
        <f>Tabla1[[#This Row],[Número de documento del contacto]]&amp;"-"&amp;Tabla1[[#This Row],[Número de resolución de archivo]]&amp;".pdf"</f>
        <v>1152447244-7566.pdf</v>
      </c>
      <c r="Y134" s="7" t="str">
        <f t="shared" si="8"/>
        <v>ren "1-133.pdf" "1152447244-7566.pdf"</v>
      </c>
      <c r="Z134" s="7" t="str">
        <f>Tabla1[[#This Row],[Número de documento del contacto]]&amp;"_"&amp;Tabla1[[#This Row],[Número de resolución de archivo]]&amp;".pdf"</f>
        <v>1152447244_7566.pdf</v>
      </c>
      <c r="AA134" s="7" t="s">
        <v>49</v>
      </c>
      <c r="AB134" s="7" t="str">
        <f>Tabla1[[#This Row],[Nombre PDF / cedula + num resolucion]]&amp;";"&amp;Tabla1[[#This Row],[instructivo]]</f>
        <v>1152447244_7566.pdf;10. Instructivo_Radicar_Activación_Credencial_DIGITAL_SIRNA.pdf</v>
      </c>
      <c r="AC134" s="7" t="str">
        <f>Tabla1[[#This Row],[Número de resolución de archivo]]&amp;"_"&amp;Tabla1[[#This Row],[Número de documento del contacto]]</f>
        <v>7566_1152447244</v>
      </c>
    </row>
    <row r="135" spans="1:29" x14ac:dyDescent="0.25">
      <c r="A135">
        <v>17432</v>
      </c>
      <c r="B135" t="s">
        <v>14</v>
      </c>
      <c r="C135" t="s">
        <v>15</v>
      </c>
      <c r="D135" t="s">
        <v>16</v>
      </c>
      <c r="E135" t="s">
        <v>17</v>
      </c>
      <c r="F135" s="14">
        <v>46149</v>
      </c>
      <c r="G135">
        <v>1193140588</v>
      </c>
      <c r="H135" t="s">
        <v>316</v>
      </c>
      <c r="I135" t="s">
        <v>317</v>
      </c>
      <c r="J135" t="s">
        <v>20</v>
      </c>
      <c r="K135" t="s">
        <v>21</v>
      </c>
      <c r="L135" s="14">
        <v>46184</v>
      </c>
      <c r="M135">
        <v>35</v>
      </c>
      <c r="N135" t="s">
        <v>22</v>
      </c>
      <c r="O135" t="s">
        <v>22</v>
      </c>
      <c r="P135" s="14">
        <v>46106</v>
      </c>
      <c r="Q135" t="s">
        <v>23</v>
      </c>
      <c r="R135" s="7">
        <f>IFERROR(VLOOKUP(Tabla1[[#This Row],[Número de documento del contacto]],'Resoluciones 1 (Res)'!$A:$C,2,0),"")</f>
        <v>7588</v>
      </c>
      <c r="S135" s="11">
        <f>IFERROR(VLOOKUP(Tabla1[[#This Row],[Número de documento del contacto]],'Resoluciones 1 (Res)'!$A:$C,3,0),"")</f>
        <v>46184.606747685197</v>
      </c>
      <c r="T135" s="7" t="str">
        <f>IFERROR(VLOOKUP(Tabla1[[#This Row],[Número de documento del contacto]],'Resoluciones 2 (Req)'!$B:$E,3,0),"")</f>
        <v>14730</v>
      </c>
      <c r="U135" s="7" t="str">
        <f t="shared" si="6"/>
        <v>7 de mayo de 2026</v>
      </c>
      <c r="V135" s="7" t="str">
        <f t="shared" si="7"/>
        <v>25 de marzo de 2026</v>
      </c>
      <c r="W135" s="8" t="str">
        <f>"1-" &amp; ROWS($W$2:W135) &amp; ".pdf"</f>
        <v>1-134.pdf</v>
      </c>
      <c r="X135" s="7" t="str">
        <f>Tabla1[[#This Row],[Número de documento del contacto]]&amp;"-"&amp;Tabla1[[#This Row],[Número de resolución de archivo]]&amp;".pdf"</f>
        <v>1193140588-7588.pdf</v>
      </c>
      <c r="Y135" s="7" t="str">
        <f t="shared" si="8"/>
        <v>ren "1-134.pdf" "1193140588-7588.pdf"</v>
      </c>
      <c r="Z135" s="7" t="str">
        <f>Tabla1[[#This Row],[Número de documento del contacto]]&amp;"_"&amp;Tabla1[[#This Row],[Número de resolución de archivo]]&amp;".pdf"</f>
        <v>1193140588_7588.pdf</v>
      </c>
      <c r="AA135" s="7" t="s">
        <v>49</v>
      </c>
      <c r="AB135" s="7" t="str">
        <f>Tabla1[[#This Row],[Nombre PDF / cedula + num resolucion]]&amp;";"&amp;Tabla1[[#This Row],[instructivo]]</f>
        <v>1193140588_7588.pdf;10. Instructivo_Radicar_Activación_Credencial_DIGITAL_SIRNA.pdf</v>
      </c>
      <c r="AC135" s="7" t="str">
        <f>Tabla1[[#This Row],[Número de resolución de archivo]]&amp;"_"&amp;Tabla1[[#This Row],[Número de documento del contacto]]</f>
        <v>7588_1193140588</v>
      </c>
    </row>
    <row r="136" spans="1:29" x14ac:dyDescent="0.25">
      <c r="A136">
        <v>17531</v>
      </c>
      <c r="B136" t="s">
        <v>14</v>
      </c>
      <c r="C136" t="s">
        <v>15</v>
      </c>
      <c r="D136" t="s">
        <v>16</v>
      </c>
      <c r="E136" t="s">
        <v>17</v>
      </c>
      <c r="F136" s="14">
        <v>46149</v>
      </c>
      <c r="G136">
        <v>1193583166</v>
      </c>
      <c r="H136" t="s">
        <v>318</v>
      </c>
      <c r="I136" t="s">
        <v>319</v>
      </c>
      <c r="J136" t="s">
        <v>20</v>
      </c>
      <c r="K136" t="s">
        <v>21</v>
      </c>
      <c r="L136" s="14">
        <v>46184</v>
      </c>
      <c r="M136">
        <v>35</v>
      </c>
      <c r="N136" t="s">
        <v>22</v>
      </c>
      <c r="O136" t="s">
        <v>22</v>
      </c>
      <c r="P136" s="14">
        <v>46106</v>
      </c>
      <c r="Q136" t="s">
        <v>23</v>
      </c>
      <c r="R136" s="7">
        <f>IFERROR(VLOOKUP(Tabla1[[#This Row],[Número de documento del contacto]],'Resoluciones 1 (Res)'!$A:$C,2,0),"")</f>
        <v>7535</v>
      </c>
      <c r="S136" s="11">
        <f>IFERROR(VLOOKUP(Tabla1[[#This Row],[Número de documento del contacto]],'Resoluciones 1 (Res)'!$A:$C,3,0),"")</f>
        <v>46184.606747685197</v>
      </c>
      <c r="T136" s="7" t="str">
        <f>IFERROR(VLOOKUP(Tabla1[[#This Row],[Número de documento del contacto]],'Resoluciones 2 (Req)'!$B:$E,3,0),"")</f>
        <v>14731</v>
      </c>
      <c r="U136" s="7" t="str">
        <f t="shared" si="6"/>
        <v>7 de mayo de 2026</v>
      </c>
      <c r="V136" s="7" t="str">
        <f t="shared" si="7"/>
        <v>25 de marzo de 2026</v>
      </c>
      <c r="W136" s="8" t="str">
        <f>"1-" &amp; ROWS($W$2:W136) &amp; ".pdf"</f>
        <v>1-135.pdf</v>
      </c>
      <c r="X136" s="7" t="str">
        <f>Tabla1[[#This Row],[Número de documento del contacto]]&amp;"-"&amp;Tabla1[[#This Row],[Número de resolución de archivo]]&amp;".pdf"</f>
        <v>1193583166-7535.pdf</v>
      </c>
      <c r="Y136" s="7" t="str">
        <f t="shared" si="8"/>
        <v>ren "1-135.pdf" "1193583166-7535.pdf"</v>
      </c>
      <c r="Z136" s="7" t="str">
        <f>Tabla1[[#This Row],[Número de documento del contacto]]&amp;"_"&amp;Tabla1[[#This Row],[Número de resolución de archivo]]&amp;".pdf"</f>
        <v>1193583166_7535.pdf</v>
      </c>
      <c r="AA136" s="7" t="s">
        <v>49</v>
      </c>
      <c r="AB136" s="7" t="str">
        <f>Tabla1[[#This Row],[Nombre PDF / cedula + num resolucion]]&amp;";"&amp;Tabla1[[#This Row],[instructivo]]</f>
        <v>1193583166_7535.pdf;10. Instructivo_Radicar_Activación_Credencial_DIGITAL_SIRNA.pdf</v>
      </c>
      <c r="AC136" s="7" t="str">
        <f>Tabla1[[#This Row],[Número de resolución de archivo]]&amp;"_"&amp;Tabla1[[#This Row],[Número de documento del contacto]]</f>
        <v>7535_1193583166</v>
      </c>
    </row>
    <row r="137" spans="1:29" x14ac:dyDescent="0.25">
      <c r="A137">
        <v>13755</v>
      </c>
      <c r="B137" t="s">
        <v>14</v>
      </c>
      <c r="C137" t="s">
        <v>15</v>
      </c>
      <c r="D137" t="s">
        <v>16</v>
      </c>
      <c r="E137" t="s">
        <v>17</v>
      </c>
      <c r="F137" s="14">
        <v>46149</v>
      </c>
      <c r="G137">
        <v>1233191258</v>
      </c>
      <c r="H137" t="s">
        <v>320</v>
      </c>
      <c r="I137" t="s">
        <v>321</v>
      </c>
      <c r="J137" t="s">
        <v>20</v>
      </c>
      <c r="K137" t="s">
        <v>21</v>
      </c>
      <c r="L137" s="14">
        <v>46184</v>
      </c>
      <c r="M137">
        <v>35</v>
      </c>
      <c r="N137" t="s">
        <v>22</v>
      </c>
      <c r="O137" t="s">
        <v>22</v>
      </c>
      <c r="P137" s="14">
        <v>46084</v>
      </c>
      <c r="Q137" t="s">
        <v>23</v>
      </c>
      <c r="R137" s="7">
        <f>IFERROR(VLOOKUP(Tabla1[[#This Row],[Número de documento del contacto]],'Resoluciones 1 (Res)'!$A:$C,2,0),"")</f>
        <v>7562</v>
      </c>
      <c r="S137" s="11">
        <f>IFERROR(VLOOKUP(Tabla1[[#This Row],[Número de documento del contacto]],'Resoluciones 1 (Res)'!$A:$C,3,0),"")</f>
        <v>46184.606747685197</v>
      </c>
      <c r="T137" s="7" t="str">
        <f>IFERROR(VLOOKUP(Tabla1[[#This Row],[Número de documento del contacto]],'Resoluciones 2 (Req)'!$B:$E,3,0),"")</f>
        <v>14788</v>
      </c>
      <c r="U137" s="7" t="str">
        <f t="shared" si="6"/>
        <v>7 de mayo de 2026</v>
      </c>
      <c r="V137" s="7" t="str">
        <f t="shared" si="7"/>
        <v>3 de marzo de 2026</v>
      </c>
      <c r="W137" s="8" t="str">
        <f>"1-" &amp; ROWS($W$2:W137) &amp; ".pdf"</f>
        <v>1-136.pdf</v>
      </c>
      <c r="X137" s="7" t="str">
        <f>Tabla1[[#This Row],[Número de documento del contacto]]&amp;"-"&amp;Tabla1[[#This Row],[Número de resolución de archivo]]&amp;".pdf"</f>
        <v>1233191258-7562.pdf</v>
      </c>
      <c r="Y137" s="7" t="str">
        <f t="shared" si="8"/>
        <v>ren "1-136.pdf" "1233191258-7562.pdf"</v>
      </c>
      <c r="Z137" s="7" t="str">
        <f>Tabla1[[#This Row],[Número de documento del contacto]]&amp;"_"&amp;Tabla1[[#This Row],[Número de resolución de archivo]]&amp;".pdf"</f>
        <v>1233191258_7562.pdf</v>
      </c>
      <c r="AA137" s="7" t="s">
        <v>49</v>
      </c>
      <c r="AB137" s="7" t="str">
        <f>Tabla1[[#This Row],[Nombre PDF / cedula + num resolucion]]&amp;";"&amp;Tabla1[[#This Row],[instructivo]]</f>
        <v>1233191258_7562.pdf;10. Instructivo_Radicar_Activación_Credencial_DIGITAL_SIRNA.pdf</v>
      </c>
      <c r="AC137" s="7" t="str">
        <f>Tabla1[[#This Row],[Número de resolución de archivo]]&amp;"_"&amp;Tabla1[[#This Row],[Número de documento del contacto]]</f>
        <v>7562_1233191258</v>
      </c>
    </row>
    <row r="138" spans="1:29" x14ac:dyDescent="0.25">
      <c r="A138">
        <v>14006</v>
      </c>
      <c r="B138" t="s">
        <v>14</v>
      </c>
      <c r="C138" t="s">
        <v>15</v>
      </c>
      <c r="D138" t="s">
        <v>16</v>
      </c>
      <c r="E138" t="s">
        <v>17</v>
      </c>
      <c r="F138" s="14">
        <v>46149</v>
      </c>
      <c r="G138">
        <v>1234094237</v>
      </c>
      <c r="H138" t="s">
        <v>322</v>
      </c>
      <c r="I138" t="s">
        <v>323</v>
      </c>
      <c r="J138" t="s">
        <v>20</v>
      </c>
      <c r="K138" t="s">
        <v>21</v>
      </c>
      <c r="L138" s="14">
        <v>46184</v>
      </c>
      <c r="M138">
        <v>35</v>
      </c>
      <c r="N138" t="s">
        <v>22</v>
      </c>
      <c r="O138" t="s">
        <v>22</v>
      </c>
      <c r="P138" s="14">
        <v>46085</v>
      </c>
      <c r="Q138" t="s">
        <v>23</v>
      </c>
      <c r="R138" s="7">
        <f>IFERROR(VLOOKUP(Tabla1[[#This Row],[Número de documento del contacto]],'Resoluciones 1 (Res)'!$A:$C,2,0),"")</f>
        <v>7701</v>
      </c>
      <c r="S138" s="11">
        <f>IFERROR(VLOOKUP(Tabla1[[#This Row],[Número de documento del contacto]],'Resoluciones 1 (Res)'!$A:$C,3,0),"")</f>
        <v>46184.606747685197</v>
      </c>
      <c r="T138" s="7" t="str">
        <f>IFERROR(VLOOKUP(Tabla1[[#This Row],[Número de documento del contacto]],'Resoluciones 2 (Req)'!$B:$E,3,0),"")</f>
        <v>14765</v>
      </c>
      <c r="U138" s="7" t="str">
        <f t="shared" ref="U138:U201" si="9">TEXT(F138, "d ""de"" mmmm ""de"" yyyy")</f>
        <v>7 de mayo de 2026</v>
      </c>
      <c r="V138" s="7" t="str">
        <f t="shared" ref="V138:V201" si="10">TEXT(P138, "d ""de"" mmmm ""de"" yyyy")</f>
        <v>4 de marzo de 2026</v>
      </c>
      <c r="W138" s="8" t="str">
        <f>"1-" &amp; ROWS($W$2:W138) &amp; ".pdf"</f>
        <v>1-137.pdf</v>
      </c>
      <c r="X138" s="7" t="str">
        <f>Tabla1[[#This Row],[Número de documento del contacto]]&amp;"-"&amp;Tabla1[[#This Row],[Número de resolución de archivo]]&amp;".pdf"</f>
        <v>1234094237-7701.pdf</v>
      </c>
      <c r="Y138" s="7" t="str">
        <f t="shared" ref="Y138:Y201" si="11">"ren """ &amp; W138 &amp; """ """ &amp; X138 &amp; """"</f>
        <v>ren "1-137.pdf" "1234094237-7701.pdf"</v>
      </c>
      <c r="Z138" s="7" t="str">
        <f>Tabla1[[#This Row],[Número de documento del contacto]]&amp;"_"&amp;Tabla1[[#This Row],[Número de resolución de archivo]]&amp;".pdf"</f>
        <v>1234094237_7701.pdf</v>
      </c>
      <c r="AA138" s="7" t="s">
        <v>49</v>
      </c>
      <c r="AB138" s="7" t="str">
        <f>Tabla1[[#This Row],[Nombre PDF / cedula + num resolucion]]&amp;";"&amp;Tabla1[[#This Row],[instructivo]]</f>
        <v>1234094237_7701.pdf;10. Instructivo_Radicar_Activación_Credencial_DIGITAL_SIRNA.pdf</v>
      </c>
      <c r="AC138" s="7" t="str">
        <f>Tabla1[[#This Row],[Número de resolución de archivo]]&amp;"_"&amp;Tabla1[[#This Row],[Número de documento del contacto]]</f>
        <v>7701_1234094237</v>
      </c>
    </row>
    <row r="139" spans="1:29" x14ac:dyDescent="0.25">
      <c r="A139">
        <v>21098</v>
      </c>
      <c r="B139" t="s">
        <v>14</v>
      </c>
      <c r="C139" t="s">
        <v>15</v>
      </c>
      <c r="D139" t="s">
        <v>16</v>
      </c>
      <c r="E139" t="s">
        <v>17</v>
      </c>
      <c r="F139" s="14">
        <v>46142</v>
      </c>
      <c r="G139">
        <v>25097220</v>
      </c>
      <c r="H139" t="s">
        <v>324</v>
      </c>
      <c r="I139" t="s">
        <v>325</v>
      </c>
      <c r="J139" t="s">
        <v>20</v>
      </c>
      <c r="K139" t="s">
        <v>21</v>
      </c>
      <c r="L139" s="14">
        <v>46184</v>
      </c>
      <c r="M139">
        <v>42</v>
      </c>
      <c r="N139" t="s">
        <v>22</v>
      </c>
      <c r="O139" t="s">
        <v>22</v>
      </c>
      <c r="P139" s="14">
        <v>46132</v>
      </c>
      <c r="Q139" t="s">
        <v>23</v>
      </c>
      <c r="R139" s="7">
        <f>IFERROR(VLOOKUP(Tabla1[[#This Row],[Número de documento del contacto]],'Resoluciones 1 (Res)'!$A:$C,2,0),"")</f>
        <v>7520</v>
      </c>
      <c r="S139" s="11">
        <f>IFERROR(VLOOKUP(Tabla1[[#This Row],[Número de documento del contacto]],'Resoluciones 1 (Res)'!$A:$C,3,0),"")</f>
        <v>46184.606747685197</v>
      </c>
      <c r="T139" s="7" t="str">
        <f>IFERROR(VLOOKUP(Tabla1[[#This Row],[Número de documento del contacto]],'Resoluciones 2 (Req)'!$B:$E,3,0),"")</f>
        <v>14169</v>
      </c>
      <c r="U139" s="7" t="str">
        <f t="shared" si="9"/>
        <v>30 de abril de 2026</v>
      </c>
      <c r="V139" s="7" t="str">
        <f t="shared" si="10"/>
        <v>20 de abril de 2026</v>
      </c>
      <c r="W139" s="8" t="str">
        <f>"1-" &amp; ROWS($W$2:W139) &amp; ".pdf"</f>
        <v>1-138.pdf</v>
      </c>
      <c r="X139" s="7" t="str">
        <f>Tabla1[[#This Row],[Número de documento del contacto]]&amp;"-"&amp;Tabla1[[#This Row],[Número de resolución de archivo]]&amp;".pdf"</f>
        <v>25097220-7520.pdf</v>
      </c>
      <c r="Y139" s="7" t="str">
        <f t="shared" si="11"/>
        <v>ren "1-138.pdf" "25097220-7520.pdf"</v>
      </c>
      <c r="Z139" s="7" t="str">
        <f>Tabla1[[#This Row],[Número de documento del contacto]]&amp;"_"&amp;Tabla1[[#This Row],[Número de resolución de archivo]]&amp;".pdf"</f>
        <v>25097220_7520.pdf</v>
      </c>
      <c r="AA139" s="7" t="s">
        <v>49</v>
      </c>
      <c r="AB139" s="7" t="str">
        <f>Tabla1[[#This Row],[Nombre PDF / cedula + num resolucion]]&amp;";"&amp;Tabla1[[#This Row],[instructivo]]</f>
        <v>25097220_7520.pdf;10. Instructivo_Radicar_Activación_Credencial_DIGITAL_SIRNA.pdf</v>
      </c>
      <c r="AC139" s="7" t="str">
        <f>Tabla1[[#This Row],[Número de resolución de archivo]]&amp;"_"&amp;Tabla1[[#This Row],[Número de documento del contacto]]</f>
        <v>7520_25097220</v>
      </c>
    </row>
    <row r="140" spans="1:29" x14ac:dyDescent="0.25">
      <c r="A140">
        <v>55451</v>
      </c>
      <c r="B140" t="s">
        <v>14</v>
      </c>
      <c r="C140" t="s">
        <v>15</v>
      </c>
      <c r="D140" t="s">
        <v>16</v>
      </c>
      <c r="E140" t="s">
        <v>17</v>
      </c>
      <c r="F140" s="14">
        <v>46139</v>
      </c>
      <c r="G140">
        <v>73580419</v>
      </c>
      <c r="H140" t="s">
        <v>326</v>
      </c>
      <c r="I140" t="s">
        <v>327</v>
      </c>
      <c r="J140" t="s">
        <v>20</v>
      </c>
      <c r="K140" t="s">
        <v>21</v>
      </c>
      <c r="L140" s="14">
        <v>46184</v>
      </c>
      <c r="M140">
        <v>45</v>
      </c>
      <c r="N140" t="s">
        <v>22</v>
      </c>
      <c r="O140" t="s">
        <v>22</v>
      </c>
      <c r="P140" s="14">
        <v>46021</v>
      </c>
      <c r="Q140" t="s">
        <v>23</v>
      </c>
      <c r="R140" s="7">
        <f>IFERROR(VLOOKUP(Tabla1[[#This Row],[Número de documento del contacto]],'Resoluciones 1 (Res)'!$A:$C,2,0),"")</f>
        <v>7543</v>
      </c>
      <c r="S140" s="11">
        <f>IFERROR(VLOOKUP(Tabla1[[#This Row],[Número de documento del contacto]],'Resoluciones 1 (Res)'!$A:$C,3,0),"")</f>
        <v>46184.606747685197</v>
      </c>
      <c r="T140" s="7" t="str">
        <f>IFERROR(VLOOKUP(Tabla1[[#This Row],[Número de documento del contacto]],'Resoluciones 2 (Req)'!$B:$E,3,0),"")</f>
        <v>13885</v>
      </c>
      <c r="U140" s="7" t="str">
        <f t="shared" si="9"/>
        <v>27 de abril de 2026</v>
      </c>
      <c r="V140" s="7" t="str">
        <f t="shared" si="10"/>
        <v>30 de diciembre de 2025</v>
      </c>
      <c r="W140" s="8" t="str">
        <f>"1-" &amp; ROWS($W$2:W140) &amp; ".pdf"</f>
        <v>1-139.pdf</v>
      </c>
      <c r="X140" s="7" t="str">
        <f>Tabla1[[#This Row],[Número de documento del contacto]]&amp;"-"&amp;Tabla1[[#This Row],[Número de resolución de archivo]]&amp;".pdf"</f>
        <v>73580419-7543.pdf</v>
      </c>
      <c r="Y140" s="7" t="str">
        <f t="shared" si="11"/>
        <v>ren "1-139.pdf" "73580419-7543.pdf"</v>
      </c>
      <c r="Z140" s="7" t="str">
        <f>Tabla1[[#This Row],[Número de documento del contacto]]&amp;"_"&amp;Tabla1[[#This Row],[Número de resolución de archivo]]&amp;".pdf"</f>
        <v>73580419_7543.pdf</v>
      </c>
      <c r="AA140" s="7" t="s">
        <v>49</v>
      </c>
      <c r="AB140" s="7" t="str">
        <f>Tabla1[[#This Row],[Nombre PDF / cedula + num resolucion]]&amp;";"&amp;Tabla1[[#This Row],[instructivo]]</f>
        <v>73580419_7543.pdf;10. Instructivo_Radicar_Activación_Credencial_DIGITAL_SIRNA.pdf</v>
      </c>
      <c r="AC140" s="7" t="str">
        <f>Tabla1[[#This Row],[Número de resolución de archivo]]&amp;"_"&amp;Tabla1[[#This Row],[Número de documento del contacto]]</f>
        <v>7543_73580419</v>
      </c>
    </row>
    <row r="141" spans="1:29" x14ac:dyDescent="0.25">
      <c r="A141">
        <v>14750</v>
      </c>
      <c r="B141" t="s">
        <v>14</v>
      </c>
      <c r="C141" t="s">
        <v>15</v>
      </c>
      <c r="D141" t="s">
        <v>16</v>
      </c>
      <c r="E141" t="s">
        <v>17</v>
      </c>
      <c r="F141" s="14">
        <v>46136</v>
      </c>
      <c r="G141">
        <v>1093736635</v>
      </c>
      <c r="H141" t="s">
        <v>328</v>
      </c>
      <c r="I141" t="s">
        <v>329</v>
      </c>
      <c r="J141" t="s">
        <v>20</v>
      </c>
      <c r="K141" t="s">
        <v>21</v>
      </c>
      <c r="L141" s="14">
        <v>46184</v>
      </c>
      <c r="M141">
        <v>48</v>
      </c>
      <c r="N141" t="s">
        <v>22</v>
      </c>
      <c r="O141" t="s">
        <v>22</v>
      </c>
      <c r="P141" s="14">
        <v>46090</v>
      </c>
      <c r="Q141" t="s">
        <v>23</v>
      </c>
      <c r="R141" s="7">
        <f>IFERROR(VLOOKUP(Tabla1[[#This Row],[Número de documento del contacto]],'Resoluciones 1 (Res)'!$A:$C,2,0),"")</f>
        <v>7666</v>
      </c>
      <c r="S141" s="11">
        <f>IFERROR(VLOOKUP(Tabla1[[#This Row],[Número de documento del contacto]],'Resoluciones 1 (Res)'!$A:$C,3,0),"")</f>
        <v>46184.606747685197</v>
      </c>
      <c r="T141" s="7" t="str">
        <f>IFERROR(VLOOKUP(Tabla1[[#This Row],[Número de documento del contacto]],'Resoluciones 2 (Req)'!$B:$E,3,0),"")</f>
        <v>13777</v>
      </c>
      <c r="U141" s="7" t="str">
        <f t="shared" si="9"/>
        <v>24 de abril de 2026</v>
      </c>
      <c r="V141" s="7" t="str">
        <f t="shared" si="10"/>
        <v>9 de marzo de 2026</v>
      </c>
      <c r="W141" s="8" t="str">
        <f>"1-" &amp; ROWS($W$2:W141) &amp; ".pdf"</f>
        <v>1-140.pdf</v>
      </c>
      <c r="X141" s="7" t="str">
        <f>Tabla1[[#This Row],[Número de documento del contacto]]&amp;"-"&amp;Tabla1[[#This Row],[Número de resolución de archivo]]&amp;".pdf"</f>
        <v>1093736635-7666.pdf</v>
      </c>
      <c r="Y141" s="7" t="str">
        <f t="shared" si="11"/>
        <v>ren "1-140.pdf" "1093736635-7666.pdf"</v>
      </c>
      <c r="Z141" s="7" t="str">
        <f>Tabla1[[#This Row],[Número de documento del contacto]]&amp;"_"&amp;Tabla1[[#This Row],[Número de resolución de archivo]]&amp;".pdf"</f>
        <v>1093736635_7666.pdf</v>
      </c>
      <c r="AA141" s="7" t="s">
        <v>49</v>
      </c>
      <c r="AB141" s="7" t="str">
        <f>Tabla1[[#This Row],[Nombre PDF / cedula + num resolucion]]&amp;";"&amp;Tabla1[[#This Row],[instructivo]]</f>
        <v>1093736635_7666.pdf;10. Instructivo_Radicar_Activación_Credencial_DIGITAL_SIRNA.pdf</v>
      </c>
      <c r="AC141" s="7" t="str">
        <f>Tabla1[[#This Row],[Número de resolución de archivo]]&amp;"_"&amp;Tabla1[[#This Row],[Número de documento del contacto]]</f>
        <v>7666_1093736635</v>
      </c>
    </row>
    <row r="142" spans="1:29" x14ac:dyDescent="0.25">
      <c r="A142">
        <v>12866</v>
      </c>
      <c r="B142" t="s">
        <v>14</v>
      </c>
      <c r="C142" t="s">
        <v>15</v>
      </c>
      <c r="D142" t="s">
        <v>16</v>
      </c>
      <c r="E142" t="s">
        <v>17</v>
      </c>
      <c r="F142" s="14">
        <v>46122</v>
      </c>
      <c r="G142">
        <v>13830706</v>
      </c>
      <c r="H142" t="s">
        <v>330</v>
      </c>
      <c r="I142" t="s">
        <v>331</v>
      </c>
      <c r="J142" t="s">
        <v>20</v>
      </c>
      <c r="K142" t="s">
        <v>21</v>
      </c>
      <c r="L142" s="14">
        <v>46184</v>
      </c>
      <c r="M142">
        <v>62</v>
      </c>
      <c r="N142" t="s">
        <v>22</v>
      </c>
      <c r="O142" t="s">
        <v>22</v>
      </c>
      <c r="P142" s="14">
        <v>46079</v>
      </c>
      <c r="Q142" t="s">
        <v>23</v>
      </c>
      <c r="R142" s="7">
        <f>IFERROR(VLOOKUP(Tabla1[[#This Row],[Número de documento del contacto]],'Resoluciones 1 (Res)'!$A:$C,2,0),"")</f>
        <v>7511</v>
      </c>
      <c r="S142" s="11">
        <f>IFERROR(VLOOKUP(Tabla1[[#This Row],[Número de documento del contacto]],'Resoluciones 1 (Res)'!$A:$C,3,0),"")</f>
        <v>46184.606747685197</v>
      </c>
      <c r="T142" s="7" t="str">
        <f>IFERROR(VLOOKUP(Tabla1[[#This Row],[Número de documento del contacto]],'Resoluciones 2 (Req)'!$B:$E,3,0),"")</f>
        <v>12378</v>
      </c>
      <c r="U142" s="7" t="str">
        <f t="shared" si="9"/>
        <v>10 de abril de 2026</v>
      </c>
      <c r="V142" s="7" t="str">
        <f t="shared" si="10"/>
        <v>26 de febrero de 2026</v>
      </c>
      <c r="W142" s="8" t="str">
        <f>"1-" &amp; ROWS($W$2:W142) &amp; ".pdf"</f>
        <v>1-141.pdf</v>
      </c>
      <c r="X142" s="7" t="str">
        <f>Tabla1[[#This Row],[Número de documento del contacto]]&amp;"-"&amp;Tabla1[[#This Row],[Número de resolución de archivo]]&amp;".pdf"</f>
        <v>13830706-7511.pdf</v>
      </c>
      <c r="Y142" s="7" t="str">
        <f t="shared" si="11"/>
        <v>ren "1-141.pdf" "13830706-7511.pdf"</v>
      </c>
      <c r="Z142" s="7" t="str">
        <f>Tabla1[[#This Row],[Número de documento del contacto]]&amp;"_"&amp;Tabla1[[#This Row],[Número de resolución de archivo]]&amp;".pdf"</f>
        <v>13830706_7511.pdf</v>
      </c>
      <c r="AA142" s="7" t="s">
        <v>49</v>
      </c>
      <c r="AB142" s="7" t="str">
        <f>Tabla1[[#This Row],[Nombre PDF / cedula + num resolucion]]&amp;";"&amp;Tabla1[[#This Row],[instructivo]]</f>
        <v>13830706_7511.pdf;10. Instructivo_Radicar_Activación_Credencial_DIGITAL_SIRNA.pdf</v>
      </c>
      <c r="AC142" s="7" t="str">
        <f>Tabla1[[#This Row],[Número de resolución de archivo]]&amp;"_"&amp;Tabla1[[#This Row],[Número de documento del contacto]]</f>
        <v>7511_13830706</v>
      </c>
    </row>
    <row r="143" spans="1:29" x14ac:dyDescent="0.25">
      <c r="A143">
        <v>14568</v>
      </c>
      <c r="B143" t="s">
        <v>14</v>
      </c>
      <c r="C143" t="s">
        <v>15</v>
      </c>
      <c r="D143" t="s">
        <v>16</v>
      </c>
      <c r="E143" t="s">
        <v>17</v>
      </c>
      <c r="F143" s="14">
        <v>46122</v>
      </c>
      <c r="G143">
        <v>14795665</v>
      </c>
      <c r="H143" t="s">
        <v>332</v>
      </c>
      <c r="I143" t="s">
        <v>333</v>
      </c>
      <c r="J143" t="s">
        <v>20</v>
      </c>
      <c r="K143" t="s">
        <v>21</v>
      </c>
      <c r="L143" s="14">
        <v>46184</v>
      </c>
      <c r="M143">
        <v>62</v>
      </c>
      <c r="N143" t="s">
        <v>22</v>
      </c>
      <c r="O143" t="s">
        <v>22</v>
      </c>
      <c r="P143" s="14">
        <v>46087</v>
      </c>
      <c r="Q143" t="s">
        <v>23</v>
      </c>
      <c r="R143" s="7">
        <f>IFERROR(VLOOKUP(Tabla1[[#This Row],[Número de documento del contacto]],'Resoluciones 1 (Res)'!$A:$C,2,0),"")</f>
        <v>7539</v>
      </c>
      <c r="S143" s="11">
        <f>IFERROR(VLOOKUP(Tabla1[[#This Row],[Número de documento del contacto]],'Resoluciones 1 (Res)'!$A:$C,3,0),"")</f>
        <v>46184.606747685197</v>
      </c>
      <c r="T143" s="7" t="str">
        <f>IFERROR(VLOOKUP(Tabla1[[#This Row],[Número de documento del contacto]],'Resoluciones 2 (Req)'!$B:$E,3,0),"")</f>
        <v>12368</v>
      </c>
      <c r="U143" s="7" t="str">
        <f t="shared" si="9"/>
        <v>10 de abril de 2026</v>
      </c>
      <c r="V143" s="7" t="str">
        <f t="shared" si="10"/>
        <v>6 de marzo de 2026</v>
      </c>
      <c r="W143" s="8" t="str">
        <f>"1-" &amp; ROWS($W$2:W143) &amp; ".pdf"</f>
        <v>1-142.pdf</v>
      </c>
      <c r="X143" s="7" t="str">
        <f>Tabla1[[#This Row],[Número de documento del contacto]]&amp;"-"&amp;Tabla1[[#This Row],[Número de resolución de archivo]]&amp;".pdf"</f>
        <v>14795665-7539.pdf</v>
      </c>
      <c r="Y143" s="7" t="str">
        <f t="shared" si="11"/>
        <v>ren "1-142.pdf" "14795665-7539.pdf"</v>
      </c>
      <c r="Z143" s="7" t="str">
        <f>Tabla1[[#This Row],[Número de documento del contacto]]&amp;"_"&amp;Tabla1[[#This Row],[Número de resolución de archivo]]&amp;".pdf"</f>
        <v>14795665_7539.pdf</v>
      </c>
      <c r="AA143" s="7" t="s">
        <v>49</v>
      </c>
      <c r="AB143" s="7" t="str">
        <f>Tabla1[[#This Row],[Nombre PDF / cedula + num resolucion]]&amp;";"&amp;Tabla1[[#This Row],[instructivo]]</f>
        <v>14795665_7539.pdf;10. Instructivo_Radicar_Activación_Credencial_DIGITAL_SIRNA.pdf</v>
      </c>
      <c r="AC143" s="7" t="str">
        <f>Tabla1[[#This Row],[Número de resolución de archivo]]&amp;"_"&amp;Tabla1[[#This Row],[Número de documento del contacto]]</f>
        <v>7539_14795665</v>
      </c>
    </row>
    <row r="144" spans="1:29" x14ac:dyDescent="0.25">
      <c r="A144">
        <v>17649</v>
      </c>
      <c r="B144" t="s">
        <v>14</v>
      </c>
      <c r="C144" t="s">
        <v>15</v>
      </c>
      <c r="D144" t="s">
        <v>16</v>
      </c>
      <c r="E144" t="s">
        <v>17</v>
      </c>
      <c r="F144" s="14">
        <v>46122</v>
      </c>
      <c r="G144">
        <v>22668225</v>
      </c>
      <c r="H144" t="s">
        <v>334</v>
      </c>
      <c r="I144" t="s">
        <v>335</v>
      </c>
      <c r="J144" t="s">
        <v>20</v>
      </c>
      <c r="K144" t="s">
        <v>21</v>
      </c>
      <c r="L144" s="14">
        <v>46184</v>
      </c>
      <c r="M144">
        <v>62</v>
      </c>
      <c r="N144" t="s">
        <v>22</v>
      </c>
      <c r="O144" t="s">
        <v>22</v>
      </c>
      <c r="P144" s="14">
        <v>46107</v>
      </c>
      <c r="Q144" t="s">
        <v>23</v>
      </c>
      <c r="R144" s="7">
        <f>IFERROR(VLOOKUP(Tabla1[[#This Row],[Número de documento del contacto]],'Resoluciones 1 (Res)'!$A:$C,2,0),"")</f>
        <v>7655</v>
      </c>
      <c r="S144" s="11">
        <f>IFERROR(VLOOKUP(Tabla1[[#This Row],[Número de documento del contacto]],'Resoluciones 1 (Res)'!$A:$C,3,0),"")</f>
        <v>46184.606747685197</v>
      </c>
      <c r="T144" s="7" t="str">
        <f>IFERROR(VLOOKUP(Tabla1[[#This Row],[Número de documento del contacto]],'Resoluciones 2 (Req)'!$B:$E,3,0),"")</f>
        <v>12371</v>
      </c>
      <c r="U144" s="7" t="str">
        <f t="shared" si="9"/>
        <v>10 de abril de 2026</v>
      </c>
      <c r="V144" s="7" t="str">
        <f t="shared" si="10"/>
        <v>26 de marzo de 2026</v>
      </c>
      <c r="W144" s="8" t="str">
        <f>"1-" &amp; ROWS($W$2:W144) &amp; ".pdf"</f>
        <v>1-143.pdf</v>
      </c>
      <c r="X144" s="7" t="str">
        <f>Tabla1[[#This Row],[Número de documento del contacto]]&amp;"-"&amp;Tabla1[[#This Row],[Número de resolución de archivo]]&amp;".pdf"</f>
        <v>22668225-7655.pdf</v>
      </c>
      <c r="Y144" s="7" t="str">
        <f t="shared" si="11"/>
        <v>ren "1-143.pdf" "22668225-7655.pdf"</v>
      </c>
      <c r="Z144" s="7" t="str">
        <f>Tabla1[[#This Row],[Número de documento del contacto]]&amp;"_"&amp;Tabla1[[#This Row],[Número de resolución de archivo]]&amp;".pdf"</f>
        <v>22668225_7655.pdf</v>
      </c>
      <c r="AA144" s="7" t="s">
        <v>49</v>
      </c>
      <c r="AB144" s="7" t="str">
        <f>Tabla1[[#This Row],[Nombre PDF / cedula + num resolucion]]&amp;";"&amp;Tabla1[[#This Row],[instructivo]]</f>
        <v>22668225_7655.pdf;10. Instructivo_Radicar_Activación_Credencial_DIGITAL_SIRNA.pdf</v>
      </c>
      <c r="AC144" s="7" t="str">
        <f>Tabla1[[#This Row],[Número de resolución de archivo]]&amp;"_"&amp;Tabla1[[#This Row],[Número de documento del contacto]]</f>
        <v>7655_22668225</v>
      </c>
    </row>
    <row r="145" spans="1:29" x14ac:dyDescent="0.25">
      <c r="A145">
        <v>17523</v>
      </c>
      <c r="B145" t="s">
        <v>14</v>
      </c>
      <c r="C145" t="s">
        <v>15</v>
      </c>
      <c r="D145" t="s">
        <v>16</v>
      </c>
      <c r="E145" t="s">
        <v>17</v>
      </c>
      <c r="F145" s="14">
        <v>46122</v>
      </c>
      <c r="G145">
        <v>94418248</v>
      </c>
      <c r="H145" t="s">
        <v>336</v>
      </c>
      <c r="I145" t="s">
        <v>337</v>
      </c>
      <c r="J145" t="s">
        <v>20</v>
      </c>
      <c r="K145" t="s">
        <v>21</v>
      </c>
      <c r="L145" s="14">
        <v>46184</v>
      </c>
      <c r="M145">
        <v>62</v>
      </c>
      <c r="N145" t="s">
        <v>22</v>
      </c>
      <c r="O145" t="s">
        <v>22</v>
      </c>
      <c r="P145" s="14">
        <v>46106</v>
      </c>
      <c r="Q145" t="s">
        <v>23</v>
      </c>
      <c r="R145" s="7">
        <f>IFERROR(VLOOKUP(Tabla1[[#This Row],[Número de documento del contacto]],'Resoluciones 1 (Res)'!$A:$C,2,0),"")</f>
        <v>7479</v>
      </c>
      <c r="S145" s="11">
        <f>IFERROR(VLOOKUP(Tabla1[[#This Row],[Número de documento del contacto]],'Resoluciones 1 (Res)'!$A:$C,3,0),"")</f>
        <v>46184.606747685197</v>
      </c>
      <c r="T145" s="7" t="str">
        <f>IFERROR(VLOOKUP(Tabla1[[#This Row],[Número de documento del contacto]],'Resoluciones 2 (Req)'!$B:$E,3,0),"")</f>
        <v>12370</v>
      </c>
      <c r="U145" s="7" t="str">
        <f t="shared" si="9"/>
        <v>10 de abril de 2026</v>
      </c>
      <c r="V145" s="7" t="str">
        <f t="shared" si="10"/>
        <v>25 de marzo de 2026</v>
      </c>
      <c r="W145" s="8" t="str">
        <f>"1-" &amp; ROWS($W$2:W145) &amp; ".pdf"</f>
        <v>1-144.pdf</v>
      </c>
      <c r="X145" s="7" t="str">
        <f>Tabla1[[#This Row],[Número de documento del contacto]]&amp;"-"&amp;Tabla1[[#This Row],[Número de resolución de archivo]]&amp;".pdf"</f>
        <v>94418248-7479.pdf</v>
      </c>
      <c r="Y145" s="7" t="str">
        <f t="shared" si="11"/>
        <v>ren "1-144.pdf" "94418248-7479.pdf"</v>
      </c>
      <c r="Z145" s="7" t="str">
        <f>Tabla1[[#This Row],[Número de documento del contacto]]&amp;"_"&amp;Tabla1[[#This Row],[Número de resolución de archivo]]&amp;".pdf"</f>
        <v>94418248_7479.pdf</v>
      </c>
      <c r="AA145" s="7" t="s">
        <v>49</v>
      </c>
      <c r="AB145" s="7" t="str">
        <f>Tabla1[[#This Row],[Nombre PDF / cedula + num resolucion]]&amp;";"&amp;Tabla1[[#This Row],[instructivo]]</f>
        <v>94418248_7479.pdf;10. Instructivo_Radicar_Activación_Credencial_DIGITAL_SIRNA.pdf</v>
      </c>
      <c r="AC145" s="7" t="str">
        <f>Tabla1[[#This Row],[Número de resolución de archivo]]&amp;"_"&amp;Tabla1[[#This Row],[Número de documento del contacto]]</f>
        <v>7479_94418248</v>
      </c>
    </row>
    <row r="146" spans="1:29" x14ac:dyDescent="0.25">
      <c r="A146">
        <v>7617</v>
      </c>
      <c r="B146" t="s">
        <v>14</v>
      </c>
      <c r="C146" t="s">
        <v>15</v>
      </c>
      <c r="D146" t="s">
        <v>16</v>
      </c>
      <c r="E146" t="s">
        <v>17</v>
      </c>
      <c r="F146" s="14">
        <v>46122</v>
      </c>
      <c r="G146">
        <v>1016029320</v>
      </c>
      <c r="H146" t="s">
        <v>338</v>
      </c>
      <c r="I146" t="s">
        <v>339</v>
      </c>
      <c r="J146" t="s">
        <v>20</v>
      </c>
      <c r="K146" t="s">
        <v>21</v>
      </c>
      <c r="L146" s="14">
        <v>46184</v>
      </c>
      <c r="M146">
        <v>62</v>
      </c>
      <c r="N146" t="s">
        <v>22</v>
      </c>
      <c r="O146" t="s">
        <v>22</v>
      </c>
      <c r="P146" s="14">
        <v>46063</v>
      </c>
      <c r="Q146" t="s">
        <v>23</v>
      </c>
      <c r="R146" s="7">
        <f>IFERROR(VLOOKUP(Tabla1[[#This Row],[Número de documento del contacto]],'Resoluciones 1 (Res)'!$A:$C,2,0),"")</f>
        <v>7553</v>
      </c>
      <c r="S146" s="11">
        <f>IFERROR(VLOOKUP(Tabla1[[#This Row],[Número de documento del contacto]],'Resoluciones 1 (Res)'!$A:$C,3,0),"")</f>
        <v>46184.606747685197</v>
      </c>
      <c r="T146" s="7" t="str">
        <f>IFERROR(VLOOKUP(Tabla1[[#This Row],[Número de documento del contacto]],'Resoluciones 2 (Req)'!$B:$E,3,0),"")</f>
        <v>12374</v>
      </c>
      <c r="U146" s="7" t="str">
        <f t="shared" si="9"/>
        <v>10 de abril de 2026</v>
      </c>
      <c r="V146" s="7" t="str">
        <f t="shared" si="10"/>
        <v>10 de febrero de 2026</v>
      </c>
      <c r="W146" s="8" t="str">
        <f>"1-" &amp; ROWS($W$2:W146) &amp; ".pdf"</f>
        <v>1-145.pdf</v>
      </c>
      <c r="X146" s="7" t="str">
        <f>Tabla1[[#This Row],[Número de documento del contacto]]&amp;"-"&amp;Tabla1[[#This Row],[Número de resolución de archivo]]&amp;".pdf"</f>
        <v>1016029320-7553.pdf</v>
      </c>
      <c r="Y146" s="7" t="str">
        <f t="shared" si="11"/>
        <v>ren "1-145.pdf" "1016029320-7553.pdf"</v>
      </c>
      <c r="Z146" s="7" t="str">
        <f>Tabla1[[#This Row],[Número de documento del contacto]]&amp;"_"&amp;Tabla1[[#This Row],[Número de resolución de archivo]]&amp;".pdf"</f>
        <v>1016029320_7553.pdf</v>
      </c>
      <c r="AA146" s="7" t="s">
        <v>49</v>
      </c>
      <c r="AB146" s="7" t="str">
        <f>Tabla1[[#This Row],[Nombre PDF / cedula + num resolucion]]&amp;";"&amp;Tabla1[[#This Row],[instructivo]]</f>
        <v>1016029320_7553.pdf;10. Instructivo_Radicar_Activación_Credencial_DIGITAL_SIRNA.pdf</v>
      </c>
      <c r="AC146" s="7" t="str">
        <f>Tabla1[[#This Row],[Número de resolución de archivo]]&amp;"_"&amp;Tabla1[[#This Row],[Número de documento del contacto]]</f>
        <v>7553_1016029320</v>
      </c>
    </row>
    <row r="147" spans="1:29" x14ac:dyDescent="0.25">
      <c r="A147">
        <v>18002</v>
      </c>
      <c r="B147" t="s">
        <v>14</v>
      </c>
      <c r="C147" t="s">
        <v>15</v>
      </c>
      <c r="D147" t="s">
        <v>16</v>
      </c>
      <c r="E147" t="s">
        <v>17</v>
      </c>
      <c r="F147" s="14">
        <v>46122</v>
      </c>
      <c r="G147">
        <v>1111784782</v>
      </c>
      <c r="H147" t="s">
        <v>340</v>
      </c>
      <c r="I147" t="s">
        <v>341</v>
      </c>
      <c r="J147" t="s">
        <v>20</v>
      </c>
      <c r="K147" t="s">
        <v>21</v>
      </c>
      <c r="L147" s="14">
        <v>46184</v>
      </c>
      <c r="M147">
        <v>62</v>
      </c>
      <c r="N147" t="s">
        <v>22</v>
      </c>
      <c r="O147" t="s">
        <v>22</v>
      </c>
      <c r="P147" s="14">
        <v>46108</v>
      </c>
      <c r="Q147" t="s">
        <v>23</v>
      </c>
      <c r="R147" s="7">
        <f>IFERROR(VLOOKUP(Tabla1[[#This Row],[Número de documento del contacto]],'Resoluciones 1 (Res)'!$A:$C,2,0),"")</f>
        <v>7450</v>
      </c>
      <c r="S147" s="11">
        <f>IFERROR(VLOOKUP(Tabla1[[#This Row],[Número de documento del contacto]],'Resoluciones 1 (Res)'!$A:$C,3,0),"")</f>
        <v>46184.606747685197</v>
      </c>
      <c r="T147" s="7" t="str">
        <f>IFERROR(VLOOKUP(Tabla1[[#This Row],[Número de documento del contacto]],'Resoluciones 2 (Req)'!$B:$E,3,0),"")</f>
        <v>12373</v>
      </c>
      <c r="U147" s="7" t="str">
        <f t="shared" si="9"/>
        <v>10 de abril de 2026</v>
      </c>
      <c r="V147" s="7" t="str">
        <f t="shared" si="10"/>
        <v>27 de marzo de 2026</v>
      </c>
      <c r="W147" s="8" t="str">
        <f>"1-" &amp; ROWS($W$2:W147) &amp; ".pdf"</f>
        <v>1-146.pdf</v>
      </c>
      <c r="X147" s="7" t="str">
        <f>Tabla1[[#This Row],[Número de documento del contacto]]&amp;"-"&amp;Tabla1[[#This Row],[Número de resolución de archivo]]&amp;".pdf"</f>
        <v>1111784782-7450.pdf</v>
      </c>
      <c r="Y147" s="7" t="str">
        <f t="shared" si="11"/>
        <v>ren "1-146.pdf" "1111784782-7450.pdf"</v>
      </c>
      <c r="Z147" s="7" t="str">
        <f>Tabla1[[#This Row],[Número de documento del contacto]]&amp;"_"&amp;Tabla1[[#This Row],[Número de resolución de archivo]]&amp;".pdf"</f>
        <v>1111784782_7450.pdf</v>
      </c>
      <c r="AA147" s="7" t="s">
        <v>49</v>
      </c>
      <c r="AB147" s="7" t="str">
        <f>Tabla1[[#This Row],[Nombre PDF / cedula + num resolucion]]&amp;";"&amp;Tabla1[[#This Row],[instructivo]]</f>
        <v>1111784782_7450.pdf;10. Instructivo_Radicar_Activación_Credencial_DIGITAL_SIRNA.pdf</v>
      </c>
      <c r="AC147" s="7" t="str">
        <f>Tabla1[[#This Row],[Número de resolución de archivo]]&amp;"_"&amp;Tabla1[[#This Row],[Número de documento del contacto]]</f>
        <v>7450_1111784782</v>
      </c>
    </row>
    <row r="148" spans="1:29" x14ac:dyDescent="0.25">
      <c r="A148">
        <v>15785</v>
      </c>
      <c r="B148" t="s">
        <v>14</v>
      </c>
      <c r="C148" t="s">
        <v>15</v>
      </c>
      <c r="D148" t="s">
        <v>16</v>
      </c>
      <c r="E148" t="s">
        <v>17</v>
      </c>
      <c r="F148" s="14">
        <v>46121</v>
      </c>
      <c r="G148">
        <v>10002716</v>
      </c>
      <c r="H148" t="s">
        <v>342</v>
      </c>
      <c r="I148" t="s">
        <v>343</v>
      </c>
      <c r="J148" t="s">
        <v>20</v>
      </c>
      <c r="K148" t="s">
        <v>21</v>
      </c>
      <c r="L148" s="14">
        <v>46184</v>
      </c>
      <c r="M148">
        <v>63</v>
      </c>
      <c r="N148" t="s">
        <v>22</v>
      </c>
      <c r="O148" t="s">
        <v>22</v>
      </c>
      <c r="P148" s="14">
        <v>46094</v>
      </c>
      <c r="Q148" t="s">
        <v>23</v>
      </c>
      <c r="R148" s="7">
        <f>IFERROR(VLOOKUP(Tabla1[[#This Row],[Número de documento del contacto]],'Resoluciones 1 (Res)'!$A:$C,2,0),"")</f>
        <v>7517</v>
      </c>
      <c r="S148" s="11">
        <f>IFERROR(VLOOKUP(Tabla1[[#This Row],[Número de documento del contacto]],'Resoluciones 1 (Res)'!$A:$C,3,0),"")</f>
        <v>46184.606747685197</v>
      </c>
      <c r="T148" s="7" t="str">
        <f>IFERROR(VLOOKUP(Tabla1[[#This Row],[Número de documento del contacto]],'Resoluciones 2 (Req)'!$B:$E,3,0),"")</f>
        <v>12139</v>
      </c>
      <c r="U148" s="7" t="str">
        <f t="shared" si="9"/>
        <v>9 de abril de 2026</v>
      </c>
      <c r="V148" s="7" t="str">
        <f t="shared" si="10"/>
        <v>13 de marzo de 2026</v>
      </c>
      <c r="W148" s="8" t="str">
        <f>"1-" &amp; ROWS($W$2:W148) &amp; ".pdf"</f>
        <v>1-147.pdf</v>
      </c>
      <c r="X148" s="7" t="str">
        <f>Tabla1[[#This Row],[Número de documento del contacto]]&amp;"-"&amp;Tabla1[[#This Row],[Número de resolución de archivo]]&amp;".pdf"</f>
        <v>10002716-7517.pdf</v>
      </c>
      <c r="Y148" s="7" t="str">
        <f t="shared" si="11"/>
        <v>ren "1-147.pdf" "10002716-7517.pdf"</v>
      </c>
      <c r="Z148" s="7" t="str">
        <f>Tabla1[[#This Row],[Número de documento del contacto]]&amp;"_"&amp;Tabla1[[#This Row],[Número de resolución de archivo]]&amp;".pdf"</f>
        <v>10002716_7517.pdf</v>
      </c>
      <c r="AA148" s="7" t="s">
        <v>49</v>
      </c>
      <c r="AB148" s="7" t="str">
        <f>Tabla1[[#This Row],[Nombre PDF / cedula + num resolucion]]&amp;";"&amp;Tabla1[[#This Row],[instructivo]]</f>
        <v>10002716_7517.pdf;10. Instructivo_Radicar_Activación_Credencial_DIGITAL_SIRNA.pdf</v>
      </c>
      <c r="AC148" s="7" t="str">
        <f>Tabla1[[#This Row],[Número de resolución de archivo]]&amp;"_"&amp;Tabla1[[#This Row],[Número de documento del contacto]]</f>
        <v>7517_10002716</v>
      </c>
    </row>
    <row r="149" spans="1:29" x14ac:dyDescent="0.25">
      <c r="A149">
        <v>16307</v>
      </c>
      <c r="B149" t="s">
        <v>14</v>
      </c>
      <c r="C149" t="s">
        <v>15</v>
      </c>
      <c r="D149" t="s">
        <v>16</v>
      </c>
      <c r="E149" t="s">
        <v>17</v>
      </c>
      <c r="F149" s="14">
        <v>46121</v>
      </c>
      <c r="G149">
        <v>10300461</v>
      </c>
      <c r="H149" t="s">
        <v>344</v>
      </c>
      <c r="I149" t="s">
        <v>345</v>
      </c>
      <c r="J149" t="s">
        <v>20</v>
      </c>
      <c r="K149" t="s">
        <v>21</v>
      </c>
      <c r="L149" s="14">
        <v>46184</v>
      </c>
      <c r="M149">
        <v>63</v>
      </c>
      <c r="N149" t="s">
        <v>22</v>
      </c>
      <c r="O149" t="s">
        <v>22</v>
      </c>
      <c r="P149" s="14">
        <v>46098</v>
      </c>
      <c r="Q149" t="s">
        <v>23</v>
      </c>
      <c r="R149" s="7">
        <f>IFERROR(VLOOKUP(Tabla1[[#This Row],[Número de documento del contacto]],'Resoluciones 1 (Res)'!$A:$C,2,0),"")</f>
        <v>7733</v>
      </c>
      <c r="S149" s="11">
        <f>IFERROR(VLOOKUP(Tabla1[[#This Row],[Número de documento del contacto]],'Resoluciones 1 (Res)'!$A:$C,3,0),"")</f>
        <v>46184.606747685197</v>
      </c>
      <c r="T149" s="7" t="str">
        <f>IFERROR(VLOOKUP(Tabla1[[#This Row],[Número de documento del contacto]],'Resoluciones 2 (Req)'!$B:$E,3,0),"")</f>
        <v>12141</v>
      </c>
      <c r="U149" s="7" t="str">
        <f t="shared" si="9"/>
        <v>9 de abril de 2026</v>
      </c>
      <c r="V149" s="7" t="str">
        <f t="shared" si="10"/>
        <v>17 de marzo de 2026</v>
      </c>
      <c r="W149" s="8" t="str">
        <f>"1-" &amp; ROWS($W$2:W149) &amp; ".pdf"</f>
        <v>1-148.pdf</v>
      </c>
      <c r="X149" s="7" t="str">
        <f>Tabla1[[#This Row],[Número de documento del contacto]]&amp;"-"&amp;Tabla1[[#This Row],[Número de resolución de archivo]]&amp;".pdf"</f>
        <v>10300461-7733.pdf</v>
      </c>
      <c r="Y149" s="7" t="str">
        <f t="shared" si="11"/>
        <v>ren "1-148.pdf" "10300461-7733.pdf"</v>
      </c>
      <c r="Z149" s="7" t="str">
        <f>Tabla1[[#This Row],[Número de documento del contacto]]&amp;"_"&amp;Tabla1[[#This Row],[Número de resolución de archivo]]&amp;".pdf"</f>
        <v>10300461_7733.pdf</v>
      </c>
      <c r="AA149" s="7" t="s">
        <v>49</v>
      </c>
      <c r="AB149" s="7" t="str">
        <f>Tabla1[[#This Row],[Nombre PDF / cedula + num resolucion]]&amp;";"&amp;Tabla1[[#This Row],[instructivo]]</f>
        <v>10300461_7733.pdf;10. Instructivo_Radicar_Activación_Credencial_DIGITAL_SIRNA.pdf</v>
      </c>
      <c r="AC149" s="7" t="str">
        <f>Tabla1[[#This Row],[Número de resolución de archivo]]&amp;"_"&amp;Tabla1[[#This Row],[Número de documento del contacto]]</f>
        <v>7733_10300461</v>
      </c>
    </row>
    <row r="150" spans="1:29" x14ac:dyDescent="0.25">
      <c r="A150">
        <v>16456</v>
      </c>
      <c r="B150" t="s">
        <v>14</v>
      </c>
      <c r="C150" t="s">
        <v>15</v>
      </c>
      <c r="D150" t="s">
        <v>16</v>
      </c>
      <c r="E150" t="s">
        <v>17</v>
      </c>
      <c r="F150" s="14">
        <v>46121</v>
      </c>
      <c r="G150">
        <v>12984718</v>
      </c>
      <c r="H150" t="s">
        <v>346</v>
      </c>
      <c r="I150" t="s">
        <v>347</v>
      </c>
      <c r="J150" t="s">
        <v>20</v>
      </c>
      <c r="K150" t="s">
        <v>21</v>
      </c>
      <c r="L150" s="14">
        <v>46184</v>
      </c>
      <c r="M150">
        <v>63</v>
      </c>
      <c r="N150" t="s">
        <v>22</v>
      </c>
      <c r="O150" t="s">
        <v>22</v>
      </c>
      <c r="P150" s="14">
        <v>46099</v>
      </c>
      <c r="Q150" t="s">
        <v>23</v>
      </c>
      <c r="R150" s="7">
        <f>IFERROR(VLOOKUP(Tabla1[[#This Row],[Número de documento del contacto]],'Resoluciones 1 (Res)'!$A:$C,2,0),"")</f>
        <v>7652</v>
      </c>
      <c r="S150" s="11">
        <f>IFERROR(VLOOKUP(Tabla1[[#This Row],[Número de documento del contacto]],'Resoluciones 1 (Res)'!$A:$C,3,0),"")</f>
        <v>46184.606747685197</v>
      </c>
      <c r="T150" s="7" t="str">
        <f>IFERROR(VLOOKUP(Tabla1[[#This Row],[Número de documento del contacto]],'Resoluciones 2 (Req)'!$B:$E,3,0),"")</f>
        <v>12143</v>
      </c>
      <c r="U150" s="7" t="str">
        <f t="shared" si="9"/>
        <v>9 de abril de 2026</v>
      </c>
      <c r="V150" s="7" t="str">
        <f t="shared" si="10"/>
        <v>18 de marzo de 2026</v>
      </c>
      <c r="W150" s="8" t="str">
        <f>"1-" &amp; ROWS($W$2:W150) &amp; ".pdf"</f>
        <v>1-149.pdf</v>
      </c>
      <c r="X150" s="7" t="str">
        <f>Tabla1[[#This Row],[Número de documento del contacto]]&amp;"-"&amp;Tabla1[[#This Row],[Número de resolución de archivo]]&amp;".pdf"</f>
        <v>12984718-7652.pdf</v>
      </c>
      <c r="Y150" s="7" t="str">
        <f t="shared" si="11"/>
        <v>ren "1-149.pdf" "12984718-7652.pdf"</v>
      </c>
      <c r="Z150" s="7" t="str">
        <f>Tabla1[[#This Row],[Número de documento del contacto]]&amp;"_"&amp;Tabla1[[#This Row],[Número de resolución de archivo]]&amp;".pdf"</f>
        <v>12984718_7652.pdf</v>
      </c>
      <c r="AA150" s="7" t="s">
        <v>49</v>
      </c>
      <c r="AB150" s="7" t="str">
        <f>Tabla1[[#This Row],[Nombre PDF / cedula + num resolucion]]&amp;";"&amp;Tabla1[[#This Row],[instructivo]]</f>
        <v>12984718_7652.pdf;10. Instructivo_Radicar_Activación_Credencial_DIGITAL_SIRNA.pdf</v>
      </c>
      <c r="AC150" s="7" t="str">
        <f>Tabla1[[#This Row],[Número de resolución de archivo]]&amp;"_"&amp;Tabla1[[#This Row],[Número de documento del contacto]]</f>
        <v>7652_12984718</v>
      </c>
    </row>
    <row r="151" spans="1:29" x14ac:dyDescent="0.25">
      <c r="A151">
        <v>16423</v>
      </c>
      <c r="B151" t="s">
        <v>14</v>
      </c>
      <c r="C151" t="s">
        <v>15</v>
      </c>
      <c r="D151" t="s">
        <v>16</v>
      </c>
      <c r="E151" t="s">
        <v>17</v>
      </c>
      <c r="F151" s="14">
        <v>46121</v>
      </c>
      <c r="G151">
        <v>13235501</v>
      </c>
      <c r="H151" t="s">
        <v>348</v>
      </c>
      <c r="I151" t="s">
        <v>349</v>
      </c>
      <c r="J151" t="s">
        <v>20</v>
      </c>
      <c r="K151" t="s">
        <v>21</v>
      </c>
      <c r="L151" s="14">
        <v>46184</v>
      </c>
      <c r="M151">
        <v>63</v>
      </c>
      <c r="N151" t="s">
        <v>22</v>
      </c>
      <c r="O151" t="s">
        <v>22</v>
      </c>
      <c r="P151" s="14">
        <v>46099</v>
      </c>
      <c r="Q151" t="s">
        <v>23</v>
      </c>
      <c r="R151" s="7">
        <f>IFERROR(VLOOKUP(Tabla1[[#This Row],[Número de documento del contacto]],'Resoluciones 1 (Res)'!$A:$C,2,0),"")</f>
        <v>7634</v>
      </c>
      <c r="S151" s="11">
        <f>IFERROR(VLOOKUP(Tabla1[[#This Row],[Número de documento del contacto]],'Resoluciones 1 (Res)'!$A:$C,3,0),"")</f>
        <v>46184.606747685197</v>
      </c>
      <c r="T151" s="7" t="str">
        <f>IFERROR(VLOOKUP(Tabla1[[#This Row],[Número de documento del contacto]],'Resoluciones 2 (Req)'!$B:$E,3,0),"")</f>
        <v>12145</v>
      </c>
      <c r="U151" s="7" t="str">
        <f t="shared" si="9"/>
        <v>9 de abril de 2026</v>
      </c>
      <c r="V151" s="7" t="str">
        <f t="shared" si="10"/>
        <v>18 de marzo de 2026</v>
      </c>
      <c r="W151" s="8" t="str">
        <f>"1-" &amp; ROWS($W$2:W151) &amp; ".pdf"</f>
        <v>1-150.pdf</v>
      </c>
      <c r="X151" s="7" t="str">
        <f>Tabla1[[#This Row],[Número de documento del contacto]]&amp;"-"&amp;Tabla1[[#This Row],[Número de resolución de archivo]]&amp;".pdf"</f>
        <v>13235501-7634.pdf</v>
      </c>
      <c r="Y151" s="7" t="str">
        <f t="shared" si="11"/>
        <v>ren "1-150.pdf" "13235501-7634.pdf"</v>
      </c>
      <c r="Z151" s="7" t="str">
        <f>Tabla1[[#This Row],[Número de documento del contacto]]&amp;"_"&amp;Tabla1[[#This Row],[Número de resolución de archivo]]&amp;".pdf"</f>
        <v>13235501_7634.pdf</v>
      </c>
      <c r="AA151" s="7" t="s">
        <v>49</v>
      </c>
      <c r="AB151" s="7" t="str">
        <f>Tabla1[[#This Row],[Nombre PDF / cedula + num resolucion]]&amp;";"&amp;Tabla1[[#This Row],[instructivo]]</f>
        <v>13235501_7634.pdf;10. Instructivo_Radicar_Activación_Credencial_DIGITAL_SIRNA.pdf</v>
      </c>
      <c r="AC151" s="7" t="str">
        <f>Tabla1[[#This Row],[Número de resolución de archivo]]&amp;"_"&amp;Tabla1[[#This Row],[Número de documento del contacto]]</f>
        <v>7634_13235501</v>
      </c>
    </row>
    <row r="152" spans="1:29" x14ac:dyDescent="0.25">
      <c r="A152">
        <v>15815</v>
      </c>
      <c r="B152" t="s">
        <v>14</v>
      </c>
      <c r="C152" t="s">
        <v>15</v>
      </c>
      <c r="D152" t="s">
        <v>16</v>
      </c>
      <c r="E152" t="s">
        <v>17</v>
      </c>
      <c r="F152" s="14">
        <v>46121</v>
      </c>
      <c r="G152">
        <v>13276287</v>
      </c>
      <c r="H152" t="s">
        <v>350</v>
      </c>
      <c r="I152" t="s">
        <v>351</v>
      </c>
      <c r="J152" t="s">
        <v>20</v>
      </c>
      <c r="K152" t="s">
        <v>21</v>
      </c>
      <c r="L152" s="14">
        <v>46184</v>
      </c>
      <c r="M152">
        <v>63</v>
      </c>
      <c r="N152" t="s">
        <v>22</v>
      </c>
      <c r="O152" t="s">
        <v>22</v>
      </c>
      <c r="P152" s="14">
        <v>46095</v>
      </c>
      <c r="Q152" t="s">
        <v>23</v>
      </c>
      <c r="R152" s="7">
        <f>IFERROR(VLOOKUP(Tabla1[[#This Row],[Número de documento del contacto]],'Resoluciones 1 (Res)'!$A:$C,2,0),"")</f>
        <v>7531</v>
      </c>
      <c r="S152" s="11">
        <f>IFERROR(VLOOKUP(Tabla1[[#This Row],[Número de documento del contacto]],'Resoluciones 1 (Res)'!$A:$C,3,0),"")</f>
        <v>46184.606747685197</v>
      </c>
      <c r="T152" s="7" t="str">
        <f>IFERROR(VLOOKUP(Tabla1[[#This Row],[Número de documento del contacto]],'Resoluciones 2 (Req)'!$B:$E,3,0),"")</f>
        <v>12146</v>
      </c>
      <c r="U152" s="7" t="str">
        <f t="shared" si="9"/>
        <v>9 de abril de 2026</v>
      </c>
      <c r="V152" s="7" t="str">
        <f t="shared" si="10"/>
        <v>14 de marzo de 2026</v>
      </c>
      <c r="W152" s="8" t="str">
        <f>"1-" &amp; ROWS($W$2:W152) &amp; ".pdf"</f>
        <v>1-151.pdf</v>
      </c>
      <c r="X152" s="7" t="str">
        <f>Tabla1[[#This Row],[Número de documento del contacto]]&amp;"-"&amp;Tabla1[[#This Row],[Número de resolución de archivo]]&amp;".pdf"</f>
        <v>13276287-7531.pdf</v>
      </c>
      <c r="Y152" s="7" t="str">
        <f t="shared" si="11"/>
        <v>ren "1-151.pdf" "13276287-7531.pdf"</v>
      </c>
      <c r="Z152" s="7" t="str">
        <f>Tabla1[[#This Row],[Número de documento del contacto]]&amp;"_"&amp;Tabla1[[#This Row],[Número de resolución de archivo]]&amp;".pdf"</f>
        <v>13276287_7531.pdf</v>
      </c>
      <c r="AA152" s="7" t="s">
        <v>49</v>
      </c>
      <c r="AB152" s="7" t="str">
        <f>Tabla1[[#This Row],[Nombre PDF / cedula + num resolucion]]&amp;";"&amp;Tabla1[[#This Row],[instructivo]]</f>
        <v>13276287_7531.pdf;10. Instructivo_Radicar_Activación_Credencial_DIGITAL_SIRNA.pdf</v>
      </c>
      <c r="AC152" s="7" t="str">
        <f>Tabla1[[#This Row],[Número de resolución de archivo]]&amp;"_"&amp;Tabla1[[#This Row],[Número de documento del contacto]]</f>
        <v>7531_13276287</v>
      </c>
    </row>
    <row r="153" spans="1:29" x14ac:dyDescent="0.25">
      <c r="A153">
        <v>16699</v>
      </c>
      <c r="B153" t="s">
        <v>14</v>
      </c>
      <c r="C153" t="s">
        <v>15</v>
      </c>
      <c r="D153" t="s">
        <v>16</v>
      </c>
      <c r="E153" t="s">
        <v>17</v>
      </c>
      <c r="F153" s="14">
        <v>46121</v>
      </c>
      <c r="G153">
        <v>14696040</v>
      </c>
      <c r="H153" t="s">
        <v>352</v>
      </c>
      <c r="I153" t="s">
        <v>353</v>
      </c>
      <c r="J153" t="s">
        <v>20</v>
      </c>
      <c r="K153" t="s">
        <v>21</v>
      </c>
      <c r="L153" s="14">
        <v>46184</v>
      </c>
      <c r="M153">
        <v>63</v>
      </c>
      <c r="N153" t="s">
        <v>22</v>
      </c>
      <c r="O153" t="s">
        <v>22</v>
      </c>
      <c r="P153" s="14">
        <v>46100</v>
      </c>
      <c r="Q153" t="s">
        <v>23</v>
      </c>
      <c r="R153" s="7">
        <f>IFERROR(VLOOKUP(Tabla1[[#This Row],[Número de documento del contacto]],'Resoluciones 1 (Res)'!$A:$C,2,0),"")</f>
        <v>7636</v>
      </c>
      <c r="S153" s="11">
        <f>IFERROR(VLOOKUP(Tabla1[[#This Row],[Número de documento del contacto]],'Resoluciones 1 (Res)'!$A:$C,3,0),"")</f>
        <v>46184.606747685197</v>
      </c>
      <c r="T153" s="7" t="str">
        <f>IFERROR(VLOOKUP(Tabla1[[#This Row],[Número de documento del contacto]],'Resoluciones 2 (Req)'!$B:$E,3,0),"")</f>
        <v>12148</v>
      </c>
      <c r="U153" s="7" t="str">
        <f t="shared" si="9"/>
        <v>9 de abril de 2026</v>
      </c>
      <c r="V153" s="7" t="str">
        <f t="shared" si="10"/>
        <v>19 de marzo de 2026</v>
      </c>
      <c r="W153" s="8" t="str">
        <f>"1-" &amp; ROWS($W$2:W153) &amp; ".pdf"</f>
        <v>1-152.pdf</v>
      </c>
      <c r="X153" s="7" t="str">
        <f>Tabla1[[#This Row],[Número de documento del contacto]]&amp;"-"&amp;Tabla1[[#This Row],[Número de resolución de archivo]]&amp;".pdf"</f>
        <v>14696040-7636.pdf</v>
      </c>
      <c r="Y153" s="7" t="str">
        <f t="shared" si="11"/>
        <v>ren "1-152.pdf" "14696040-7636.pdf"</v>
      </c>
      <c r="Z153" s="7" t="str">
        <f>Tabla1[[#This Row],[Número de documento del contacto]]&amp;"_"&amp;Tabla1[[#This Row],[Número de resolución de archivo]]&amp;".pdf"</f>
        <v>14696040_7636.pdf</v>
      </c>
      <c r="AA153" s="7" t="s">
        <v>49</v>
      </c>
      <c r="AB153" s="7" t="str">
        <f>Tabla1[[#This Row],[Nombre PDF / cedula + num resolucion]]&amp;";"&amp;Tabla1[[#This Row],[instructivo]]</f>
        <v>14696040_7636.pdf;10. Instructivo_Radicar_Activación_Credencial_DIGITAL_SIRNA.pdf</v>
      </c>
      <c r="AC153" s="7" t="str">
        <f>Tabla1[[#This Row],[Número de resolución de archivo]]&amp;"_"&amp;Tabla1[[#This Row],[Número de documento del contacto]]</f>
        <v>7636_14696040</v>
      </c>
    </row>
    <row r="154" spans="1:29" x14ac:dyDescent="0.25">
      <c r="A154">
        <v>16095</v>
      </c>
      <c r="B154" t="s">
        <v>14</v>
      </c>
      <c r="C154" t="s">
        <v>15</v>
      </c>
      <c r="D154" t="s">
        <v>16</v>
      </c>
      <c r="E154" t="s">
        <v>17</v>
      </c>
      <c r="F154" s="14">
        <v>46121</v>
      </c>
      <c r="G154">
        <v>14800905</v>
      </c>
      <c r="H154" t="s">
        <v>354</v>
      </c>
      <c r="I154" t="s">
        <v>355</v>
      </c>
      <c r="J154" t="s">
        <v>20</v>
      </c>
      <c r="K154" t="s">
        <v>21</v>
      </c>
      <c r="L154" s="14">
        <v>46184</v>
      </c>
      <c r="M154">
        <v>63</v>
      </c>
      <c r="N154" t="s">
        <v>22</v>
      </c>
      <c r="O154" t="s">
        <v>22</v>
      </c>
      <c r="P154" s="14">
        <v>46097</v>
      </c>
      <c r="Q154" t="s">
        <v>23</v>
      </c>
      <c r="R154" s="7">
        <f>IFERROR(VLOOKUP(Tabla1[[#This Row],[Número de documento del contacto]],'Resoluciones 1 (Res)'!$A:$C,2,0),"")</f>
        <v>7698</v>
      </c>
      <c r="S154" s="11">
        <f>IFERROR(VLOOKUP(Tabla1[[#This Row],[Número de documento del contacto]],'Resoluciones 1 (Res)'!$A:$C,3,0),"")</f>
        <v>46184.606747685197</v>
      </c>
      <c r="T154" s="7" t="str">
        <f>IFERROR(VLOOKUP(Tabla1[[#This Row],[Número de documento del contacto]],'Resoluciones 2 (Req)'!$B:$E,3,0),"")</f>
        <v>12149</v>
      </c>
      <c r="U154" s="7" t="str">
        <f t="shared" si="9"/>
        <v>9 de abril de 2026</v>
      </c>
      <c r="V154" s="7" t="str">
        <f t="shared" si="10"/>
        <v>16 de marzo de 2026</v>
      </c>
      <c r="W154" s="8" t="str">
        <f>"1-" &amp; ROWS($W$2:W154) &amp; ".pdf"</f>
        <v>1-153.pdf</v>
      </c>
      <c r="X154" s="7" t="str">
        <f>Tabla1[[#This Row],[Número de documento del contacto]]&amp;"-"&amp;Tabla1[[#This Row],[Número de resolución de archivo]]&amp;".pdf"</f>
        <v>14800905-7698.pdf</v>
      </c>
      <c r="Y154" s="7" t="str">
        <f t="shared" si="11"/>
        <v>ren "1-153.pdf" "14800905-7698.pdf"</v>
      </c>
      <c r="Z154" s="7" t="str">
        <f>Tabla1[[#This Row],[Número de documento del contacto]]&amp;"_"&amp;Tabla1[[#This Row],[Número de resolución de archivo]]&amp;".pdf"</f>
        <v>14800905_7698.pdf</v>
      </c>
      <c r="AA154" s="7" t="s">
        <v>49</v>
      </c>
      <c r="AB154" s="7" t="str">
        <f>Tabla1[[#This Row],[Nombre PDF / cedula + num resolucion]]&amp;";"&amp;Tabla1[[#This Row],[instructivo]]</f>
        <v>14800905_7698.pdf;10. Instructivo_Radicar_Activación_Credencial_DIGITAL_SIRNA.pdf</v>
      </c>
      <c r="AC154" s="7" t="str">
        <f>Tabla1[[#This Row],[Número de resolución de archivo]]&amp;"_"&amp;Tabla1[[#This Row],[Número de documento del contacto]]</f>
        <v>7698_14800905</v>
      </c>
    </row>
    <row r="155" spans="1:29" x14ac:dyDescent="0.25">
      <c r="A155">
        <v>16447</v>
      </c>
      <c r="B155" t="s">
        <v>14</v>
      </c>
      <c r="C155" t="s">
        <v>15</v>
      </c>
      <c r="D155" t="s">
        <v>16</v>
      </c>
      <c r="E155" t="s">
        <v>17</v>
      </c>
      <c r="F155" s="14">
        <v>46121</v>
      </c>
      <c r="G155">
        <v>15186482</v>
      </c>
      <c r="H155" t="s">
        <v>356</v>
      </c>
      <c r="I155" t="s">
        <v>357</v>
      </c>
      <c r="J155" t="s">
        <v>20</v>
      </c>
      <c r="K155" t="s">
        <v>21</v>
      </c>
      <c r="L155" s="14">
        <v>46184</v>
      </c>
      <c r="M155">
        <v>63</v>
      </c>
      <c r="N155" t="s">
        <v>22</v>
      </c>
      <c r="O155" t="s">
        <v>22</v>
      </c>
      <c r="P155" s="14">
        <v>46099</v>
      </c>
      <c r="Q155" t="s">
        <v>23</v>
      </c>
      <c r="R155" s="7">
        <f>IFERROR(VLOOKUP(Tabla1[[#This Row],[Número de documento del contacto]],'Resoluciones 1 (Res)'!$A:$C,2,0),"")</f>
        <v>7678</v>
      </c>
      <c r="S155" s="11">
        <f>IFERROR(VLOOKUP(Tabla1[[#This Row],[Número de documento del contacto]],'Resoluciones 1 (Res)'!$A:$C,3,0),"")</f>
        <v>46184.606747685197</v>
      </c>
      <c r="T155" s="7" t="str">
        <f>IFERROR(VLOOKUP(Tabla1[[#This Row],[Número de documento del contacto]],'Resoluciones 2 (Req)'!$B:$E,3,0),"")</f>
        <v>12151</v>
      </c>
      <c r="U155" s="7" t="str">
        <f t="shared" si="9"/>
        <v>9 de abril de 2026</v>
      </c>
      <c r="V155" s="7" t="str">
        <f t="shared" si="10"/>
        <v>18 de marzo de 2026</v>
      </c>
      <c r="W155" s="8" t="str">
        <f>"1-" &amp; ROWS($W$2:W155) &amp; ".pdf"</f>
        <v>1-154.pdf</v>
      </c>
      <c r="X155" s="7" t="str">
        <f>Tabla1[[#This Row],[Número de documento del contacto]]&amp;"-"&amp;Tabla1[[#This Row],[Número de resolución de archivo]]&amp;".pdf"</f>
        <v>15186482-7678.pdf</v>
      </c>
      <c r="Y155" s="7" t="str">
        <f t="shared" si="11"/>
        <v>ren "1-154.pdf" "15186482-7678.pdf"</v>
      </c>
      <c r="Z155" s="7" t="str">
        <f>Tabla1[[#This Row],[Número de documento del contacto]]&amp;"_"&amp;Tabla1[[#This Row],[Número de resolución de archivo]]&amp;".pdf"</f>
        <v>15186482_7678.pdf</v>
      </c>
      <c r="AA155" s="7" t="s">
        <v>49</v>
      </c>
      <c r="AB155" s="7" t="str">
        <f>Tabla1[[#This Row],[Nombre PDF / cedula + num resolucion]]&amp;";"&amp;Tabla1[[#This Row],[instructivo]]</f>
        <v>15186482_7678.pdf;10. Instructivo_Radicar_Activación_Credencial_DIGITAL_SIRNA.pdf</v>
      </c>
      <c r="AC155" s="7" t="str">
        <f>Tabla1[[#This Row],[Número de resolución de archivo]]&amp;"_"&amp;Tabla1[[#This Row],[Número de documento del contacto]]</f>
        <v>7678_15186482</v>
      </c>
    </row>
    <row r="156" spans="1:29" x14ac:dyDescent="0.25">
      <c r="A156">
        <v>16197</v>
      </c>
      <c r="B156" t="s">
        <v>14</v>
      </c>
      <c r="C156" t="s">
        <v>15</v>
      </c>
      <c r="D156" t="s">
        <v>16</v>
      </c>
      <c r="E156" t="s">
        <v>17</v>
      </c>
      <c r="F156" s="14">
        <v>46121</v>
      </c>
      <c r="G156">
        <v>15338579</v>
      </c>
      <c r="H156" t="s">
        <v>358</v>
      </c>
      <c r="I156" t="s">
        <v>359</v>
      </c>
      <c r="J156" t="s">
        <v>20</v>
      </c>
      <c r="K156" t="s">
        <v>21</v>
      </c>
      <c r="L156" s="14">
        <v>46184</v>
      </c>
      <c r="M156">
        <v>63</v>
      </c>
      <c r="N156" t="s">
        <v>22</v>
      </c>
      <c r="O156" t="s">
        <v>22</v>
      </c>
      <c r="P156" s="14">
        <v>46098</v>
      </c>
      <c r="Q156" t="s">
        <v>23</v>
      </c>
      <c r="R156" s="7">
        <f>IFERROR(VLOOKUP(Tabla1[[#This Row],[Número de documento del contacto]],'Resoluciones 1 (Res)'!$A:$C,2,0),"")</f>
        <v>7643</v>
      </c>
      <c r="S156" s="11">
        <f>IFERROR(VLOOKUP(Tabla1[[#This Row],[Número de documento del contacto]],'Resoluciones 1 (Res)'!$A:$C,3,0),"")</f>
        <v>46184.606747685197</v>
      </c>
      <c r="T156" s="7" t="str">
        <f>IFERROR(VLOOKUP(Tabla1[[#This Row],[Número de documento del contacto]],'Resoluciones 2 (Req)'!$B:$E,3,0),"")</f>
        <v>12156</v>
      </c>
      <c r="U156" s="7" t="str">
        <f t="shared" si="9"/>
        <v>9 de abril de 2026</v>
      </c>
      <c r="V156" s="7" t="str">
        <f t="shared" si="10"/>
        <v>17 de marzo de 2026</v>
      </c>
      <c r="W156" s="8" t="str">
        <f>"1-" &amp; ROWS($W$2:W156) &amp; ".pdf"</f>
        <v>1-155.pdf</v>
      </c>
      <c r="X156" s="7" t="str">
        <f>Tabla1[[#This Row],[Número de documento del contacto]]&amp;"-"&amp;Tabla1[[#This Row],[Número de resolución de archivo]]&amp;".pdf"</f>
        <v>15338579-7643.pdf</v>
      </c>
      <c r="Y156" s="7" t="str">
        <f t="shared" si="11"/>
        <v>ren "1-155.pdf" "15338579-7643.pdf"</v>
      </c>
      <c r="Z156" s="7" t="str">
        <f>Tabla1[[#This Row],[Número de documento del contacto]]&amp;"_"&amp;Tabla1[[#This Row],[Número de resolución de archivo]]&amp;".pdf"</f>
        <v>15338579_7643.pdf</v>
      </c>
      <c r="AA156" s="7" t="s">
        <v>49</v>
      </c>
      <c r="AB156" s="7" t="str">
        <f>Tabla1[[#This Row],[Nombre PDF / cedula + num resolucion]]&amp;";"&amp;Tabla1[[#This Row],[instructivo]]</f>
        <v>15338579_7643.pdf;10. Instructivo_Radicar_Activación_Credencial_DIGITAL_SIRNA.pdf</v>
      </c>
      <c r="AC156" s="7" t="str">
        <f>Tabla1[[#This Row],[Número de resolución de archivo]]&amp;"_"&amp;Tabla1[[#This Row],[Número de documento del contacto]]</f>
        <v>7643_15338579</v>
      </c>
    </row>
    <row r="157" spans="1:29" x14ac:dyDescent="0.25">
      <c r="A157">
        <v>16063</v>
      </c>
      <c r="B157" t="s">
        <v>14</v>
      </c>
      <c r="C157" t="s">
        <v>15</v>
      </c>
      <c r="D157" t="s">
        <v>16</v>
      </c>
      <c r="E157" t="s">
        <v>17</v>
      </c>
      <c r="F157" s="14">
        <v>46121</v>
      </c>
      <c r="G157">
        <v>18493774</v>
      </c>
      <c r="H157" t="s">
        <v>360</v>
      </c>
      <c r="I157" t="s">
        <v>361</v>
      </c>
      <c r="J157" t="s">
        <v>20</v>
      </c>
      <c r="K157" t="s">
        <v>21</v>
      </c>
      <c r="L157" s="14">
        <v>46184</v>
      </c>
      <c r="M157">
        <v>63</v>
      </c>
      <c r="N157" t="s">
        <v>22</v>
      </c>
      <c r="O157" t="s">
        <v>22</v>
      </c>
      <c r="P157" s="14">
        <v>46097</v>
      </c>
      <c r="Q157" t="s">
        <v>23</v>
      </c>
      <c r="R157" s="7">
        <f>IFERROR(VLOOKUP(Tabla1[[#This Row],[Número de documento del contacto]],'Resoluciones 1 (Res)'!$A:$C,2,0),"")</f>
        <v>7616</v>
      </c>
      <c r="S157" s="11">
        <f>IFERROR(VLOOKUP(Tabla1[[#This Row],[Número de documento del contacto]],'Resoluciones 1 (Res)'!$A:$C,3,0),"")</f>
        <v>46184.606747685197</v>
      </c>
      <c r="T157" s="7" t="str">
        <f>IFERROR(VLOOKUP(Tabla1[[#This Row],[Número de documento del contacto]],'Resoluciones 2 (Req)'!$B:$E,3,0),"")</f>
        <v>12157</v>
      </c>
      <c r="U157" s="7" t="str">
        <f t="shared" si="9"/>
        <v>9 de abril de 2026</v>
      </c>
      <c r="V157" s="7" t="str">
        <f t="shared" si="10"/>
        <v>16 de marzo de 2026</v>
      </c>
      <c r="W157" s="8" t="str">
        <f>"1-" &amp; ROWS($W$2:W157) &amp; ".pdf"</f>
        <v>1-156.pdf</v>
      </c>
      <c r="X157" s="7" t="str">
        <f>Tabla1[[#This Row],[Número de documento del contacto]]&amp;"-"&amp;Tabla1[[#This Row],[Número de resolución de archivo]]&amp;".pdf"</f>
        <v>18493774-7616.pdf</v>
      </c>
      <c r="Y157" s="7" t="str">
        <f t="shared" si="11"/>
        <v>ren "1-156.pdf" "18493774-7616.pdf"</v>
      </c>
      <c r="Z157" s="7" t="str">
        <f>Tabla1[[#This Row],[Número de documento del contacto]]&amp;"_"&amp;Tabla1[[#This Row],[Número de resolución de archivo]]&amp;".pdf"</f>
        <v>18493774_7616.pdf</v>
      </c>
      <c r="AA157" s="7" t="s">
        <v>49</v>
      </c>
      <c r="AB157" s="7" t="str">
        <f>Tabla1[[#This Row],[Nombre PDF / cedula + num resolucion]]&amp;";"&amp;Tabla1[[#This Row],[instructivo]]</f>
        <v>18493774_7616.pdf;10. Instructivo_Radicar_Activación_Credencial_DIGITAL_SIRNA.pdf</v>
      </c>
      <c r="AC157" s="7" t="str">
        <f>Tabla1[[#This Row],[Número de resolución de archivo]]&amp;"_"&amp;Tabla1[[#This Row],[Número de documento del contacto]]</f>
        <v>7616_18493774</v>
      </c>
    </row>
    <row r="158" spans="1:29" x14ac:dyDescent="0.25">
      <c r="A158">
        <v>16483</v>
      </c>
      <c r="B158" t="s">
        <v>14</v>
      </c>
      <c r="C158" t="s">
        <v>15</v>
      </c>
      <c r="D158" t="s">
        <v>16</v>
      </c>
      <c r="E158" t="s">
        <v>17</v>
      </c>
      <c r="F158" s="14">
        <v>46121</v>
      </c>
      <c r="G158">
        <v>19493959</v>
      </c>
      <c r="H158" t="s">
        <v>362</v>
      </c>
      <c r="I158" t="s">
        <v>363</v>
      </c>
      <c r="J158" t="s">
        <v>20</v>
      </c>
      <c r="K158" t="s">
        <v>21</v>
      </c>
      <c r="L158" s="14">
        <v>46184</v>
      </c>
      <c r="M158">
        <v>63</v>
      </c>
      <c r="N158" t="s">
        <v>22</v>
      </c>
      <c r="O158" t="s">
        <v>22</v>
      </c>
      <c r="P158" s="14">
        <v>46099</v>
      </c>
      <c r="Q158" t="s">
        <v>23</v>
      </c>
      <c r="R158" s="7">
        <f>IFERROR(VLOOKUP(Tabla1[[#This Row],[Número de documento del contacto]],'Resoluciones 1 (Res)'!$A:$C,2,0),"")</f>
        <v>7600</v>
      </c>
      <c r="S158" s="11">
        <f>IFERROR(VLOOKUP(Tabla1[[#This Row],[Número de documento del contacto]],'Resoluciones 1 (Res)'!$A:$C,3,0),"")</f>
        <v>46184.606747685197</v>
      </c>
      <c r="T158" s="7" t="str">
        <f>IFERROR(VLOOKUP(Tabla1[[#This Row],[Número de documento del contacto]],'Resoluciones 2 (Req)'!$B:$E,3,0),"")</f>
        <v>12159</v>
      </c>
      <c r="U158" s="7" t="str">
        <f t="shared" si="9"/>
        <v>9 de abril de 2026</v>
      </c>
      <c r="V158" s="7" t="str">
        <f t="shared" si="10"/>
        <v>18 de marzo de 2026</v>
      </c>
      <c r="W158" s="8" t="str">
        <f>"1-" &amp; ROWS($W$2:W158) &amp; ".pdf"</f>
        <v>1-157.pdf</v>
      </c>
      <c r="X158" s="7" t="str">
        <f>Tabla1[[#This Row],[Número de documento del contacto]]&amp;"-"&amp;Tabla1[[#This Row],[Número de resolución de archivo]]&amp;".pdf"</f>
        <v>19493959-7600.pdf</v>
      </c>
      <c r="Y158" s="7" t="str">
        <f t="shared" si="11"/>
        <v>ren "1-157.pdf" "19493959-7600.pdf"</v>
      </c>
      <c r="Z158" s="7" t="str">
        <f>Tabla1[[#This Row],[Número de documento del contacto]]&amp;"_"&amp;Tabla1[[#This Row],[Número de resolución de archivo]]&amp;".pdf"</f>
        <v>19493959_7600.pdf</v>
      </c>
      <c r="AA158" s="7" t="s">
        <v>49</v>
      </c>
      <c r="AB158" s="7" t="str">
        <f>Tabla1[[#This Row],[Nombre PDF / cedula + num resolucion]]&amp;";"&amp;Tabla1[[#This Row],[instructivo]]</f>
        <v>19493959_7600.pdf;10. Instructivo_Radicar_Activación_Credencial_DIGITAL_SIRNA.pdf</v>
      </c>
      <c r="AC158" s="7" t="str">
        <f>Tabla1[[#This Row],[Número de resolución de archivo]]&amp;"_"&amp;Tabla1[[#This Row],[Número de documento del contacto]]</f>
        <v>7600_19493959</v>
      </c>
    </row>
    <row r="159" spans="1:29" x14ac:dyDescent="0.25">
      <c r="A159">
        <v>16588</v>
      </c>
      <c r="B159" t="s">
        <v>14</v>
      </c>
      <c r="C159" t="s">
        <v>15</v>
      </c>
      <c r="D159" t="s">
        <v>16</v>
      </c>
      <c r="E159" t="s">
        <v>17</v>
      </c>
      <c r="F159" s="14">
        <v>46121</v>
      </c>
      <c r="G159">
        <v>27123017</v>
      </c>
      <c r="H159" t="s">
        <v>364</v>
      </c>
      <c r="I159" t="s">
        <v>365</v>
      </c>
      <c r="J159" t="s">
        <v>20</v>
      </c>
      <c r="K159" t="s">
        <v>21</v>
      </c>
      <c r="L159" s="14">
        <v>46184</v>
      </c>
      <c r="M159">
        <v>63</v>
      </c>
      <c r="N159" t="s">
        <v>22</v>
      </c>
      <c r="O159" t="s">
        <v>22</v>
      </c>
      <c r="P159" s="14">
        <v>46099</v>
      </c>
      <c r="Q159" t="s">
        <v>23</v>
      </c>
      <c r="R159" s="7">
        <f>IFERROR(VLOOKUP(Tabla1[[#This Row],[Número de documento del contacto]],'Resoluciones 1 (Res)'!$A:$C,2,0),"")</f>
        <v>7501</v>
      </c>
      <c r="S159" s="11">
        <f>IFERROR(VLOOKUP(Tabla1[[#This Row],[Número de documento del contacto]],'Resoluciones 1 (Res)'!$A:$C,3,0),"")</f>
        <v>46184.606747685197</v>
      </c>
      <c r="T159" s="7" t="str">
        <f>IFERROR(VLOOKUP(Tabla1[[#This Row],[Número de documento del contacto]],'Resoluciones 2 (Req)'!$B:$E,3,0),"")</f>
        <v>12161</v>
      </c>
      <c r="U159" s="7" t="str">
        <f t="shared" si="9"/>
        <v>9 de abril de 2026</v>
      </c>
      <c r="V159" s="7" t="str">
        <f t="shared" si="10"/>
        <v>18 de marzo de 2026</v>
      </c>
      <c r="W159" s="8" t="str">
        <f>"1-" &amp; ROWS($W$2:W159) &amp; ".pdf"</f>
        <v>1-158.pdf</v>
      </c>
      <c r="X159" s="7" t="str">
        <f>Tabla1[[#This Row],[Número de documento del contacto]]&amp;"-"&amp;Tabla1[[#This Row],[Número de resolución de archivo]]&amp;".pdf"</f>
        <v>27123017-7501.pdf</v>
      </c>
      <c r="Y159" s="7" t="str">
        <f t="shared" si="11"/>
        <v>ren "1-158.pdf" "27123017-7501.pdf"</v>
      </c>
      <c r="Z159" s="7" t="str">
        <f>Tabla1[[#This Row],[Número de documento del contacto]]&amp;"_"&amp;Tabla1[[#This Row],[Número de resolución de archivo]]&amp;".pdf"</f>
        <v>27123017_7501.pdf</v>
      </c>
      <c r="AA159" s="7" t="s">
        <v>49</v>
      </c>
      <c r="AB159" s="7" t="str">
        <f>Tabla1[[#This Row],[Nombre PDF / cedula + num resolucion]]&amp;";"&amp;Tabla1[[#This Row],[instructivo]]</f>
        <v>27123017_7501.pdf;10. Instructivo_Radicar_Activación_Credencial_DIGITAL_SIRNA.pdf</v>
      </c>
      <c r="AC159" s="7" t="str">
        <f>Tabla1[[#This Row],[Número de resolución de archivo]]&amp;"_"&amp;Tabla1[[#This Row],[Número de documento del contacto]]</f>
        <v>7501_27123017</v>
      </c>
    </row>
    <row r="160" spans="1:29" x14ac:dyDescent="0.25">
      <c r="A160">
        <v>16085</v>
      </c>
      <c r="B160" t="s">
        <v>14</v>
      </c>
      <c r="C160" t="s">
        <v>15</v>
      </c>
      <c r="D160" t="s">
        <v>16</v>
      </c>
      <c r="E160" t="s">
        <v>17</v>
      </c>
      <c r="F160" s="14">
        <v>46121</v>
      </c>
      <c r="G160">
        <v>32503786</v>
      </c>
      <c r="H160" t="s">
        <v>366</v>
      </c>
      <c r="I160" t="s">
        <v>367</v>
      </c>
      <c r="J160" t="s">
        <v>20</v>
      </c>
      <c r="K160" t="s">
        <v>21</v>
      </c>
      <c r="L160" s="14">
        <v>46184</v>
      </c>
      <c r="M160">
        <v>63</v>
      </c>
      <c r="N160" t="s">
        <v>22</v>
      </c>
      <c r="O160" t="s">
        <v>22</v>
      </c>
      <c r="P160" s="14">
        <v>46097</v>
      </c>
      <c r="Q160" t="s">
        <v>23</v>
      </c>
      <c r="R160" s="7">
        <f>IFERROR(VLOOKUP(Tabla1[[#This Row],[Número de documento del contacto]],'Resoluciones 1 (Res)'!$A:$C,2,0),"")</f>
        <v>7465</v>
      </c>
      <c r="S160" s="11">
        <f>IFERROR(VLOOKUP(Tabla1[[#This Row],[Número de documento del contacto]],'Resoluciones 1 (Res)'!$A:$C,3,0),"")</f>
        <v>46184.606747685197</v>
      </c>
      <c r="T160" s="7" t="str">
        <f>IFERROR(VLOOKUP(Tabla1[[#This Row],[Número de documento del contacto]],'Resoluciones 2 (Req)'!$B:$E,3,0),"")</f>
        <v>12162</v>
      </c>
      <c r="U160" s="7" t="str">
        <f t="shared" si="9"/>
        <v>9 de abril de 2026</v>
      </c>
      <c r="V160" s="7" t="str">
        <f t="shared" si="10"/>
        <v>16 de marzo de 2026</v>
      </c>
      <c r="W160" s="8" t="str">
        <f>"1-" &amp; ROWS($W$2:W160) &amp; ".pdf"</f>
        <v>1-159.pdf</v>
      </c>
      <c r="X160" s="7" t="str">
        <f>Tabla1[[#This Row],[Número de documento del contacto]]&amp;"-"&amp;Tabla1[[#This Row],[Número de resolución de archivo]]&amp;".pdf"</f>
        <v>32503786-7465.pdf</v>
      </c>
      <c r="Y160" s="7" t="str">
        <f t="shared" si="11"/>
        <v>ren "1-159.pdf" "32503786-7465.pdf"</v>
      </c>
      <c r="Z160" s="7" t="str">
        <f>Tabla1[[#This Row],[Número de documento del contacto]]&amp;"_"&amp;Tabla1[[#This Row],[Número de resolución de archivo]]&amp;".pdf"</f>
        <v>32503786_7465.pdf</v>
      </c>
      <c r="AA160" s="7" t="s">
        <v>49</v>
      </c>
      <c r="AB160" s="7" t="str">
        <f>Tabla1[[#This Row],[Nombre PDF / cedula + num resolucion]]&amp;";"&amp;Tabla1[[#This Row],[instructivo]]</f>
        <v>32503786_7465.pdf;10. Instructivo_Radicar_Activación_Credencial_DIGITAL_SIRNA.pdf</v>
      </c>
      <c r="AC160" s="7" t="str">
        <f>Tabla1[[#This Row],[Número de resolución de archivo]]&amp;"_"&amp;Tabla1[[#This Row],[Número de documento del contacto]]</f>
        <v>7465_32503786</v>
      </c>
    </row>
    <row r="161" spans="1:29" x14ac:dyDescent="0.25">
      <c r="A161">
        <v>15718</v>
      </c>
      <c r="B161" t="s">
        <v>14</v>
      </c>
      <c r="C161" t="s">
        <v>15</v>
      </c>
      <c r="D161" t="s">
        <v>16</v>
      </c>
      <c r="E161" t="s">
        <v>17</v>
      </c>
      <c r="F161" s="14">
        <v>46121</v>
      </c>
      <c r="G161">
        <v>35501971</v>
      </c>
      <c r="H161" t="s">
        <v>368</v>
      </c>
      <c r="I161" t="s">
        <v>369</v>
      </c>
      <c r="J161" t="s">
        <v>20</v>
      </c>
      <c r="K161" t="s">
        <v>21</v>
      </c>
      <c r="L161" s="14">
        <v>46184</v>
      </c>
      <c r="M161">
        <v>63</v>
      </c>
      <c r="N161" t="s">
        <v>22</v>
      </c>
      <c r="O161" t="s">
        <v>22</v>
      </c>
      <c r="P161" s="14">
        <v>46094</v>
      </c>
      <c r="Q161" t="s">
        <v>23</v>
      </c>
      <c r="R161" s="7">
        <f>IFERROR(VLOOKUP(Tabla1[[#This Row],[Número de documento del contacto]],'Resoluciones 1 (Res)'!$A:$C,2,0),"")</f>
        <v>7439</v>
      </c>
      <c r="S161" s="11">
        <f>IFERROR(VLOOKUP(Tabla1[[#This Row],[Número de documento del contacto]],'Resoluciones 1 (Res)'!$A:$C,3,0),"")</f>
        <v>46184.606747685197</v>
      </c>
      <c r="T161" s="7" t="str">
        <f>IFERROR(VLOOKUP(Tabla1[[#This Row],[Número de documento del contacto]],'Resoluciones 2 (Req)'!$B:$E,3,0),"")</f>
        <v>12164</v>
      </c>
      <c r="U161" s="7" t="str">
        <f t="shared" si="9"/>
        <v>9 de abril de 2026</v>
      </c>
      <c r="V161" s="7" t="str">
        <f t="shared" si="10"/>
        <v>13 de marzo de 2026</v>
      </c>
      <c r="W161" s="8" t="str">
        <f>"1-" &amp; ROWS($W$2:W161) &amp; ".pdf"</f>
        <v>1-160.pdf</v>
      </c>
      <c r="X161" s="7" t="str">
        <f>Tabla1[[#This Row],[Número de documento del contacto]]&amp;"-"&amp;Tabla1[[#This Row],[Número de resolución de archivo]]&amp;".pdf"</f>
        <v>35501971-7439.pdf</v>
      </c>
      <c r="Y161" s="7" t="str">
        <f t="shared" si="11"/>
        <v>ren "1-160.pdf" "35501971-7439.pdf"</v>
      </c>
      <c r="Z161" s="7" t="str">
        <f>Tabla1[[#This Row],[Número de documento del contacto]]&amp;"_"&amp;Tabla1[[#This Row],[Número de resolución de archivo]]&amp;".pdf"</f>
        <v>35501971_7439.pdf</v>
      </c>
      <c r="AA161" s="7" t="s">
        <v>49</v>
      </c>
      <c r="AB161" s="7" t="str">
        <f>Tabla1[[#This Row],[Nombre PDF / cedula + num resolucion]]&amp;";"&amp;Tabla1[[#This Row],[instructivo]]</f>
        <v>35501971_7439.pdf;10. Instructivo_Radicar_Activación_Credencial_DIGITAL_SIRNA.pdf</v>
      </c>
      <c r="AC161" s="7" t="str">
        <f>Tabla1[[#This Row],[Número de resolución de archivo]]&amp;"_"&amp;Tabla1[[#This Row],[Número de documento del contacto]]</f>
        <v>7439_35501971</v>
      </c>
    </row>
    <row r="162" spans="1:29" x14ac:dyDescent="0.25">
      <c r="A162">
        <v>16460</v>
      </c>
      <c r="B162" t="s">
        <v>14</v>
      </c>
      <c r="C162" t="s">
        <v>15</v>
      </c>
      <c r="D162" t="s">
        <v>16</v>
      </c>
      <c r="E162" t="s">
        <v>17</v>
      </c>
      <c r="F162" s="14">
        <v>46121</v>
      </c>
      <c r="G162">
        <v>50970199</v>
      </c>
      <c r="H162" t="s">
        <v>370</v>
      </c>
      <c r="I162" t="s">
        <v>371</v>
      </c>
      <c r="J162" t="s">
        <v>20</v>
      </c>
      <c r="K162" t="s">
        <v>21</v>
      </c>
      <c r="L162" s="14">
        <v>46184</v>
      </c>
      <c r="M162">
        <v>63</v>
      </c>
      <c r="N162" t="s">
        <v>22</v>
      </c>
      <c r="O162" t="s">
        <v>22</v>
      </c>
      <c r="P162" s="14">
        <v>46099</v>
      </c>
      <c r="Q162" t="s">
        <v>23</v>
      </c>
      <c r="R162" s="7">
        <f>IFERROR(VLOOKUP(Tabla1[[#This Row],[Número de documento del contacto]],'Resoluciones 1 (Res)'!$A:$C,2,0),"")</f>
        <v>7661</v>
      </c>
      <c r="S162" s="11">
        <f>IFERROR(VLOOKUP(Tabla1[[#This Row],[Número de documento del contacto]],'Resoluciones 1 (Res)'!$A:$C,3,0),"")</f>
        <v>46184.606747685197</v>
      </c>
      <c r="T162" s="7" t="str">
        <f>IFERROR(VLOOKUP(Tabla1[[#This Row],[Número de documento del contacto]],'Resoluciones 2 (Req)'!$B:$E,3,0),"")</f>
        <v>12166</v>
      </c>
      <c r="U162" s="7" t="str">
        <f t="shared" si="9"/>
        <v>9 de abril de 2026</v>
      </c>
      <c r="V162" s="7" t="str">
        <f t="shared" si="10"/>
        <v>18 de marzo de 2026</v>
      </c>
      <c r="W162" s="8" t="str">
        <f>"1-" &amp; ROWS($W$2:W162) &amp; ".pdf"</f>
        <v>1-161.pdf</v>
      </c>
      <c r="X162" s="7" t="str">
        <f>Tabla1[[#This Row],[Número de documento del contacto]]&amp;"-"&amp;Tabla1[[#This Row],[Número de resolución de archivo]]&amp;".pdf"</f>
        <v>50970199-7661.pdf</v>
      </c>
      <c r="Y162" s="7" t="str">
        <f t="shared" si="11"/>
        <v>ren "1-161.pdf" "50970199-7661.pdf"</v>
      </c>
      <c r="Z162" s="7" t="str">
        <f>Tabla1[[#This Row],[Número de documento del contacto]]&amp;"_"&amp;Tabla1[[#This Row],[Número de resolución de archivo]]&amp;".pdf"</f>
        <v>50970199_7661.pdf</v>
      </c>
      <c r="AA162" s="7" t="s">
        <v>49</v>
      </c>
      <c r="AB162" s="7" t="str">
        <f>Tabla1[[#This Row],[Nombre PDF / cedula + num resolucion]]&amp;";"&amp;Tabla1[[#This Row],[instructivo]]</f>
        <v>50970199_7661.pdf;10. Instructivo_Radicar_Activación_Credencial_DIGITAL_SIRNA.pdf</v>
      </c>
      <c r="AC162" s="7" t="str">
        <f>Tabla1[[#This Row],[Número de resolución de archivo]]&amp;"_"&amp;Tabla1[[#This Row],[Número de documento del contacto]]</f>
        <v>7661_50970199</v>
      </c>
    </row>
    <row r="163" spans="1:29" x14ac:dyDescent="0.25">
      <c r="A163">
        <v>16241</v>
      </c>
      <c r="B163" t="s">
        <v>14</v>
      </c>
      <c r="C163" t="s">
        <v>15</v>
      </c>
      <c r="D163" t="s">
        <v>16</v>
      </c>
      <c r="E163" t="s">
        <v>17</v>
      </c>
      <c r="F163" s="14">
        <v>46121</v>
      </c>
      <c r="G163">
        <v>52080276</v>
      </c>
      <c r="H163" t="s">
        <v>372</v>
      </c>
      <c r="I163" t="s">
        <v>373</v>
      </c>
      <c r="J163" t="s">
        <v>20</v>
      </c>
      <c r="K163" t="s">
        <v>21</v>
      </c>
      <c r="L163" s="14">
        <v>46184</v>
      </c>
      <c r="M163">
        <v>63</v>
      </c>
      <c r="N163" t="s">
        <v>22</v>
      </c>
      <c r="O163" t="s">
        <v>22</v>
      </c>
      <c r="P163" s="14">
        <v>46098</v>
      </c>
      <c r="Q163" t="s">
        <v>23</v>
      </c>
      <c r="R163" s="7">
        <f>IFERROR(VLOOKUP(Tabla1[[#This Row],[Número de documento del contacto]],'Resoluciones 1 (Res)'!$A:$C,2,0),"")</f>
        <v>7484</v>
      </c>
      <c r="S163" s="11">
        <f>IFERROR(VLOOKUP(Tabla1[[#This Row],[Número de documento del contacto]],'Resoluciones 1 (Res)'!$A:$C,3,0),"")</f>
        <v>46184.606747685197</v>
      </c>
      <c r="T163" s="7" t="str">
        <f>IFERROR(VLOOKUP(Tabla1[[#This Row],[Número de documento del contacto]],'Resoluciones 2 (Req)'!$B:$E,3,0),"")</f>
        <v>12167</v>
      </c>
      <c r="U163" s="7" t="str">
        <f t="shared" si="9"/>
        <v>9 de abril de 2026</v>
      </c>
      <c r="V163" s="7" t="str">
        <f t="shared" si="10"/>
        <v>17 de marzo de 2026</v>
      </c>
      <c r="W163" s="8" t="str">
        <f>"1-" &amp; ROWS($W$2:W163) &amp; ".pdf"</f>
        <v>1-162.pdf</v>
      </c>
      <c r="X163" s="7" t="str">
        <f>Tabla1[[#This Row],[Número de documento del contacto]]&amp;"-"&amp;Tabla1[[#This Row],[Número de resolución de archivo]]&amp;".pdf"</f>
        <v>52080276-7484.pdf</v>
      </c>
      <c r="Y163" s="7" t="str">
        <f t="shared" si="11"/>
        <v>ren "1-162.pdf" "52080276-7484.pdf"</v>
      </c>
      <c r="Z163" s="7" t="str">
        <f>Tabla1[[#This Row],[Número de documento del contacto]]&amp;"_"&amp;Tabla1[[#This Row],[Número de resolución de archivo]]&amp;".pdf"</f>
        <v>52080276_7484.pdf</v>
      </c>
      <c r="AA163" s="7" t="s">
        <v>49</v>
      </c>
      <c r="AB163" s="7" t="str">
        <f>Tabla1[[#This Row],[Nombre PDF / cedula + num resolucion]]&amp;";"&amp;Tabla1[[#This Row],[instructivo]]</f>
        <v>52080276_7484.pdf;10. Instructivo_Radicar_Activación_Credencial_DIGITAL_SIRNA.pdf</v>
      </c>
      <c r="AC163" s="7" t="str">
        <f>Tabla1[[#This Row],[Número de resolución de archivo]]&amp;"_"&amp;Tabla1[[#This Row],[Número de documento del contacto]]</f>
        <v>7484_52080276</v>
      </c>
    </row>
    <row r="164" spans="1:29" x14ac:dyDescent="0.25">
      <c r="A164">
        <v>16473</v>
      </c>
      <c r="B164" t="s">
        <v>14</v>
      </c>
      <c r="C164" t="s">
        <v>15</v>
      </c>
      <c r="D164" t="s">
        <v>16</v>
      </c>
      <c r="E164" t="s">
        <v>17</v>
      </c>
      <c r="F164" s="14">
        <v>46121</v>
      </c>
      <c r="G164">
        <v>52122911</v>
      </c>
      <c r="H164" t="s">
        <v>374</v>
      </c>
      <c r="I164" t="s">
        <v>375</v>
      </c>
      <c r="J164" t="s">
        <v>20</v>
      </c>
      <c r="K164" t="s">
        <v>21</v>
      </c>
      <c r="L164" s="14">
        <v>46184</v>
      </c>
      <c r="M164">
        <v>63</v>
      </c>
      <c r="N164" t="s">
        <v>22</v>
      </c>
      <c r="O164" t="s">
        <v>22</v>
      </c>
      <c r="P164" s="14">
        <v>46099</v>
      </c>
      <c r="Q164" t="s">
        <v>23</v>
      </c>
      <c r="R164" s="7">
        <f>IFERROR(VLOOKUP(Tabla1[[#This Row],[Número de documento del contacto]],'Resoluciones 1 (Res)'!$A:$C,2,0),"")</f>
        <v>7703</v>
      </c>
      <c r="S164" s="11">
        <f>IFERROR(VLOOKUP(Tabla1[[#This Row],[Número de documento del contacto]],'Resoluciones 1 (Res)'!$A:$C,3,0),"")</f>
        <v>46184.606747685197</v>
      </c>
      <c r="T164" s="7" t="str">
        <f>IFERROR(VLOOKUP(Tabla1[[#This Row],[Número de documento del contacto]],'Resoluciones 2 (Req)'!$B:$E,3,0),"")</f>
        <v>12169</v>
      </c>
      <c r="U164" s="7" t="str">
        <f t="shared" si="9"/>
        <v>9 de abril de 2026</v>
      </c>
      <c r="V164" s="7" t="str">
        <f t="shared" si="10"/>
        <v>18 de marzo de 2026</v>
      </c>
      <c r="W164" s="8" t="str">
        <f>"1-" &amp; ROWS($W$2:W164) &amp; ".pdf"</f>
        <v>1-163.pdf</v>
      </c>
      <c r="X164" s="7" t="str">
        <f>Tabla1[[#This Row],[Número de documento del contacto]]&amp;"-"&amp;Tabla1[[#This Row],[Número de resolución de archivo]]&amp;".pdf"</f>
        <v>52122911-7703.pdf</v>
      </c>
      <c r="Y164" s="7" t="str">
        <f t="shared" si="11"/>
        <v>ren "1-163.pdf" "52122911-7703.pdf"</v>
      </c>
      <c r="Z164" s="7" t="str">
        <f>Tabla1[[#This Row],[Número de documento del contacto]]&amp;"_"&amp;Tabla1[[#This Row],[Número de resolución de archivo]]&amp;".pdf"</f>
        <v>52122911_7703.pdf</v>
      </c>
      <c r="AA164" s="7" t="s">
        <v>49</v>
      </c>
      <c r="AB164" s="7" t="str">
        <f>Tabla1[[#This Row],[Nombre PDF / cedula + num resolucion]]&amp;";"&amp;Tabla1[[#This Row],[instructivo]]</f>
        <v>52122911_7703.pdf;10. Instructivo_Radicar_Activación_Credencial_DIGITAL_SIRNA.pdf</v>
      </c>
      <c r="AC164" s="7" t="str">
        <f>Tabla1[[#This Row],[Número de resolución de archivo]]&amp;"_"&amp;Tabla1[[#This Row],[Número de documento del contacto]]</f>
        <v>7703_52122911</v>
      </c>
    </row>
    <row r="165" spans="1:29" x14ac:dyDescent="0.25">
      <c r="A165">
        <v>16716</v>
      </c>
      <c r="B165" t="s">
        <v>14</v>
      </c>
      <c r="C165" t="s">
        <v>15</v>
      </c>
      <c r="D165" t="s">
        <v>16</v>
      </c>
      <c r="E165" t="s">
        <v>17</v>
      </c>
      <c r="F165" s="14">
        <v>46121</v>
      </c>
      <c r="G165">
        <v>52344530</v>
      </c>
      <c r="H165" t="s">
        <v>376</v>
      </c>
      <c r="I165" t="s">
        <v>377</v>
      </c>
      <c r="J165" t="s">
        <v>20</v>
      </c>
      <c r="K165" t="s">
        <v>21</v>
      </c>
      <c r="L165" s="14">
        <v>46184</v>
      </c>
      <c r="M165">
        <v>63</v>
      </c>
      <c r="N165" t="s">
        <v>22</v>
      </c>
      <c r="O165" t="s">
        <v>22</v>
      </c>
      <c r="P165" s="14">
        <v>46100</v>
      </c>
      <c r="Q165" t="s">
        <v>23</v>
      </c>
      <c r="R165" s="7">
        <f>IFERROR(VLOOKUP(Tabla1[[#This Row],[Número de documento del contacto]],'Resoluciones 1 (Res)'!$A:$C,2,0),"")</f>
        <v>7619</v>
      </c>
      <c r="S165" s="11">
        <f>IFERROR(VLOOKUP(Tabla1[[#This Row],[Número de documento del contacto]],'Resoluciones 1 (Res)'!$A:$C,3,0),"")</f>
        <v>46184.606747685197</v>
      </c>
      <c r="T165" s="7" t="str">
        <f>IFERROR(VLOOKUP(Tabla1[[#This Row],[Número de documento del contacto]],'Resoluciones 2 (Req)'!$B:$E,3,0),"")</f>
        <v>12172</v>
      </c>
      <c r="U165" s="7" t="str">
        <f t="shared" si="9"/>
        <v>9 de abril de 2026</v>
      </c>
      <c r="V165" s="7" t="str">
        <f t="shared" si="10"/>
        <v>19 de marzo de 2026</v>
      </c>
      <c r="W165" s="8" t="str">
        <f>"1-" &amp; ROWS($W$2:W165) &amp; ".pdf"</f>
        <v>1-164.pdf</v>
      </c>
      <c r="X165" s="7" t="str">
        <f>Tabla1[[#This Row],[Número de documento del contacto]]&amp;"-"&amp;Tabla1[[#This Row],[Número de resolución de archivo]]&amp;".pdf"</f>
        <v>52344530-7619.pdf</v>
      </c>
      <c r="Y165" s="7" t="str">
        <f t="shared" si="11"/>
        <v>ren "1-164.pdf" "52344530-7619.pdf"</v>
      </c>
      <c r="Z165" s="7" t="str">
        <f>Tabla1[[#This Row],[Número de documento del contacto]]&amp;"_"&amp;Tabla1[[#This Row],[Número de resolución de archivo]]&amp;".pdf"</f>
        <v>52344530_7619.pdf</v>
      </c>
      <c r="AA165" s="7" t="s">
        <v>49</v>
      </c>
      <c r="AB165" s="7" t="str">
        <f>Tabla1[[#This Row],[Nombre PDF / cedula + num resolucion]]&amp;";"&amp;Tabla1[[#This Row],[instructivo]]</f>
        <v>52344530_7619.pdf;10. Instructivo_Radicar_Activación_Credencial_DIGITAL_SIRNA.pdf</v>
      </c>
      <c r="AC165" s="7" t="str">
        <f>Tabla1[[#This Row],[Número de resolución de archivo]]&amp;"_"&amp;Tabla1[[#This Row],[Número de documento del contacto]]</f>
        <v>7619_52344530</v>
      </c>
    </row>
    <row r="166" spans="1:29" x14ac:dyDescent="0.25">
      <c r="A166">
        <v>15773</v>
      </c>
      <c r="B166" t="s">
        <v>14</v>
      </c>
      <c r="C166" t="s">
        <v>15</v>
      </c>
      <c r="D166" t="s">
        <v>16</v>
      </c>
      <c r="E166" t="s">
        <v>17</v>
      </c>
      <c r="F166" s="14">
        <v>46121</v>
      </c>
      <c r="G166">
        <v>52535938</v>
      </c>
      <c r="H166" t="s">
        <v>378</v>
      </c>
      <c r="I166" t="s">
        <v>379</v>
      </c>
      <c r="J166" t="s">
        <v>20</v>
      </c>
      <c r="K166" t="s">
        <v>21</v>
      </c>
      <c r="L166" s="14">
        <v>46184</v>
      </c>
      <c r="M166">
        <v>63</v>
      </c>
      <c r="N166" t="s">
        <v>22</v>
      </c>
      <c r="O166" t="s">
        <v>22</v>
      </c>
      <c r="P166" s="14">
        <v>46094</v>
      </c>
      <c r="Q166" t="s">
        <v>23</v>
      </c>
      <c r="R166" s="7">
        <f>IFERROR(VLOOKUP(Tabla1[[#This Row],[Número de documento del contacto]],'Resoluciones 1 (Res)'!$A:$C,2,0),"")</f>
        <v>7446</v>
      </c>
      <c r="S166" s="11">
        <f>IFERROR(VLOOKUP(Tabla1[[#This Row],[Número de documento del contacto]],'Resoluciones 1 (Res)'!$A:$C,3,0),"")</f>
        <v>46184.606747685197</v>
      </c>
      <c r="T166" s="7" t="str">
        <f>IFERROR(VLOOKUP(Tabla1[[#This Row],[Número de documento del contacto]],'Resoluciones 2 (Req)'!$B:$E,3,0),"")</f>
        <v>12173</v>
      </c>
      <c r="U166" s="7" t="str">
        <f t="shared" si="9"/>
        <v>9 de abril de 2026</v>
      </c>
      <c r="V166" s="7" t="str">
        <f t="shared" si="10"/>
        <v>13 de marzo de 2026</v>
      </c>
      <c r="W166" s="8" t="str">
        <f>"1-" &amp; ROWS($W$2:W166) &amp; ".pdf"</f>
        <v>1-165.pdf</v>
      </c>
      <c r="X166" s="7" t="str">
        <f>Tabla1[[#This Row],[Número de documento del contacto]]&amp;"-"&amp;Tabla1[[#This Row],[Número de resolución de archivo]]&amp;".pdf"</f>
        <v>52535938-7446.pdf</v>
      </c>
      <c r="Y166" s="7" t="str">
        <f t="shared" si="11"/>
        <v>ren "1-165.pdf" "52535938-7446.pdf"</v>
      </c>
      <c r="Z166" s="7" t="str">
        <f>Tabla1[[#This Row],[Número de documento del contacto]]&amp;"_"&amp;Tabla1[[#This Row],[Número de resolución de archivo]]&amp;".pdf"</f>
        <v>52535938_7446.pdf</v>
      </c>
      <c r="AA166" s="7" t="s">
        <v>49</v>
      </c>
      <c r="AB166" s="7" t="str">
        <f>Tabla1[[#This Row],[Nombre PDF / cedula + num resolucion]]&amp;";"&amp;Tabla1[[#This Row],[instructivo]]</f>
        <v>52535938_7446.pdf;10. Instructivo_Radicar_Activación_Credencial_DIGITAL_SIRNA.pdf</v>
      </c>
      <c r="AC166" s="7" t="str">
        <f>Tabla1[[#This Row],[Número de resolución de archivo]]&amp;"_"&amp;Tabla1[[#This Row],[Número de documento del contacto]]</f>
        <v>7446_52535938</v>
      </c>
    </row>
    <row r="167" spans="1:29" x14ac:dyDescent="0.25">
      <c r="A167">
        <v>16516</v>
      </c>
      <c r="B167" t="s">
        <v>14</v>
      </c>
      <c r="C167" t="s">
        <v>15</v>
      </c>
      <c r="D167" t="s">
        <v>16</v>
      </c>
      <c r="E167" t="s">
        <v>17</v>
      </c>
      <c r="F167" s="14">
        <v>46121</v>
      </c>
      <c r="G167">
        <v>52815887</v>
      </c>
      <c r="H167" t="s">
        <v>380</v>
      </c>
      <c r="I167" t="s">
        <v>381</v>
      </c>
      <c r="J167" t="s">
        <v>20</v>
      </c>
      <c r="K167" t="s">
        <v>21</v>
      </c>
      <c r="L167" s="14">
        <v>46184</v>
      </c>
      <c r="M167">
        <v>63</v>
      </c>
      <c r="N167" t="s">
        <v>22</v>
      </c>
      <c r="O167" t="s">
        <v>22</v>
      </c>
      <c r="P167" s="14">
        <v>46099</v>
      </c>
      <c r="Q167" t="s">
        <v>23</v>
      </c>
      <c r="R167" s="7">
        <f>IFERROR(VLOOKUP(Tabla1[[#This Row],[Número de documento del contacto]],'Resoluciones 1 (Res)'!$A:$C,2,0),"")</f>
        <v>7690</v>
      </c>
      <c r="S167" s="11">
        <f>IFERROR(VLOOKUP(Tabla1[[#This Row],[Número de documento del contacto]],'Resoluciones 1 (Res)'!$A:$C,3,0),"")</f>
        <v>46184.606747685197</v>
      </c>
      <c r="T167" s="7" t="str">
        <f>IFERROR(VLOOKUP(Tabla1[[#This Row],[Número de documento del contacto]],'Resoluciones 2 (Req)'!$B:$E,3,0),"")</f>
        <v>12174</v>
      </c>
      <c r="U167" s="7" t="str">
        <f t="shared" si="9"/>
        <v>9 de abril de 2026</v>
      </c>
      <c r="V167" s="7" t="str">
        <f t="shared" si="10"/>
        <v>18 de marzo de 2026</v>
      </c>
      <c r="W167" s="8" t="str">
        <f>"1-" &amp; ROWS($W$2:W167) &amp; ".pdf"</f>
        <v>1-166.pdf</v>
      </c>
      <c r="X167" s="7" t="str">
        <f>Tabla1[[#This Row],[Número de documento del contacto]]&amp;"-"&amp;Tabla1[[#This Row],[Número de resolución de archivo]]&amp;".pdf"</f>
        <v>52815887-7690.pdf</v>
      </c>
      <c r="Y167" s="7" t="str">
        <f t="shared" si="11"/>
        <v>ren "1-166.pdf" "52815887-7690.pdf"</v>
      </c>
      <c r="Z167" s="7" t="str">
        <f>Tabla1[[#This Row],[Número de documento del contacto]]&amp;"_"&amp;Tabla1[[#This Row],[Número de resolución de archivo]]&amp;".pdf"</f>
        <v>52815887_7690.pdf</v>
      </c>
      <c r="AA167" s="7" t="s">
        <v>49</v>
      </c>
      <c r="AB167" s="7" t="str">
        <f>Tabla1[[#This Row],[Nombre PDF / cedula + num resolucion]]&amp;";"&amp;Tabla1[[#This Row],[instructivo]]</f>
        <v>52815887_7690.pdf;10. Instructivo_Radicar_Activación_Credencial_DIGITAL_SIRNA.pdf</v>
      </c>
      <c r="AC167" s="7" t="str">
        <f>Tabla1[[#This Row],[Número de resolución de archivo]]&amp;"_"&amp;Tabla1[[#This Row],[Número de documento del contacto]]</f>
        <v>7690_52815887</v>
      </c>
    </row>
    <row r="168" spans="1:29" x14ac:dyDescent="0.25">
      <c r="A168">
        <v>16071</v>
      </c>
      <c r="B168" t="s">
        <v>14</v>
      </c>
      <c r="C168" t="s">
        <v>15</v>
      </c>
      <c r="D168" t="s">
        <v>16</v>
      </c>
      <c r="E168" t="s">
        <v>17</v>
      </c>
      <c r="F168" s="14">
        <v>46121</v>
      </c>
      <c r="G168">
        <v>52860256</v>
      </c>
      <c r="H168" t="s">
        <v>382</v>
      </c>
      <c r="I168" t="s">
        <v>383</v>
      </c>
      <c r="J168" t="s">
        <v>20</v>
      </c>
      <c r="K168" t="s">
        <v>21</v>
      </c>
      <c r="L168" s="14">
        <v>46184</v>
      </c>
      <c r="M168">
        <v>63</v>
      </c>
      <c r="N168" t="s">
        <v>22</v>
      </c>
      <c r="O168" t="s">
        <v>22</v>
      </c>
      <c r="P168" s="14">
        <v>46097</v>
      </c>
      <c r="Q168" t="s">
        <v>23</v>
      </c>
      <c r="R168" s="7">
        <f>IFERROR(VLOOKUP(Tabla1[[#This Row],[Número de documento del contacto]],'Resoluciones 1 (Res)'!$A:$C,2,0),"")</f>
        <v>7560</v>
      </c>
      <c r="S168" s="11">
        <f>IFERROR(VLOOKUP(Tabla1[[#This Row],[Número de documento del contacto]],'Resoluciones 1 (Res)'!$A:$C,3,0),"")</f>
        <v>46184.606747685197</v>
      </c>
      <c r="T168" s="7" t="str">
        <f>IFERROR(VLOOKUP(Tabla1[[#This Row],[Número de documento del contacto]],'Resoluciones 2 (Req)'!$B:$E,3,0),"")</f>
        <v>12175</v>
      </c>
      <c r="U168" s="7" t="str">
        <f t="shared" si="9"/>
        <v>9 de abril de 2026</v>
      </c>
      <c r="V168" s="7" t="str">
        <f t="shared" si="10"/>
        <v>16 de marzo de 2026</v>
      </c>
      <c r="W168" s="8" t="str">
        <f>"1-" &amp; ROWS($W$2:W168) &amp; ".pdf"</f>
        <v>1-167.pdf</v>
      </c>
      <c r="X168" s="7" t="str">
        <f>Tabla1[[#This Row],[Número de documento del contacto]]&amp;"-"&amp;Tabla1[[#This Row],[Número de resolución de archivo]]&amp;".pdf"</f>
        <v>52860256-7560.pdf</v>
      </c>
      <c r="Y168" s="7" t="str">
        <f t="shared" si="11"/>
        <v>ren "1-167.pdf" "52860256-7560.pdf"</v>
      </c>
      <c r="Z168" s="7" t="str">
        <f>Tabla1[[#This Row],[Número de documento del contacto]]&amp;"_"&amp;Tabla1[[#This Row],[Número de resolución de archivo]]&amp;".pdf"</f>
        <v>52860256_7560.pdf</v>
      </c>
      <c r="AA168" s="7" t="s">
        <v>49</v>
      </c>
      <c r="AB168" s="7" t="str">
        <f>Tabla1[[#This Row],[Nombre PDF / cedula + num resolucion]]&amp;";"&amp;Tabla1[[#This Row],[instructivo]]</f>
        <v>52860256_7560.pdf;10. Instructivo_Radicar_Activación_Credencial_DIGITAL_SIRNA.pdf</v>
      </c>
      <c r="AC168" s="7" t="str">
        <f>Tabla1[[#This Row],[Número de resolución de archivo]]&amp;"_"&amp;Tabla1[[#This Row],[Número de documento del contacto]]</f>
        <v>7560_52860256</v>
      </c>
    </row>
    <row r="169" spans="1:29" x14ac:dyDescent="0.25">
      <c r="A169">
        <v>16449</v>
      </c>
      <c r="B169" t="s">
        <v>14</v>
      </c>
      <c r="C169" t="s">
        <v>15</v>
      </c>
      <c r="D169" t="s">
        <v>16</v>
      </c>
      <c r="E169" t="s">
        <v>17</v>
      </c>
      <c r="F169" s="14">
        <v>46121</v>
      </c>
      <c r="G169">
        <v>53073866</v>
      </c>
      <c r="H169" t="s">
        <v>384</v>
      </c>
      <c r="I169" t="s">
        <v>385</v>
      </c>
      <c r="J169" t="s">
        <v>20</v>
      </c>
      <c r="K169" t="s">
        <v>21</v>
      </c>
      <c r="L169" s="14">
        <v>46184</v>
      </c>
      <c r="M169">
        <v>63</v>
      </c>
      <c r="N169" t="s">
        <v>22</v>
      </c>
      <c r="O169" t="s">
        <v>22</v>
      </c>
      <c r="P169" s="14">
        <v>46099</v>
      </c>
      <c r="Q169" t="s">
        <v>23</v>
      </c>
      <c r="R169" s="7">
        <f>IFERROR(VLOOKUP(Tabla1[[#This Row],[Número de documento del contacto]],'Resoluciones 1 (Res)'!$A:$C,2,0),"")</f>
        <v>7447</v>
      </c>
      <c r="S169" s="11">
        <f>IFERROR(VLOOKUP(Tabla1[[#This Row],[Número de documento del contacto]],'Resoluciones 1 (Res)'!$A:$C,3,0),"")</f>
        <v>46184.606747685197</v>
      </c>
      <c r="T169" s="7" t="str">
        <f>IFERROR(VLOOKUP(Tabla1[[#This Row],[Número de documento del contacto]],'Resoluciones 2 (Req)'!$B:$E,3,0),"")</f>
        <v>12176</v>
      </c>
      <c r="U169" s="7" t="str">
        <f t="shared" si="9"/>
        <v>9 de abril de 2026</v>
      </c>
      <c r="V169" s="7" t="str">
        <f t="shared" si="10"/>
        <v>18 de marzo de 2026</v>
      </c>
      <c r="W169" s="8" t="str">
        <f>"1-" &amp; ROWS($W$2:W169) &amp; ".pdf"</f>
        <v>1-168.pdf</v>
      </c>
      <c r="X169" s="7" t="str">
        <f>Tabla1[[#This Row],[Número de documento del contacto]]&amp;"-"&amp;Tabla1[[#This Row],[Número de resolución de archivo]]&amp;".pdf"</f>
        <v>53073866-7447.pdf</v>
      </c>
      <c r="Y169" s="7" t="str">
        <f t="shared" si="11"/>
        <v>ren "1-168.pdf" "53073866-7447.pdf"</v>
      </c>
      <c r="Z169" s="7" t="str">
        <f>Tabla1[[#This Row],[Número de documento del contacto]]&amp;"_"&amp;Tabla1[[#This Row],[Número de resolución de archivo]]&amp;".pdf"</f>
        <v>53073866_7447.pdf</v>
      </c>
      <c r="AA169" s="7" t="s">
        <v>49</v>
      </c>
      <c r="AB169" s="7" t="str">
        <f>Tabla1[[#This Row],[Nombre PDF / cedula + num resolucion]]&amp;";"&amp;Tabla1[[#This Row],[instructivo]]</f>
        <v>53073866_7447.pdf;10. Instructivo_Radicar_Activación_Credencial_DIGITAL_SIRNA.pdf</v>
      </c>
      <c r="AC169" s="7" t="str">
        <f>Tabla1[[#This Row],[Número de resolución de archivo]]&amp;"_"&amp;Tabla1[[#This Row],[Número de documento del contacto]]</f>
        <v>7447_53073866</v>
      </c>
    </row>
    <row r="170" spans="1:29" x14ac:dyDescent="0.25">
      <c r="A170">
        <v>16002</v>
      </c>
      <c r="B170" t="s">
        <v>14</v>
      </c>
      <c r="C170" t="s">
        <v>15</v>
      </c>
      <c r="D170" t="s">
        <v>16</v>
      </c>
      <c r="E170" t="s">
        <v>17</v>
      </c>
      <c r="F170" s="14">
        <v>46121</v>
      </c>
      <c r="G170">
        <v>53121892</v>
      </c>
      <c r="H170" t="s">
        <v>386</v>
      </c>
      <c r="I170" t="s">
        <v>387</v>
      </c>
      <c r="J170" t="s">
        <v>20</v>
      </c>
      <c r="K170" t="s">
        <v>21</v>
      </c>
      <c r="L170" s="14">
        <v>46184</v>
      </c>
      <c r="M170">
        <v>63</v>
      </c>
      <c r="N170" t="s">
        <v>22</v>
      </c>
      <c r="O170" t="s">
        <v>22</v>
      </c>
      <c r="P170" s="14">
        <v>46097</v>
      </c>
      <c r="Q170" t="s">
        <v>23</v>
      </c>
      <c r="R170" s="7">
        <f>IFERROR(VLOOKUP(Tabla1[[#This Row],[Número de documento del contacto]],'Resoluciones 1 (Res)'!$A:$C,2,0),"")</f>
        <v>7433</v>
      </c>
      <c r="S170" s="11">
        <f>IFERROR(VLOOKUP(Tabla1[[#This Row],[Número de documento del contacto]],'Resoluciones 1 (Res)'!$A:$C,3,0),"")</f>
        <v>46184.606747685197</v>
      </c>
      <c r="T170" s="7" t="str">
        <f>IFERROR(VLOOKUP(Tabla1[[#This Row],[Número de documento del contacto]],'Resoluciones 2 (Req)'!$B:$E,3,0),"")</f>
        <v>12177</v>
      </c>
      <c r="U170" s="7" t="str">
        <f t="shared" si="9"/>
        <v>9 de abril de 2026</v>
      </c>
      <c r="V170" s="7" t="str">
        <f t="shared" si="10"/>
        <v>16 de marzo de 2026</v>
      </c>
      <c r="W170" s="8" t="str">
        <f>"1-" &amp; ROWS($W$2:W170) &amp; ".pdf"</f>
        <v>1-169.pdf</v>
      </c>
      <c r="X170" s="7" t="str">
        <f>Tabla1[[#This Row],[Número de documento del contacto]]&amp;"-"&amp;Tabla1[[#This Row],[Número de resolución de archivo]]&amp;".pdf"</f>
        <v>53121892-7433.pdf</v>
      </c>
      <c r="Y170" s="7" t="str">
        <f t="shared" si="11"/>
        <v>ren "1-169.pdf" "53121892-7433.pdf"</v>
      </c>
      <c r="Z170" s="7" t="str">
        <f>Tabla1[[#This Row],[Número de documento del contacto]]&amp;"_"&amp;Tabla1[[#This Row],[Número de resolución de archivo]]&amp;".pdf"</f>
        <v>53121892_7433.pdf</v>
      </c>
      <c r="AA170" s="7" t="s">
        <v>49</v>
      </c>
      <c r="AB170" s="7" t="str">
        <f>Tabla1[[#This Row],[Nombre PDF / cedula + num resolucion]]&amp;";"&amp;Tabla1[[#This Row],[instructivo]]</f>
        <v>53121892_7433.pdf;10. Instructivo_Radicar_Activación_Credencial_DIGITAL_SIRNA.pdf</v>
      </c>
      <c r="AC170" s="7" t="str">
        <f>Tabla1[[#This Row],[Número de resolución de archivo]]&amp;"_"&amp;Tabla1[[#This Row],[Número de documento del contacto]]</f>
        <v>7433_53121892</v>
      </c>
    </row>
    <row r="171" spans="1:29" x14ac:dyDescent="0.25">
      <c r="A171">
        <v>15673</v>
      </c>
      <c r="B171" t="s">
        <v>14</v>
      </c>
      <c r="C171" t="s">
        <v>15</v>
      </c>
      <c r="D171" t="s">
        <v>16</v>
      </c>
      <c r="E171" t="s">
        <v>17</v>
      </c>
      <c r="F171" s="14">
        <v>46121</v>
      </c>
      <c r="G171">
        <v>53123035</v>
      </c>
      <c r="H171" t="s">
        <v>388</v>
      </c>
      <c r="I171" t="s">
        <v>389</v>
      </c>
      <c r="J171" t="s">
        <v>20</v>
      </c>
      <c r="K171" t="s">
        <v>21</v>
      </c>
      <c r="L171" s="14">
        <v>46184</v>
      </c>
      <c r="M171">
        <v>63</v>
      </c>
      <c r="N171" t="s">
        <v>22</v>
      </c>
      <c r="O171" t="s">
        <v>22</v>
      </c>
      <c r="P171" s="14">
        <v>46094</v>
      </c>
      <c r="Q171" t="s">
        <v>23</v>
      </c>
      <c r="R171" s="7">
        <f>IFERROR(VLOOKUP(Tabla1[[#This Row],[Número de documento del contacto]],'Resoluciones 1 (Res)'!$A:$C,2,0),"")</f>
        <v>7610</v>
      </c>
      <c r="S171" s="11">
        <f>IFERROR(VLOOKUP(Tabla1[[#This Row],[Número de documento del contacto]],'Resoluciones 1 (Res)'!$A:$C,3,0),"")</f>
        <v>46184.606747685197</v>
      </c>
      <c r="T171" s="7" t="str">
        <f>IFERROR(VLOOKUP(Tabla1[[#This Row],[Número de documento del contacto]],'Resoluciones 2 (Req)'!$B:$E,3,0),"")</f>
        <v>12178</v>
      </c>
      <c r="U171" s="7" t="str">
        <f t="shared" si="9"/>
        <v>9 de abril de 2026</v>
      </c>
      <c r="V171" s="7" t="str">
        <f t="shared" si="10"/>
        <v>13 de marzo de 2026</v>
      </c>
      <c r="W171" s="8" t="str">
        <f>"1-" &amp; ROWS($W$2:W171) &amp; ".pdf"</f>
        <v>1-170.pdf</v>
      </c>
      <c r="X171" s="7" t="str">
        <f>Tabla1[[#This Row],[Número de documento del contacto]]&amp;"-"&amp;Tabla1[[#This Row],[Número de resolución de archivo]]&amp;".pdf"</f>
        <v>53123035-7610.pdf</v>
      </c>
      <c r="Y171" s="7" t="str">
        <f t="shared" si="11"/>
        <v>ren "1-170.pdf" "53123035-7610.pdf"</v>
      </c>
      <c r="Z171" s="7" t="str">
        <f>Tabla1[[#This Row],[Número de documento del contacto]]&amp;"_"&amp;Tabla1[[#This Row],[Número de resolución de archivo]]&amp;".pdf"</f>
        <v>53123035_7610.pdf</v>
      </c>
      <c r="AA171" s="7" t="s">
        <v>49</v>
      </c>
      <c r="AB171" s="7" t="str">
        <f>Tabla1[[#This Row],[Nombre PDF / cedula + num resolucion]]&amp;";"&amp;Tabla1[[#This Row],[instructivo]]</f>
        <v>53123035_7610.pdf;10. Instructivo_Radicar_Activación_Credencial_DIGITAL_SIRNA.pdf</v>
      </c>
      <c r="AC171" s="7" t="str">
        <f>Tabla1[[#This Row],[Número de resolución de archivo]]&amp;"_"&amp;Tabla1[[#This Row],[Número de documento del contacto]]</f>
        <v>7610_53123035</v>
      </c>
    </row>
    <row r="172" spans="1:29" x14ac:dyDescent="0.25">
      <c r="A172">
        <v>16264</v>
      </c>
      <c r="B172" t="s">
        <v>14</v>
      </c>
      <c r="C172" t="s">
        <v>15</v>
      </c>
      <c r="D172" t="s">
        <v>16</v>
      </c>
      <c r="E172" t="s">
        <v>17</v>
      </c>
      <c r="F172" s="14">
        <v>46121</v>
      </c>
      <c r="G172">
        <v>66855547</v>
      </c>
      <c r="H172" t="s">
        <v>390</v>
      </c>
      <c r="I172" t="s">
        <v>391</v>
      </c>
      <c r="J172" t="s">
        <v>20</v>
      </c>
      <c r="K172" t="s">
        <v>21</v>
      </c>
      <c r="L172" s="14">
        <v>46184</v>
      </c>
      <c r="M172">
        <v>63</v>
      </c>
      <c r="N172" t="s">
        <v>22</v>
      </c>
      <c r="O172" t="s">
        <v>22</v>
      </c>
      <c r="P172" s="14">
        <v>46098</v>
      </c>
      <c r="Q172" t="s">
        <v>23</v>
      </c>
      <c r="R172" s="7">
        <f>IFERROR(VLOOKUP(Tabla1[[#This Row],[Número de documento del contacto]],'Resoluciones 1 (Res)'!$A:$C,2,0),"")</f>
        <v>7500</v>
      </c>
      <c r="S172" s="11">
        <f>IFERROR(VLOOKUP(Tabla1[[#This Row],[Número de documento del contacto]],'Resoluciones 1 (Res)'!$A:$C,3,0),"")</f>
        <v>46184.606747685197</v>
      </c>
      <c r="T172" s="7" t="str">
        <f>IFERROR(VLOOKUP(Tabla1[[#This Row],[Número de documento del contacto]],'Resoluciones 2 (Req)'!$B:$E,3,0),"")</f>
        <v>12179</v>
      </c>
      <c r="U172" s="7" t="str">
        <f t="shared" si="9"/>
        <v>9 de abril de 2026</v>
      </c>
      <c r="V172" s="7" t="str">
        <f t="shared" si="10"/>
        <v>17 de marzo de 2026</v>
      </c>
      <c r="W172" s="8" t="str">
        <f>"1-" &amp; ROWS($W$2:W172) &amp; ".pdf"</f>
        <v>1-171.pdf</v>
      </c>
      <c r="X172" s="7" t="str">
        <f>Tabla1[[#This Row],[Número de documento del contacto]]&amp;"-"&amp;Tabla1[[#This Row],[Número de resolución de archivo]]&amp;".pdf"</f>
        <v>66855547-7500.pdf</v>
      </c>
      <c r="Y172" s="7" t="str">
        <f t="shared" si="11"/>
        <v>ren "1-171.pdf" "66855547-7500.pdf"</v>
      </c>
      <c r="Z172" s="7" t="str">
        <f>Tabla1[[#This Row],[Número de documento del contacto]]&amp;"_"&amp;Tabla1[[#This Row],[Número de resolución de archivo]]&amp;".pdf"</f>
        <v>66855547_7500.pdf</v>
      </c>
      <c r="AA172" s="7" t="s">
        <v>49</v>
      </c>
      <c r="AB172" s="7" t="str">
        <f>Tabla1[[#This Row],[Nombre PDF / cedula + num resolucion]]&amp;";"&amp;Tabla1[[#This Row],[instructivo]]</f>
        <v>66855547_7500.pdf;10. Instructivo_Radicar_Activación_Credencial_DIGITAL_SIRNA.pdf</v>
      </c>
      <c r="AC172" s="7" t="str">
        <f>Tabla1[[#This Row],[Número de resolución de archivo]]&amp;"_"&amp;Tabla1[[#This Row],[Número de documento del contacto]]</f>
        <v>7500_66855547</v>
      </c>
    </row>
    <row r="173" spans="1:29" x14ac:dyDescent="0.25">
      <c r="A173">
        <v>15733</v>
      </c>
      <c r="B173" t="s">
        <v>14</v>
      </c>
      <c r="C173" t="s">
        <v>15</v>
      </c>
      <c r="D173" t="s">
        <v>16</v>
      </c>
      <c r="E173" t="s">
        <v>17</v>
      </c>
      <c r="F173" s="14">
        <v>46121</v>
      </c>
      <c r="G173">
        <v>71608951</v>
      </c>
      <c r="H173" t="s">
        <v>392</v>
      </c>
      <c r="I173" t="s">
        <v>393</v>
      </c>
      <c r="J173" t="s">
        <v>20</v>
      </c>
      <c r="K173" t="s">
        <v>21</v>
      </c>
      <c r="L173" s="14">
        <v>46184</v>
      </c>
      <c r="M173">
        <v>63</v>
      </c>
      <c r="N173" t="s">
        <v>22</v>
      </c>
      <c r="O173" t="s">
        <v>22</v>
      </c>
      <c r="P173" s="14">
        <v>46094</v>
      </c>
      <c r="Q173" t="s">
        <v>23</v>
      </c>
      <c r="R173" s="7">
        <f>IFERROR(VLOOKUP(Tabla1[[#This Row],[Número de documento del contacto]],'Resoluciones 1 (Res)'!$A:$C,2,0),"")</f>
        <v>7496</v>
      </c>
      <c r="S173" s="11">
        <f>IFERROR(VLOOKUP(Tabla1[[#This Row],[Número de documento del contacto]],'Resoluciones 1 (Res)'!$A:$C,3,0),"")</f>
        <v>46184.606747685197</v>
      </c>
      <c r="T173" s="7" t="str">
        <f>IFERROR(VLOOKUP(Tabla1[[#This Row],[Número de documento del contacto]],'Resoluciones 2 (Req)'!$B:$E,3,0),"")</f>
        <v>12182</v>
      </c>
      <c r="U173" s="7" t="str">
        <f t="shared" si="9"/>
        <v>9 de abril de 2026</v>
      </c>
      <c r="V173" s="7" t="str">
        <f t="shared" si="10"/>
        <v>13 de marzo de 2026</v>
      </c>
      <c r="W173" s="8" t="str">
        <f>"1-" &amp; ROWS($W$2:W173) &amp; ".pdf"</f>
        <v>1-172.pdf</v>
      </c>
      <c r="X173" s="7" t="str">
        <f>Tabla1[[#This Row],[Número de documento del contacto]]&amp;"-"&amp;Tabla1[[#This Row],[Número de resolución de archivo]]&amp;".pdf"</f>
        <v>71608951-7496.pdf</v>
      </c>
      <c r="Y173" s="7" t="str">
        <f t="shared" si="11"/>
        <v>ren "1-172.pdf" "71608951-7496.pdf"</v>
      </c>
      <c r="Z173" s="7" t="str">
        <f>Tabla1[[#This Row],[Número de documento del contacto]]&amp;"_"&amp;Tabla1[[#This Row],[Número de resolución de archivo]]&amp;".pdf"</f>
        <v>71608951_7496.pdf</v>
      </c>
      <c r="AA173" s="7" t="s">
        <v>49</v>
      </c>
      <c r="AB173" s="7" t="str">
        <f>Tabla1[[#This Row],[Nombre PDF / cedula + num resolucion]]&amp;";"&amp;Tabla1[[#This Row],[instructivo]]</f>
        <v>71608951_7496.pdf;10. Instructivo_Radicar_Activación_Credencial_DIGITAL_SIRNA.pdf</v>
      </c>
      <c r="AC173" s="7" t="str">
        <f>Tabla1[[#This Row],[Número de resolución de archivo]]&amp;"_"&amp;Tabla1[[#This Row],[Número de documento del contacto]]</f>
        <v>7496_71608951</v>
      </c>
    </row>
    <row r="174" spans="1:29" x14ac:dyDescent="0.25">
      <c r="A174">
        <v>16419</v>
      </c>
      <c r="B174" t="s">
        <v>14</v>
      </c>
      <c r="C174" t="s">
        <v>15</v>
      </c>
      <c r="D174" t="s">
        <v>16</v>
      </c>
      <c r="E174" t="s">
        <v>17</v>
      </c>
      <c r="F174" s="14">
        <v>46121</v>
      </c>
      <c r="G174">
        <v>72009647</v>
      </c>
      <c r="H174" t="s">
        <v>394</v>
      </c>
      <c r="I174" t="s">
        <v>395</v>
      </c>
      <c r="J174" t="s">
        <v>20</v>
      </c>
      <c r="K174" t="s">
        <v>21</v>
      </c>
      <c r="L174" s="14">
        <v>46184</v>
      </c>
      <c r="M174">
        <v>63</v>
      </c>
      <c r="N174" t="s">
        <v>22</v>
      </c>
      <c r="O174" t="s">
        <v>22</v>
      </c>
      <c r="P174" s="14">
        <v>46099</v>
      </c>
      <c r="Q174" t="s">
        <v>23</v>
      </c>
      <c r="R174" s="7">
        <f>IFERROR(VLOOKUP(Tabla1[[#This Row],[Número de documento del contacto]],'Resoluciones 1 (Res)'!$A:$C,2,0),"")</f>
        <v>7461</v>
      </c>
      <c r="S174" s="11">
        <f>IFERROR(VLOOKUP(Tabla1[[#This Row],[Número de documento del contacto]],'Resoluciones 1 (Res)'!$A:$C,3,0),"")</f>
        <v>46184.606747685197</v>
      </c>
      <c r="T174" s="7" t="str">
        <f>IFERROR(VLOOKUP(Tabla1[[#This Row],[Número de documento del contacto]],'Resoluciones 2 (Req)'!$B:$E,3,0),"")</f>
        <v>12183</v>
      </c>
      <c r="U174" s="7" t="str">
        <f t="shared" si="9"/>
        <v>9 de abril de 2026</v>
      </c>
      <c r="V174" s="7" t="str">
        <f t="shared" si="10"/>
        <v>18 de marzo de 2026</v>
      </c>
      <c r="W174" s="8" t="str">
        <f>"1-" &amp; ROWS($W$2:W174) &amp; ".pdf"</f>
        <v>1-173.pdf</v>
      </c>
      <c r="X174" s="7" t="str">
        <f>Tabla1[[#This Row],[Número de documento del contacto]]&amp;"-"&amp;Tabla1[[#This Row],[Número de resolución de archivo]]&amp;".pdf"</f>
        <v>72009647-7461.pdf</v>
      </c>
      <c r="Y174" s="7" t="str">
        <f t="shared" si="11"/>
        <v>ren "1-173.pdf" "72009647-7461.pdf"</v>
      </c>
      <c r="Z174" s="7" t="str">
        <f>Tabla1[[#This Row],[Número de documento del contacto]]&amp;"_"&amp;Tabla1[[#This Row],[Número de resolución de archivo]]&amp;".pdf"</f>
        <v>72009647_7461.pdf</v>
      </c>
      <c r="AA174" s="7" t="s">
        <v>49</v>
      </c>
      <c r="AB174" s="7" t="str">
        <f>Tabla1[[#This Row],[Nombre PDF / cedula + num resolucion]]&amp;";"&amp;Tabla1[[#This Row],[instructivo]]</f>
        <v>72009647_7461.pdf;10. Instructivo_Radicar_Activación_Credencial_DIGITAL_SIRNA.pdf</v>
      </c>
      <c r="AC174" s="7" t="str">
        <f>Tabla1[[#This Row],[Número de resolución de archivo]]&amp;"_"&amp;Tabla1[[#This Row],[Número de documento del contacto]]</f>
        <v>7461_72009647</v>
      </c>
    </row>
    <row r="175" spans="1:29" x14ac:dyDescent="0.25">
      <c r="A175">
        <v>16502</v>
      </c>
      <c r="B175" t="s">
        <v>14</v>
      </c>
      <c r="C175" t="s">
        <v>15</v>
      </c>
      <c r="D175" t="s">
        <v>16</v>
      </c>
      <c r="E175" t="s">
        <v>17</v>
      </c>
      <c r="F175" s="14">
        <v>46121</v>
      </c>
      <c r="G175">
        <v>75074526</v>
      </c>
      <c r="H175" t="s">
        <v>396</v>
      </c>
      <c r="I175" t="s">
        <v>397</v>
      </c>
      <c r="J175" t="s">
        <v>20</v>
      </c>
      <c r="K175" t="s">
        <v>21</v>
      </c>
      <c r="L175" s="14">
        <v>46184</v>
      </c>
      <c r="M175">
        <v>63</v>
      </c>
      <c r="N175" t="s">
        <v>22</v>
      </c>
      <c r="O175" t="s">
        <v>22</v>
      </c>
      <c r="P175" s="14">
        <v>46099</v>
      </c>
      <c r="Q175" t="s">
        <v>23</v>
      </c>
      <c r="R175" s="7">
        <f>IFERROR(VLOOKUP(Tabla1[[#This Row],[Número de documento del contacto]],'Resoluciones 1 (Res)'!$A:$C,2,0),"")</f>
        <v>7645</v>
      </c>
      <c r="S175" s="11">
        <f>IFERROR(VLOOKUP(Tabla1[[#This Row],[Número de documento del contacto]],'Resoluciones 1 (Res)'!$A:$C,3,0),"")</f>
        <v>46184.606747685197</v>
      </c>
      <c r="T175" s="7" t="str">
        <f>IFERROR(VLOOKUP(Tabla1[[#This Row],[Número de documento del contacto]],'Resoluciones 2 (Req)'!$B:$E,3,0),"")</f>
        <v>12185</v>
      </c>
      <c r="U175" s="7" t="str">
        <f t="shared" si="9"/>
        <v>9 de abril de 2026</v>
      </c>
      <c r="V175" s="7" t="str">
        <f t="shared" si="10"/>
        <v>18 de marzo de 2026</v>
      </c>
      <c r="W175" s="8" t="str">
        <f>"1-" &amp; ROWS($W$2:W175) &amp; ".pdf"</f>
        <v>1-174.pdf</v>
      </c>
      <c r="X175" s="7" t="str">
        <f>Tabla1[[#This Row],[Número de documento del contacto]]&amp;"-"&amp;Tabla1[[#This Row],[Número de resolución de archivo]]&amp;".pdf"</f>
        <v>75074526-7645.pdf</v>
      </c>
      <c r="Y175" s="7" t="str">
        <f t="shared" si="11"/>
        <v>ren "1-174.pdf" "75074526-7645.pdf"</v>
      </c>
      <c r="Z175" s="7" t="str">
        <f>Tabla1[[#This Row],[Número de documento del contacto]]&amp;"_"&amp;Tabla1[[#This Row],[Número de resolución de archivo]]&amp;".pdf"</f>
        <v>75074526_7645.pdf</v>
      </c>
      <c r="AA175" s="7" t="s">
        <v>49</v>
      </c>
      <c r="AB175" s="7" t="str">
        <f>Tabla1[[#This Row],[Nombre PDF / cedula + num resolucion]]&amp;";"&amp;Tabla1[[#This Row],[instructivo]]</f>
        <v>75074526_7645.pdf;10. Instructivo_Radicar_Activación_Credencial_DIGITAL_SIRNA.pdf</v>
      </c>
      <c r="AC175" s="7" t="str">
        <f>Tabla1[[#This Row],[Número de resolución de archivo]]&amp;"_"&amp;Tabla1[[#This Row],[Número de documento del contacto]]</f>
        <v>7645_75074526</v>
      </c>
    </row>
    <row r="176" spans="1:29" x14ac:dyDescent="0.25">
      <c r="A176">
        <v>15661</v>
      </c>
      <c r="B176" t="s">
        <v>14</v>
      </c>
      <c r="C176" t="s">
        <v>15</v>
      </c>
      <c r="D176" t="s">
        <v>16</v>
      </c>
      <c r="E176" t="s">
        <v>17</v>
      </c>
      <c r="F176" s="14">
        <v>46121</v>
      </c>
      <c r="G176">
        <v>75090362</v>
      </c>
      <c r="H176" t="s">
        <v>398</v>
      </c>
      <c r="I176" t="s">
        <v>399</v>
      </c>
      <c r="J176" t="s">
        <v>20</v>
      </c>
      <c r="K176" t="s">
        <v>21</v>
      </c>
      <c r="L176" s="14">
        <v>46184</v>
      </c>
      <c r="M176">
        <v>63</v>
      </c>
      <c r="N176" t="s">
        <v>22</v>
      </c>
      <c r="O176" t="s">
        <v>22</v>
      </c>
      <c r="P176" s="14">
        <v>46094</v>
      </c>
      <c r="Q176" t="s">
        <v>23</v>
      </c>
      <c r="R176" s="7">
        <f>IFERROR(VLOOKUP(Tabla1[[#This Row],[Número de documento del contacto]],'Resoluciones 1 (Res)'!$A:$C,2,0),"")</f>
        <v>7685</v>
      </c>
      <c r="S176" s="11">
        <f>IFERROR(VLOOKUP(Tabla1[[#This Row],[Número de documento del contacto]],'Resoluciones 1 (Res)'!$A:$C,3,0),"")</f>
        <v>46184.606747685197</v>
      </c>
      <c r="T176" s="7" t="str">
        <f>IFERROR(VLOOKUP(Tabla1[[#This Row],[Número de documento del contacto]],'Resoluciones 2 (Req)'!$B:$E,3,0),"")</f>
        <v>12186</v>
      </c>
      <c r="U176" s="7" t="str">
        <f t="shared" si="9"/>
        <v>9 de abril de 2026</v>
      </c>
      <c r="V176" s="7" t="str">
        <f t="shared" si="10"/>
        <v>13 de marzo de 2026</v>
      </c>
      <c r="W176" s="8" t="str">
        <f>"1-" &amp; ROWS($W$2:W176) &amp; ".pdf"</f>
        <v>1-175.pdf</v>
      </c>
      <c r="X176" s="7" t="str">
        <f>Tabla1[[#This Row],[Número de documento del contacto]]&amp;"-"&amp;Tabla1[[#This Row],[Número de resolución de archivo]]&amp;".pdf"</f>
        <v>75090362-7685.pdf</v>
      </c>
      <c r="Y176" s="7" t="str">
        <f t="shared" si="11"/>
        <v>ren "1-175.pdf" "75090362-7685.pdf"</v>
      </c>
      <c r="Z176" s="7" t="str">
        <f>Tabla1[[#This Row],[Número de documento del contacto]]&amp;"_"&amp;Tabla1[[#This Row],[Número de resolución de archivo]]&amp;".pdf"</f>
        <v>75090362_7685.pdf</v>
      </c>
      <c r="AA176" s="7" t="s">
        <v>49</v>
      </c>
      <c r="AB176" s="7" t="str">
        <f>Tabla1[[#This Row],[Nombre PDF / cedula + num resolucion]]&amp;";"&amp;Tabla1[[#This Row],[instructivo]]</f>
        <v>75090362_7685.pdf;10. Instructivo_Radicar_Activación_Credencial_DIGITAL_SIRNA.pdf</v>
      </c>
      <c r="AC176" s="7" t="str">
        <f>Tabla1[[#This Row],[Número de resolución de archivo]]&amp;"_"&amp;Tabla1[[#This Row],[Número de documento del contacto]]</f>
        <v>7685_75090362</v>
      </c>
    </row>
    <row r="177" spans="1:29" x14ac:dyDescent="0.25">
      <c r="A177">
        <v>16037</v>
      </c>
      <c r="B177" t="s">
        <v>14</v>
      </c>
      <c r="C177" t="s">
        <v>15</v>
      </c>
      <c r="D177" t="s">
        <v>16</v>
      </c>
      <c r="E177" t="s">
        <v>17</v>
      </c>
      <c r="F177" s="14">
        <v>46121</v>
      </c>
      <c r="G177">
        <v>75090762</v>
      </c>
      <c r="H177" t="s">
        <v>400</v>
      </c>
      <c r="I177" t="s">
        <v>401</v>
      </c>
      <c r="J177" t="s">
        <v>20</v>
      </c>
      <c r="K177" t="s">
        <v>21</v>
      </c>
      <c r="L177" s="14">
        <v>46184</v>
      </c>
      <c r="M177">
        <v>63</v>
      </c>
      <c r="N177" t="s">
        <v>22</v>
      </c>
      <c r="O177" t="s">
        <v>22</v>
      </c>
      <c r="P177" s="14">
        <v>46097</v>
      </c>
      <c r="Q177" t="s">
        <v>23</v>
      </c>
      <c r="R177" s="7">
        <f>IFERROR(VLOOKUP(Tabla1[[#This Row],[Número de documento del contacto]],'Resoluciones 1 (Res)'!$A:$C,2,0),"")</f>
        <v>7491</v>
      </c>
      <c r="S177" s="11">
        <f>IFERROR(VLOOKUP(Tabla1[[#This Row],[Número de documento del contacto]],'Resoluciones 1 (Res)'!$A:$C,3,0),"")</f>
        <v>46184.606747685197</v>
      </c>
      <c r="T177" s="7" t="str">
        <f>IFERROR(VLOOKUP(Tabla1[[#This Row],[Número de documento del contacto]],'Resoluciones 2 (Req)'!$B:$E,3,0),"")</f>
        <v>12187</v>
      </c>
      <c r="U177" s="7" t="str">
        <f t="shared" si="9"/>
        <v>9 de abril de 2026</v>
      </c>
      <c r="V177" s="7" t="str">
        <f t="shared" si="10"/>
        <v>16 de marzo de 2026</v>
      </c>
      <c r="W177" s="8" t="str">
        <f>"1-" &amp; ROWS($W$2:W177) &amp; ".pdf"</f>
        <v>1-176.pdf</v>
      </c>
      <c r="X177" s="7" t="str">
        <f>Tabla1[[#This Row],[Número de documento del contacto]]&amp;"-"&amp;Tabla1[[#This Row],[Número de resolución de archivo]]&amp;".pdf"</f>
        <v>75090762-7491.pdf</v>
      </c>
      <c r="Y177" s="7" t="str">
        <f t="shared" si="11"/>
        <v>ren "1-176.pdf" "75090762-7491.pdf"</v>
      </c>
      <c r="Z177" s="7" t="str">
        <f>Tabla1[[#This Row],[Número de documento del contacto]]&amp;"_"&amp;Tabla1[[#This Row],[Número de resolución de archivo]]&amp;".pdf"</f>
        <v>75090762_7491.pdf</v>
      </c>
      <c r="AA177" s="7" t="s">
        <v>49</v>
      </c>
      <c r="AB177" s="7" t="str">
        <f>Tabla1[[#This Row],[Nombre PDF / cedula + num resolucion]]&amp;";"&amp;Tabla1[[#This Row],[instructivo]]</f>
        <v>75090762_7491.pdf;10. Instructivo_Radicar_Activación_Credencial_DIGITAL_SIRNA.pdf</v>
      </c>
      <c r="AC177" s="7" t="str">
        <f>Tabla1[[#This Row],[Número de resolución de archivo]]&amp;"_"&amp;Tabla1[[#This Row],[Número de documento del contacto]]</f>
        <v>7491_75090762</v>
      </c>
    </row>
    <row r="178" spans="1:29" x14ac:dyDescent="0.25">
      <c r="A178">
        <v>16580</v>
      </c>
      <c r="B178" t="s">
        <v>14</v>
      </c>
      <c r="C178" t="s">
        <v>15</v>
      </c>
      <c r="D178" t="s">
        <v>16</v>
      </c>
      <c r="E178" t="s">
        <v>17</v>
      </c>
      <c r="F178" s="14">
        <v>46121</v>
      </c>
      <c r="G178">
        <v>77176617</v>
      </c>
      <c r="H178" t="s">
        <v>402</v>
      </c>
      <c r="I178" t="s">
        <v>403</v>
      </c>
      <c r="J178" t="s">
        <v>20</v>
      </c>
      <c r="K178" t="s">
        <v>21</v>
      </c>
      <c r="L178" s="14">
        <v>46184</v>
      </c>
      <c r="M178">
        <v>63</v>
      </c>
      <c r="N178" t="s">
        <v>22</v>
      </c>
      <c r="O178" t="s">
        <v>22</v>
      </c>
      <c r="P178" s="14">
        <v>46099</v>
      </c>
      <c r="Q178" t="s">
        <v>23</v>
      </c>
      <c r="R178" s="7">
        <f>IFERROR(VLOOKUP(Tabla1[[#This Row],[Número de documento del contacto]],'Resoluciones 1 (Res)'!$A:$C,2,0),"")</f>
        <v>7509</v>
      </c>
      <c r="S178" s="11">
        <f>IFERROR(VLOOKUP(Tabla1[[#This Row],[Número de documento del contacto]],'Resoluciones 1 (Res)'!$A:$C,3,0),"")</f>
        <v>46184.606747685197</v>
      </c>
      <c r="T178" s="7" t="str">
        <f>IFERROR(VLOOKUP(Tabla1[[#This Row],[Número de documento del contacto]],'Resoluciones 2 (Req)'!$B:$E,3,0),"")</f>
        <v>12188</v>
      </c>
      <c r="U178" s="7" t="str">
        <f t="shared" si="9"/>
        <v>9 de abril de 2026</v>
      </c>
      <c r="V178" s="7" t="str">
        <f t="shared" si="10"/>
        <v>18 de marzo de 2026</v>
      </c>
      <c r="W178" s="8" t="str">
        <f>"1-" &amp; ROWS($W$2:W178) &amp; ".pdf"</f>
        <v>1-177.pdf</v>
      </c>
      <c r="X178" s="7" t="str">
        <f>Tabla1[[#This Row],[Número de documento del contacto]]&amp;"-"&amp;Tabla1[[#This Row],[Número de resolución de archivo]]&amp;".pdf"</f>
        <v>77176617-7509.pdf</v>
      </c>
      <c r="Y178" s="7" t="str">
        <f t="shared" si="11"/>
        <v>ren "1-177.pdf" "77176617-7509.pdf"</v>
      </c>
      <c r="Z178" s="7" t="str">
        <f>Tabla1[[#This Row],[Número de documento del contacto]]&amp;"_"&amp;Tabla1[[#This Row],[Número de resolución de archivo]]&amp;".pdf"</f>
        <v>77176617_7509.pdf</v>
      </c>
      <c r="AA178" s="7" t="s">
        <v>49</v>
      </c>
      <c r="AB178" s="7" t="str">
        <f>Tabla1[[#This Row],[Nombre PDF / cedula + num resolucion]]&amp;";"&amp;Tabla1[[#This Row],[instructivo]]</f>
        <v>77176617_7509.pdf;10. Instructivo_Radicar_Activación_Credencial_DIGITAL_SIRNA.pdf</v>
      </c>
      <c r="AC178" s="7" t="str">
        <f>Tabla1[[#This Row],[Número de resolución de archivo]]&amp;"_"&amp;Tabla1[[#This Row],[Número de documento del contacto]]</f>
        <v>7509_77176617</v>
      </c>
    </row>
    <row r="179" spans="1:29" x14ac:dyDescent="0.25">
      <c r="A179">
        <v>16452</v>
      </c>
      <c r="B179" t="s">
        <v>14</v>
      </c>
      <c r="C179" t="s">
        <v>15</v>
      </c>
      <c r="D179" t="s">
        <v>16</v>
      </c>
      <c r="E179" t="s">
        <v>17</v>
      </c>
      <c r="F179" s="14">
        <v>46121</v>
      </c>
      <c r="G179">
        <v>79294059</v>
      </c>
      <c r="H179" t="s">
        <v>404</v>
      </c>
      <c r="I179" t="s">
        <v>405</v>
      </c>
      <c r="J179" t="s">
        <v>20</v>
      </c>
      <c r="K179" t="s">
        <v>21</v>
      </c>
      <c r="L179" s="14">
        <v>46184</v>
      </c>
      <c r="M179">
        <v>63</v>
      </c>
      <c r="N179" t="s">
        <v>22</v>
      </c>
      <c r="O179" t="s">
        <v>22</v>
      </c>
      <c r="P179" s="14">
        <v>46099</v>
      </c>
      <c r="Q179" t="s">
        <v>23</v>
      </c>
      <c r="R179" s="7">
        <f>IFERROR(VLOOKUP(Tabla1[[#This Row],[Número de documento del contacto]],'Resoluciones 1 (Res)'!$A:$C,2,0),"")</f>
        <v>7646</v>
      </c>
      <c r="S179" s="11">
        <f>IFERROR(VLOOKUP(Tabla1[[#This Row],[Número de documento del contacto]],'Resoluciones 1 (Res)'!$A:$C,3,0),"")</f>
        <v>46184.606747685197</v>
      </c>
      <c r="T179" s="7" t="str">
        <f>IFERROR(VLOOKUP(Tabla1[[#This Row],[Número de documento del contacto]],'Resoluciones 2 (Req)'!$B:$E,3,0),"")</f>
        <v>12189</v>
      </c>
      <c r="U179" s="7" t="str">
        <f t="shared" si="9"/>
        <v>9 de abril de 2026</v>
      </c>
      <c r="V179" s="7" t="str">
        <f t="shared" si="10"/>
        <v>18 de marzo de 2026</v>
      </c>
      <c r="W179" s="8" t="str">
        <f>"1-" &amp; ROWS($W$2:W179) &amp; ".pdf"</f>
        <v>1-178.pdf</v>
      </c>
      <c r="X179" s="7" t="str">
        <f>Tabla1[[#This Row],[Número de documento del contacto]]&amp;"-"&amp;Tabla1[[#This Row],[Número de resolución de archivo]]&amp;".pdf"</f>
        <v>79294059-7646.pdf</v>
      </c>
      <c r="Y179" s="7" t="str">
        <f t="shared" si="11"/>
        <v>ren "1-178.pdf" "79294059-7646.pdf"</v>
      </c>
      <c r="Z179" s="7" t="str">
        <f>Tabla1[[#This Row],[Número de documento del contacto]]&amp;"_"&amp;Tabla1[[#This Row],[Número de resolución de archivo]]&amp;".pdf"</f>
        <v>79294059_7646.pdf</v>
      </c>
      <c r="AA179" s="7" t="s">
        <v>49</v>
      </c>
      <c r="AB179" s="7" t="str">
        <f>Tabla1[[#This Row],[Nombre PDF / cedula + num resolucion]]&amp;";"&amp;Tabla1[[#This Row],[instructivo]]</f>
        <v>79294059_7646.pdf;10. Instructivo_Radicar_Activación_Credencial_DIGITAL_SIRNA.pdf</v>
      </c>
      <c r="AC179" s="7" t="str">
        <f>Tabla1[[#This Row],[Número de resolución de archivo]]&amp;"_"&amp;Tabla1[[#This Row],[Número de documento del contacto]]</f>
        <v>7646_79294059</v>
      </c>
    </row>
    <row r="180" spans="1:29" x14ac:dyDescent="0.25">
      <c r="A180">
        <v>16015</v>
      </c>
      <c r="B180" t="s">
        <v>14</v>
      </c>
      <c r="C180" t="s">
        <v>15</v>
      </c>
      <c r="D180" t="s">
        <v>16</v>
      </c>
      <c r="E180" t="s">
        <v>17</v>
      </c>
      <c r="F180" s="14">
        <v>46121</v>
      </c>
      <c r="G180">
        <v>79563930</v>
      </c>
      <c r="H180" t="s">
        <v>406</v>
      </c>
      <c r="I180" t="s">
        <v>407</v>
      </c>
      <c r="J180" t="s">
        <v>20</v>
      </c>
      <c r="K180" t="s">
        <v>21</v>
      </c>
      <c r="L180" s="14">
        <v>46184</v>
      </c>
      <c r="M180">
        <v>63</v>
      </c>
      <c r="N180" t="s">
        <v>22</v>
      </c>
      <c r="O180" t="s">
        <v>22</v>
      </c>
      <c r="P180" s="14">
        <v>46097</v>
      </c>
      <c r="Q180" t="s">
        <v>23</v>
      </c>
      <c r="R180" s="7">
        <f>IFERROR(VLOOKUP(Tabla1[[#This Row],[Número de documento del contacto]],'Resoluciones 1 (Res)'!$A:$C,2,0),"")</f>
        <v>7597</v>
      </c>
      <c r="S180" s="11">
        <f>IFERROR(VLOOKUP(Tabla1[[#This Row],[Número de documento del contacto]],'Resoluciones 1 (Res)'!$A:$C,3,0),"")</f>
        <v>46184.606747685197</v>
      </c>
      <c r="T180" s="7" t="str">
        <f>IFERROR(VLOOKUP(Tabla1[[#This Row],[Número de documento del contacto]],'Resoluciones 2 (Req)'!$B:$E,3,0),"")</f>
        <v>12190</v>
      </c>
      <c r="U180" s="7" t="str">
        <f t="shared" si="9"/>
        <v>9 de abril de 2026</v>
      </c>
      <c r="V180" s="7" t="str">
        <f t="shared" si="10"/>
        <v>16 de marzo de 2026</v>
      </c>
      <c r="W180" s="8" t="str">
        <f>"1-" &amp; ROWS($W$2:W180) &amp; ".pdf"</f>
        <v>1-179.pdf</v>
      </c>
      <c r="X180" s="7" t="str">
        <f>Tabla1[[#This Row],[Número de documento del contacto]]&amp;"-"&amp;Tabla1[[#This Row],[Número de resolución de archivo]]&amp;".pdf"</f>
        <v>79563930-7597.pdf</v>
      </c>
      <c r="Y180" s="7" t="str">
        <f t="shared" si="11"/>
        <v>ren "1-179.pdf" "79563930-7597.pdf"</v>
      </c>
      <c r="Z180" s="7" t="str">
        <f>Tabla1[[#This Row],[Número de documento del contacto]]&amp;"_"&amp;Tabla1[[#This Row],[Número de resolución de archivo]]&amp;".pdf"</f>
        <v>79563930_7597.pdf</v>
      </c>
      <c r="AA180" s="7" t="s">
        <v>49</v>
      </c>
      <c r="AB180" s="7" t="str">
        <f>Tabla1[[#This Row],[Nombre PDF / cedula + num resolucion]]&amp;";"&amp;Tabla1[[#This Row],[instructivo]]</f>
        <v>79563930_7597.pdf;10. Instructivo_Radicar_Activación_Credencial_DIGITAL_SIRNA.pdf</v>
      </c>
      <c r="AC180" s="7" t="str">
        <f>Tabla1[[#This Row],[Número de resolución de archivo]]&amp;"_"&amp;Tabla1[[#This Row],[Número de documento del contacto]]</f>
        <v>7597_79563930</v>
      </c>
    </row>
    <row r="181" spans="1:29" x14ac:dyDescent="0.25">
      <c r="A181">
        <v>15850</v>
      </c>
      <c r="B181" t="s">
        <v>14</v>
      </c>
      <c r="C181" t="s">
        <v>15</v>
      </c>
      <c r="D181" t="s">
        <v>16</v>
      </c>
      <c r="E181" t="s">
        <v>17</v>
      </c>
      <c r="F181" s="14">
        <v>46121</v>
      </c>
      <c r="G181">
        <v>80191315</v>
      </c>
      <c r="H181" t="s">
        <v>408</v>
      </c>
      <c r="I181" t="s">
        <v>409</v>
      </c>
      <c r="J181" t="s">
        <v>20</v>
      </c>
      <c r="K181" t="s">
        <v>21</v>
      </c>
      <c r="L181" s="14">
        <v>46184</v>
      </c>
      <c r="M181">
        <v>63</v>
      </c>
      <c r="N181" t="s">
        <v>22</v>
      </c>
      <c r="O181" t="s">
        <v>22</v>
      </c>
      <c r="P181" s="14">
        <v>46095</v>
      </c>
      <c r="Q181" t="s">
        <v>23</v>
      </c>
      <c r="R181" s="7">
        <f>IFERROR(VLOOKUP(Tabla1[[#This Row],[Número de documento del contacto]],'Resoluciones 1 (Res)'!$A:$C,2,0),"")</f>
        <v>7559</v>
      </c>
      <c r="S181" s="11">
        <f>IFERROR(VLOOKUP(Tabla1[[#This Row],[Número de documento del contacto]],'Resoluciones 1 (Res)'!$A:$C,3,0),"")</f>
        <v>46184.606747685197</v>
      </c>
      <c r="T181" s="7" t="str">
        <f>IFERROR(VLOOKUP(Tabla1[[#This Row],[Número de documento del contacto]],'Resoluciones 2 (Req)'!$B:$E,3,0),"")</f>
        <v>12191</v>
      </c>
      <c r="U181" s="7" t="str">
        <f t="shared" si="9"/>
        <v>9 de abril de 2026</v>
      </c>
      <c r="V181" s="7" t="str">
        <f t="shared" si="10"/>
        <v>14 de marzo de 2026</v>
      </c>
      <c r="W181" s="8" t="str">
        <f>"1-" &amp; ROWS($W$2:W181) &amp; ".pdf"</f>
        <v>1-180.pdf</v>
      </c>
      <c r="X181" s="7" t="str">
        <f>Tabla1[[#This Row],[Número de documento del contacto]]&amp;"-"&amp;Tabla1[[#This Row],[Número de resolución de archivo]]&amp;".pdf"</f>
        <v>80191315-7559.pdf</v>
      </c>
      <c r="Y181" s="7" t="str">
        <f t="shared" si="11"/>
        <v>ren "1-180.pdf" "80191315-7559.pdf"</v>
      </c>
      <c r="Z181" s="7" t="str">
        <f>Tabla1[[#This Row],[Número de documento del contacto]]&amp;"_"&amp;Tabla1[[#This Row],[Número de resolución de archivo]]&amp;".pdf"</f>
        <v>80191315_7559.pdf</v>
      </c>
      <c r="AA181" s="7" t="s">
        <v>49</v>
      </c>
      <c r="AB181" s="7" t="str">
        <f>Tabla1[[#This Row],[Nombre PDF / cedula + num resolucion]]&amp;";"&amp;Tabla1[[#This Row],[instructivo]]</f>
        <v>80191315_7559.pdf;10. Instructivo_Radicar_Activación_Credencial_DIGITAL_SIRNA.pdf</v>
      </c>
      <c r="AC181" s="7" t="str">
        <f>Tabla1[[#This Row],[Número de resolución de archivo]]&amp;"_"&amp;Tabla1[[#This Row],[Número de documento del contacto]]</f>
        <v>7559_80191315</v>
      </c>
    </row>
    <row r="182" spans="1:29" x14ac:dyDescent="0.25">
      <c r="A182">
        <v>16620</v>
      </c>
      <c r="B182" t="s">
        <v>14</v>
      </c>
      <c r="C182" t="s">
        <v>15</v>
      </c>
      <c r="D182" t="s">
        <v>16</v>
      </c>
      <c r="E182" t="s">
        <v>17</v>
      </c>
      <c r="F182" s="14">
        <v>46121</v>
      </c>
      <c r="G182">
        <v>80756259</v>
      </c>
      <c r="H182" t="s">
        <v>410</v>
      </c>
      <c r="I182" t="s">
        <v>411</v>
      </c>
      <c r="J182" t="s">
        <v>20</v>
      </c>
      <c r="K182" t="s">
        <v>21</v>
      </c>
      <c r="L182" s="14">
        <v>46184</v>
      </c>
      <c r="M182">
        <v>63</v>
      </c>
      <c r="N182" t="s">
        <v>22</v>
      </c>
      <c r="O182" t="s">
        <v>22</v>
      </c>
      <c r="P182" s="14">
        <v>46100</v>
      </c>
      <c r="Q182" t="s">
        <v>23</v>
      </c>
      <c r="R182" s="7">
        <f>IFERROR(VLOOKUP(Tabla1[[#This Row],[Número de documento del contacto]],'Resoluciones 1 (Res)'!$A:$C,2,0),"")</f>
        <v>7662</v>
      </c>
      <c r="S182" s="11">
        <f>IFERROR(VLOOKUP(Tabla1[[#This Row],[Número de documento del contacto]],'Resoluciones 1 (Res)'!$A:$C,3,0),"")</f>
        <v>46184.606747685197</v>
      </c>
      <c r="T182" s="7" t="str">
        <f>IFERROR(VLOOKUP(Tabla1[[#This Row],[Número de documento del contacto]],'Resoluciones 2 (Req)'!$B:$E,3,0),"")</f>
        <v>12192</v>
      </c>
      <c r="U182" s="7" t="str">
        <f t="shared" si="9"/>
        <v>9 de abril de 2026</v>
      </c>
      <c r="V182" s="7" t="str">
        <f t="shared" si="10"/>
        <v>19 de marzo de 2026</v>
      </c>
      <c r="W182" s="8" t="str">
        <f>"1-" &amp; ROWS($W$2:W182) &amp; ".pdf"</f>
        <v>1-181.pdf</v>
      </c>
      <c r="X182" s="7" t="str">
        <f>Tabla1[[#This Row],[Número de documento del contacto]]&amp;"-"&amp;Tabla1[[#This Row],[Número de resolución de archivo]]&amp;".pdf"</f>
        <v>80756259-7662.pdf</v>
      </c>
      <c r="Y182" s="7" t="str">
        <f t="shared" si="11"/>
        <v>ren "1-181.pdf" "80756259-7662.pdf"</v>
      </c>
      <c r="Z182" s="7" t="str">
        <f>Tabla1[[#This Row],[Número de documento del contacto]]&amp;"_"&amp;Tabla1[[#This Row],[Número de resolución de archivo]]&amp;".pdf"</f>
        <v>80756259_7662.pdf</v>
      </c>
      <c r="AA182" s="7" t="s">
        <v>49</v>
      </c>
      <c r="AB182" s="7" t="str">
        <f>Tabla1[[#This Row],[Nombre PDF / cedula + num resolucion]]&amp;";"&amp;Tabla1[[#This Row],[instructivo]]</f>
        <v>80756259_7662.pdf;10. Instructivo_Radicar_Activación_Credencial_DIGITAL_SIRNA.pdf</v>
      </c>
      <c r="AC182" s="7" t="str">
        <f>Tabla1[[#This Row],[Número de resolución de archivo]]&amp;"_"&amp;Tabla1[[#This Row],[Número de documento del contacto]]</f>
        <v>7662_80756259</v>
      </c>
    </row>
    <row r="183" spans="1:29" x14ac:dyDescent="0.25">
      <c r="A183">
        <v>15788</v>
      </c>
      <c r="B183" t="s">
        <v>14</v>
      </c>
      <c r="C183" t="s">
        <v>15</v>
      </c>
      <c r="D183" t="s">
        <v>16</v>
      </c>
      <c r="E183" t="s">
        <v>17</v>
      </c>
      <c r="F183" s="14">
        <v>46121</v>
      </c>
      <c r="G183">
        <v>87068688</v>
      </c>
      <c r="H183" t="s">
        <v>412</v>
      </c>
      <c r="I183" t="s">
        <v>413</v>
      </c>
      <c r="J183" t="s">
        <v>20</v>
      </c>
      <c r="K183" t="s">
        <v>21</v>
      </c>
      <c r="L183" s="14">
        <v>46184</v>
      </c>
      <c r="M183">
        <v>63</v>
      </c>
      <c r="N183" t="s">
        <v>22</v>
      </c>
      <c r="O183" t="s">
        <v>22</v>
      </c>
      <c r="P183" s="14">
        <v>46094</v>
      </c>
      <c r="Q183" t="s">
        <v>23</v>
      </c>
      <c r="R183" s="7">
        <f>IFERROR(VLOOKUP(Tabla1[[#This Row],[Número de documento del contacto]],'Resoluciones 1 (Res)'!$A:$C,2,0),"")</f>
        <v>7737</v>
      </c>
      <c r="S183" s="11">
        <f>IFERROR(VLOOKUP(Tabla1[[#This Row],[Número de documento del contacto]],'Resoluciones 1 (Res)'!$A:$C,3,0),"")</f>
        <v>46184.606747685197</v>
      </c>
      <c r="T183" s="7" t="str">
        <f>IFERROR(VLOOKUP(Tabla1[[#This Row],[Número de documento del contacto]],'Resoluciones 2 (Req)'!$B:$E,3,0),"")</f>
        <v>12194</v>
      </c>
      <c r="U183" s="7" t="str">
        <f t="shared" si="9"/>
        <v>9 de abril de 2026</v>
      </c>
      <c r="V183" s="7" t="str">
        <f t="shared" si="10"/>
        <v>13 de marzo de 2026</v>
      </c>
      <c r="W183" s="8" t="str">
        <f>"1-" &amp; ROWS($W$2:W183) &amp; ".pdf"</f>
        <v>1-182.pdf</v>
      </c>
      <c r="X183" s="7" t="str">
        <f>Tabla1[[#This Row],[Número de documento del contacto]]&amp;"-"&amp;Tabla1[[#This Row],[Número de resolución de archivo]]&amp;".pdf"</f>
        <v>87068688-7737.pdf</v>
      </c>
      <c r="Y183" s="7" t="str">
        <f t="shared" si="11"/>
        <v>ren "1-182.pdf" "87068688-7737.pdf"</v>
      </c>
      <c r="Z183" s="7" t="str">
        <f>Tabla1[[#This Row],[Número de documento del contacto]]&amp;"_"&amp;Tabla1[[#This Row],[Número de resolución de archivo]]&amp;".pdf"</f>
        <v>87068688_7737.pdf</v>
      </c>
      <c r="AA183" s="7" t="s">
        <v>49</v>
      </c>
      <c r="AB183" s="7" t="str">
        <f>Tabla1[[#This Row],[Nombre PDF / cedula + num resolucion]]&amp;";"&amp;Tabla1[[#This Row],[instructivo]]</f>
        <v>87068688_7737.pdf;10. Instructivo_Radicar_Activación_Credencial_DIGITAL_SIRNA.pdf</v>
      </c>
      <c r="AC183" s="7" t="str">
        <f>Tabla1[[#This Row],[Número de resolución de archivo]]&amp;"_"&amp;Tabla1[[#This Row],[Número de documento del contacto]]</f>
        <v>7737_87068688</v>
      </c>
    </row>
    <row r="184" spans="1:29" x14ac:dyDescent="0.25">
      <c r="A184">
        <v>16553</v>
      </c>
      <c r="B184" t="s">
        <v>14</v>
      </c>
      <c r="C184" t="s">
        <v>15</v>
      </c>
      <c r="D184" t="s">
        <v>16</v>
      </c>
      <c r="E184" t="s">
        <v>17</v>
      </c>
      <c r="F184" s="14">
        <v>46121</v>
      </c>
      <c r="G184">
        <v>98762001</v>
      </c>
      <c r="H184" t="s">
        <v>414</v>
      </c>
      <c r="I184" t="s">
        <v>415</v>
      </c>
      <c r="J184" t="s">
        <v>20</v>
      </c>
      <c r="K184" t="s">
        <v>21</v>
      </c>
      <c r="L184" s="14">
        <v>46184</v>
      </c>
      <c r="M184">
        <v>63</v>
      </c>
      <c r="N184" t="s">
        <v>22</v>
      </c>
      <c r="O184" t="s">
        <v>22</v>
      </c>
      <c r="P184" s="14">
        <v>46099</v>
      </c>
      <c r="Q184" t="s">
        <v>23</v>
      </c>
      <c r="R184" s="7">
        <f>IFERROR(VLOOKUP(Tabla1[[#This Row],[Número de documento del contacto]],'Resoluciones 1 (Res)'!$A:$C,2,0),"")</f>
        <v>7558</v>
      </c>
      <c r="S184" s="11">
        <f>IFERROR(VLOOKUP(Tabla1[[#This Row],[Número de documento del contacto]],'Resoluciones 1 (Res)'!$A:$C,3,0),"")</f>
        <v>46184.606747685197</v>
      </c>
      <c r="T184" s="7" t="str">
        <f>IFERROR(VLOOKUP(Tabla1[[#This Row],[Número de documento del contacto]],'Resoluciones 2 (Req)'!$B:$E,3,0),"")</f>
        <v>12196</v>
      </c>
      <c r="U184" s="7" t="str">
        <f t="shared" si="9"/>
        <v>9 de abril de 2026</v>
      </c>
      <c r="V184" s="7" t="str">
        <f t="shared" si="10"/>
        <v>18 de marzo de 2026</v>
      </c>
      <c r="W184" s="8" t="str">
        <f>"1-" &amp; ROWS($W$2:W184) &amp; ".pdf"</f>
        <v>1-183.pdf</v>
      </c>
      <c r="X184" s="7" t="str">
        <f>Tabla1[[#This Row],[Número de documento del contacto]]&amp;"-"&amp;Tabla1[[#This Row],[Número de resolución de archivo]]&amp;".pdf"</f>
        <v>98762001-7558.pdf</v>
      </c>
      <c r="Y184" s="7" t="str">
        <f t="shared" si="11"/>
        <v>ren "1-183.pdf" "98762001-7558.pdf"</v>
      </c>
      <c r="Z184" s="7" t="str">
        <f>Tabla1[[#This Row],[Número de documento del contacto]]&amp;"_"&amp;Tabla1[[#This Row],[Número de resolución de archivo]]&amp;".pdf"</f>
        <v>98762001_7558.pdf</v>
      </c>
      <c r="AA184" s="7" t="s">
        <v>49</v>
      </c>
      <c r="AB184" s="7" t="str">
        <f>Tabla1[[#This Row],[Nombre PDF / cedula + num resolucion]]&amp;";"&amp;Tabla1[[#This Row],[instructivo]]</f>
        <v>98762001_7558.pdf;10. Instructivo_Radicar_Activación_Credencial_DIGITAL_SIRNA.pdf</v>
      </c>
      <c r="AC184" s="7" t="str">
        <f>Tabla1[[#This Row],[Número de resolución de archivo]]&amp;"_"&amp;Tabla1[[#This Row],[Número de documento del contacto]]</f>
        <v>7558_98762001</v>
      </c>
    </row>
    <row r="185" spans="1:29" x14ac:dyDescent="0.25">
      <c r="A185">
        <v>15873</v>
      </c>
      <c r="B185" t="s">
        <v>14</v>
      </c>
      <c r="C185" t="s">
        <v>15</v>
      </c>
      <c r="D185" t="s">
        <v>16</v>
      </c>
      <c r="E185" t="s">
        <v>17</v>
      </c>
      <c r="F185" s="14">
        <v>46121</v>
      </c>
      <c r="G185">
        <v>1004346158</v>
      </c>
      <c r="H185" t="s">
        <v>416</v>
      </c>
      <c r="I185" t="s">
        <v>417</v>
      </c>
      <c r="J185" t="s">
        <v>20</v>
      </c>
      <c r="K185" t="s">
        <v>21</v>
      </c>
      <c r="L185" s="14">
        <v>46184</v>
      </c>
      <c r="M185">
        <v>63</v>
      </c>
      <c r="N185" t="s">
        <v>22</v>
      </c>
      <c r="O185" t="s">
        <v>22</v>
      </c>
      <c r="P185" s="14">
        <v>46096</v>
      </c>
      <c r="Q185" t="s">
        <v>23</v>
      </c>
      <c r="R185" s="7">
        <f>IFERROR(VLOOKUP(Tabla1[[#This Row],[Número de documento del contacto]],'Resoluciones 1 (Res)'!$A:$C,2,0),"")</f>
        <v>7497</v>
      </c>
      <c r="S185" s="11">
        <f>IFERROR(VLOOKUP(Tabla1[[#This Row],[Número de documento del contacto]],'Resoluciones 1 (Res)'!$A:$C,3,0),"")</f>
        <v>46184.606747685197</v>
      </c>
      <c r="T185" s="7" t="str">
        <f>IFERROR(VLOOKUP(Tabla1[[#This Row],[Número de documento del contacto]],'Resoluciones 2 (Req)'!$B:$E,3,0),"")</f>
        <v>12197</v>
      </c>
      <c r="U185" s="7" t="str">
        <f t="shared" si="9"/>
        <v>9 de abril de 2026</v>
      </c>
      <c r="V185" s="7" t="str">
        <f t="shared" si="10"/>
        <v>15 de marzo de 2026</v>
      </c>
      <c r="W185" s="8" t="str">
        <f>"1-" &amp; ROWS($W$2:W185) &amp; ".pdf"</f>
        <v>1-184.pdf</v>
      </c>
      <c r="X185" s="7" t="str">
        <f>Tabla1[[#This Row],[Número de documento del contacto]]&amp;"-"&amp;Tabla1[[#This Row],[Número de resolución de archivo]]&amp;".pdf"</f>
        <v>1004346158-7497.pdf</v>
      </c>
      <c r="Y185" s="7" t="str">
        <f t="shared" si="11"/>
        <v>ren "1-184.pdf" "1004346158-7497.pdf"</v>
      </c>
      <c r="Z185" s="7" t="str">
        <f>Tabla1[[#This Row],[Número de documento del contacto]]&amp;"_"&amp;Tabla1[[#This Row],[Número de resolución de archivo]]&amp;".pdf"</f>
        <v>1004346158_7497.pdf</v>
      </c>
      <c r="AA185" s="7" t="s">
        <v>49</v>
      </c>
      <c r="AB185" s="7" t="str">
        <f>Tabla1[[#This Row],[Nombre PDF / cedula + num resolucion]]&amp;";"&amp;Tabla1[[#This Row],[instructivo]]</f>
        <v>1004346158_7497.pdf;10. Instructivo_Radicar_Activación_Credencial_DIGITAL_SIRNA.pdf</v>
      </c>
      <c r="AC185" s="7" t="str">
        <f>Tabla1[[#This Row],[Número de resolución de archivo]]&amp;"_"&amp;Tabla1[[#This Row],[Número de documento del contacto]]</f>
        <v>7497_1004346158</v>
      </c>
    </row>
    <row r="186" spans="1:29" x14ac:dyDescent="0.25">
      <c r="A186">
        <v>15707</v>
      </c>
      <c r="B186" t="s">
        <v>14</v>
      </c>
      <c r="C186" t="s">
        <v>15</v>
      </c>
      <c r="D186" t="s">
        <v>16</v>
      </c>
      <c r="E186" t="s">
        <v>17</v>
      </c>
      <c r="F186" s="14">
        <v>46121</v>
      </c>
      <c r="G186">
        <v>1005662415</v>
      </c>
      <c r="H186" t="s">
        <v>418</v>
      </c>
      <c r="I186" t="s">
        <v>419</v>
      </c>
      <c r="J186" t="s">
        <v>20</v>
      </c>
      <c r="K186" t="s">
        <v>21</v>
      </c>
      <c r="L186" s="14">
        <v>46184</v>
      </c>
      <c r="M186">
        <v>63</v>
      </c>
      <c r="N186" t="s">
        <v>22</v>
      </c>
      <c r="O186" t="s">
        <v>22</v>
      </c>
      <c r="P186" s="14">
        <v>46094</v>
      </c>
      <c r="Q186" t="s">
        <v>23</v>
      </c>
      <c r="R186" s="7">
        <f>IFERROR(VLOOKUP(Tabla1[[#This Row],[Número de documento del contacto]],'Resoluciones 1 (Res)'!$A:$C,2,0),"")</f>
        <v>7466</v>
      </c>
      <c r="S186" s="11">
        <f>IFERROR(VLOOKUP(Tabla1[[#This Row],[Número de documento del contacto]],'Resoluciones 1 (Res)'!$A:$C,3,0),"")</f>
        <v>46184.606747685197</v>
      </c>
      <c r="T186" s="7" t="str">
        <f>IFERROR(VLOOKUP(Tabla1[[#This Row],[Número de documento del contacto]],'Resoluciones 2 (Req)'!$B:$E,3,0),"")</f>
        <v>12198</v>
      </c>
      <c r="U186" s="7" t="str">
        <f t="shared" si="9"/>
        <v>9 de abril de 2026</v>
      </c>
      <c r="V186" s="7" t="str">
        <f t="shared" si="10"/>
        <v>13 de marzo de 2026</v>
      </c>
      <c r="W186" s="8" t="str">
        <f>"1-" &amp; ROWS($W$2:W186) &amp; ".pdf"</f>
        <v>1-185.pdf</v>
      </c>
      <c r="X186" s="7" t="str">
        <f>Tabla1[[#This Row],[Número de documento del contacto]]&amp;"-"&amp;Tabla1[[#This Row],[Número de resolución de archivo]]&amp;".pdf"</f>
        <v>1005662415-7466.pdf</v>
      </c>
      <c r="Y186" s="7" t="str">
        <f t="shared" si="11"/>
        <v>ren "1-185.pdf" "1005662415-7466.pdf"</v>
      </c>
      <c r="Z186" s="7" t="str">
        <f>Tabla1[[#This Row],[Número de documento del contacto]]&amp;"_"&amp;Tabla1[[#This Row],[Número de resolución de archivo]]&amp;".pdf"</f>
        <v>1005662415_7466.pdf</v>
      </c>
      <c r="AA186" s="7" t="s">
        <v>49</v>
      </c>
      <c r="AB186" s="7" t="str">
        <f>Tabla1[[#This Row],[Nombre PDF / cedula + num resolucion]]&amp;";"&amp;Tabla1[[#This Row],[instructivo]]</f>
        <v>1005662415_7466.pdf;10. Instructivo_Radicar_Activación_Credencial_DIGITAL_SIRNA.pdf</v>
      </c>
      <c r="AC186" s="7" t="str">
        <f>Tabla1[[#This Row],[Número de resolución de archivo]]&amp;"_"&amp;Tabla1[[#This Row],[Número de documento del contacto]]</f>
        <v>7466_1005662415</v>
      </c>
    </row>
    <row r="187" spans="1:29" x14ac:dyDescent="0.25">
      <c r="A187">
        <v>16224</v>
      </c>
      <c r="B187" t="s">
        <v>14</v>
      </c>
      <c r="C187" t="s">
        <v>15</v>
      </c>
      <c r="D187" t="s">
        <v>16</v>
      </c>
      <c r="E187" t="s">
        <v>17</v>
      </c>
      <c r="F187" s="14">
        <v>46121</v>
      </c>
      <c r="G187">
        <v>1006776418</v>
      </c>
      <c r="H187" t="s">
        <v>420</v>
      </c>
      <c r="I187" t="s">
        <v>421</v>
      </c>
      <c r="J187" t="s">
        <v>20</v>
      </c>
      <c r="K187" t="s">
        <v>21</v>
      </c>
      <c r="L187" s="14">
        <v>46184</v>
      </c>
      <c r="M187">
        <v>63</v>
      </c>
      <c r="N187" t="s">
        <v>22</v>
      </c>
      <c r="O187" t="s">
        <v>22</v>
      </c>
      <c r="P187" s="14">
        <v>46098</v>
      </c>
      <c r="Q187" t="s">
        <v>23</v>
      </c>
      <c r="R187" s="7">
        <f>IFERROR(VLOOKUP(Tabla1[[#This Row],[Número de documento del contacto]],'Resoluciones 1 (Res)'!$A:$C,2,0),"")</f>
        <v>7526</v>
      </c>
      <c r="S187" s="11">
        <f>IFERROR(VLOOKUP(Tabla1[[#This Row],[Número de documento del contacto]],'Resoluciones 1 (Res)'!$A:$C,3,0),"")</f>
        <v>46184.606747685197</v>
      </c>
      <c r="T187" s="7" t="str">
        <f>IFERROR(VLOOKUP(Tabla1[[#This Row],[Número de documento del contacto]],'Resoluciones 2 (Req)'!$B:$E,3,0),"")</f>
        <v>12200</v>
      </c>
      <c r="U187" s="7" t="str">
        <f t="shared" si="9"/>
        <v>9 de abril de 2026</v>
      </c>
      <c r="V187" s="7" t="str">
        <f t="shared" si="10"/>
        <v>17 de marzo de 2026</v>
      </c>
      <c r="W187" s="8" t="str">
        <f>"1-" &amp; ROWS($W$2:W187) &amp; ".pdf"</f>
        <v>1-186.pdf</v>
      </c>
      <c r="X187" s="7" t="str">
        <f>Tabla1[[#This Row],[Número de documento del contacto]]&amp;"-"&amp;Tabla1[[#This Row],[Número de resolución de archivo]]&amp;".pdf"</f>
        <v>1006776418-7526.pdf</v>
      </c>
      <c r="Y187" s="7" t="str">
        <f t="shared" si="11"/>
        <v>ren "1-186.pdf" "1006776418-7526.pdf"</v>
      </c>
      <c r="Z187" s="7" t="str">
        <f>Tabla1[[#This Row],[Número de documento del contacto]]&amp;"_"&amp;Tabla1[[#This Row],[Número de resolución de archivo]]&amp;".pdf"</f>
        <v>1006776418_7526.pdf</v>
      </c>
      <c r="AA187" s="7" t="s">
        <v>49</v>
      </c>
      <c r="AB187" s="7" t="str">
        <f>Tabla1[[#This Row],[Nombre PDF / cedula + num resolucion]]&amp;";"&amp;Tabla1[[#This Row],[instructivo]]</f>
        <v>1006776418_7526.pdf;10. Instructivo_Radicar_Activación_Credencial_DIGITAL_SIRNA.pdf</v>
      </c>
      <c r="AC187" s="7" t="str">
        <f>Tabla1[[#This Row],[Número de resolución de archivo]]&amp;"_"&amp;Tabla1[[#This Row],[Número de documento del contacto]]</f>
        <v>7526_1006776418</v>
      </c>
    </row>
    <row r="188" spans="1:29" x14ac:dyDescent="0.25">
      <c r="A188">
        <v>16390</v>
      </c>
      <c r="B188" t="s">
        <v>14</v>
      </c>
      <c r="C188" t="s">
        <v>15</v>
      </c>
      <c r="D188" t="s">
        <v>16</v>
      </c>
      <c r="E188" t="s">
        <v>17</v>
      </c>
      <c r="F188" s="14">
        <v>46121</v>
      </c>
      <c r="G188">
        <v>1010224297</v>
      </c>
      <c r="H188" t="s">
        <v>422</v>
      </c>
      <c r="I188" t="s">
        <v>423</v>
      </c>
      <c r="J188" t="s">
        <v>20</v>
      </c>
      <c r="K188" t="s">
        <v>21</v>
      </c>
      <c r="L188" s="14">
        <v>46184</v>
      </c>
      <c r="M188">
        <v>63</v>
      </c>
      <c r="N188" t="s">
        <v>22</v>
      </c>
      <c r="O188" t="s">
        <v>22</v>
      </c>
      <c r="P188" s="14">
        <v>46098</v>
      </c>
      <c r="Q188" t="s">
        <v>23</v>
      </c>
      <c r="R188" s="7">
        <f>IFERROR(VLOOKUP(Tabla1[[#This Row],[Número de documento del contacto]],'Resoluciones 1 (Res)'!$A:$C,2,0),"")</f>
        <v>7552</v>
      </c>
      <c r="S188" s="11">
        <f>IFERROR(VLOOKUP(Tabla1[[#This Row],[Número de documento del contacto]],'Resoluciones 1 (Res)'!$A:$C,3,0),"")</f>
        <v>46184.606747685197</v>
      </c>
      <c r="T188" s="7" t="str">
        <f>IFERROR(VLOOKUP(Tabla1[[#This Row],[Número de documento del contacto]],'Resoluciones 2 (Req)'!$B:$E,3,0),"")</f>
        <v>12201</v>
      </c>
      <c r="U188" s="7" t="str">
        <f t="shared" si="9"/>
        <v>9 de abril de 2026</v>
      </c>
      <c r="V188" s="7" t="str">
        <f t="shared" si="10"/>
        <v>17 de marzo de 2026</v>
      </c>
      <c r="W188" s="8" t="str">
        <f>"1-" &amp; ROWS($W$2:W188) &amp; ".pdf"</f>
        <v>1-187.pdf</v>
      </c>
      <c r="X188" s="7" t="str">
        <f>Tabla1[[#This Row],[Número de documento del contacto]]&amp;"-"&amp;Tabla1[[#This Row],[Número de resolución de archivo]]&amp;".pdf"</f>
        <v>1010224297-7552.pdf</v>
      </c>
      <c r="Y188" s="7" t="str">
        <f t="shared" si="11"/>
        <v>ren "1-187.pdf" "1010224297-7552.pdf"</v>
      </c>
      <c r="Z188" s="7" t="str">
        <f>Tabla1[[#This Row],[Número de documento del contacto]]&amp;"_"&amp;Tabla1[[#This Row],[Número de resolución de archivo]]&amp;".pdf"</f>
        <v>1010224297_7552.pdf</v>
      </c>
      <c r="AA188" s="7" t="s">
        <v>49</v>
      </c>
      <c r="AB188" s="7" t="str">
        <f>Tabla1[[#This Row],[Nombre PDF / cedula + num resolucion]]&amp;";"&amp;Tabla1[[#This Row],[instructivo]]</f>
        <v>1010224297_7552.pdf;10. Instructivo_Radicar_Activación_Credencial_DIGITAL_SIRNA.pdf</v>
      </c>
      <c r="AC188" s="7" t="str">
        <f>Tabla1[[#This Row],[Número de resolución de archivo]]&amp;"_"&amp;Tabla1[[#This Row],[Número de documento del contacto]]</f>
        <v>7552_1010224297</v>
      </c>
    </row>
    <row r="189" spans="1:29" x14ac:dyDescent="0.25">
      <c r="A189">
        <v>16479</v>
      </c>
      <c r="B189" t="s">
        <v>14</v>
      </c>
      <c r="C189" t="s">
        <v>15</v>
      </c>
      <c r="D189" t="s">
        <v>16</v>
      </c>
      <c r="E189" t="s">
        <v>17</v>
      </c>
      <c r="F189" s="14">
        <v>46121</v>
      </c>
      <c r="G189">
        <v>1013645155</v>
      </c>
      <c r="H189" t="s">
        <v>424</v>
      </c>
      <c r="I189" t="s">
        <v>425</v>
      </c>
      <c r="J189" t="s">
        <v>20</v>
      </c>
      <c r="K189" t="s">
        <v>21</v>
      </c>
      <c r="L189" s="14">
        <v>46184</v>
      </c>
      <c r="M189">
        <v>63</v>
      </c>
      <c r="N189" t="s">
        <v>22</v>
      </c>
      <c r="O189" t="s">
        <v>22</v>
      </c>
      <c r="P189" s="14">
        <v>46099</v>
      </c>
      <c r="Q189" t="s">
        <v>23</v>
      </c>
      <c r="R189" s="7">
        <f>IFERROR(VLOOKUP(Tabla1[[#This Row],[Número de documento del contacto]],'Resoluciones 1 (Res)'!$A:$C,2,0),"")</f>
        <v>7602</v>
      </c>
      <c r="S189" s="11">
        <f>IFERROR(VLOOKUP(Tabla1[[#This Row],[Número de documento del contacto]],'Resoluciones 1 (Res)'!$A:$C,3,0),"")</f>
        <v>46184.606747685197</v>
      </c>
      <c r="T189" s="7" t="str">
        <f>IFERROR(VLOOKUP(Tabla1[[#This Row],[Número de documento del contacto]],'Resoluciones 2 (Req)'!$B:$E,3,0),"")</f>
        <v>12202</v>
      </c>
      <c r="U189" s="7" t="str">
        <f t="shared" si="9"/>
        <v>9 de abril de 2026</v>
      </c>
      <c r="V189" s="7" t="str">
        <f t="shared" si="10"/>
        <v>18 de marzo de 2026</v>
      </c>
      <c r="W189" s="8" t="str">
        <f>"1-" &amp; ROWS($W$2:W189) &amp; ".pdf"</f>
        <v>1-188.pdf</v>
      </c>
      <c r="X189" s="7" t="str">
        <f>Tabla1[[#This Row],[Número de documento del contacto]]&amp;"-"&amp;Tabla1[[#This Row],[Número de resolución de archivo]]&amp;".pdf"</f>
        <v>1013645155-7602.pdf</v>
      </c>
      <c r="Y189" s="7" t="str">
        <f t="shared" si="11"/>
        <v>ren "1-188.pdf" "1013645155-7602.pdf"</v>
      </c>
      <c r="Z189" s="7" t="str">
        <f>Tabla1[[#This Row],[Número de documento del contacto]]&amp;"_"&amp;Tabla1[[#This Row],[Número de resolución de archivo]]&amp;".pdf"</f>
        <v>1013645155_7602.pdf</v>
      </c>
      <c r="AA189" s="7" t="s">
        <v>49</v>
      </c>
      <c r="AB189" s="7" t="str">
        <f>Tabla1[[#This Row],[Nombre PDF / cedula + num resolucion]]&amp;";"&amp;Tabla1[[#This Row],[instructivo]]</f>
        <v>1013645155_7602.pdf;10. Instructivo_Radicar_Activación_Credencial_DIGITAL_SIRNA.pdf</v>
      </c>
      <c r="AC189" s="7" t="str">
        <f>Tabla1[[#This Row],[Número de resolución de archivo]]&amp;"_"&amp;Tabla1[[#This Row],[Número de documento del contacto]]</f>
        <v>7602_1013645155</v>
      </c>
    </row>
    <row r="190" spans="1:29" x14ac:dyDescent="0.25">
      <c r="A190">
        <v>16448</v>
      </c>
      <c r="B190" t="s">
        <v>14</v>
      </c>
      <c r="C190" t="s">
        <v>15</v>
      </c>
      <c r="D190" t="s">
        <v>16</v>
      </c>
      <c r="E190" t="s">
        <v>17</v>
      </c>
      <c r="F190" s="14">
        <v>46121</v>
      </c>
      <c r="G190">
        <v>1014267848</v>
      </c>
      <c r="H190" t="s">
        <v>426</v>
      </c>
      <c r="I190" t="s">
        <v>427</v>
      </c>
      <c r="J190" t="s">
        <v>20</v>
      </c>
      <c r="K190" t="s">
        <v>21</v>
      </c>
      <c r="L190" s="14">
        <v>46184</v>
      </c>
      <c r="M190">
        <v>63</v>
      </c>
      <c r="N190" t="s">
        <v>22</v>
      </c>
      <c r="O190" t="s">
        <v>22</v>
      </c>
      <c r="P190" s="14">
        <v>46099</v>
      </c>
      <c r="Q190" t="s">
        <v>23</v>
      </c>
      <c r="R190" s="7">
        <f>IFERROR(VLOOKUP(Tabla1[[#This Row],[Número de documento del contacto]],'Resoluciones 1 (Res)'!$A:$C,2,0),"")</f>
        <v>7455</v>
      </c>
      <c r="S190" s="11">
        <f>IFERROR(VLOOKUP(Tabla1[[#This Row],[Número de documento del contacto]],'Resoluciones 1 (Res)'!$A:$C,3,0),"")</f>
        <v>46184.606747685197</v>
      </c>
      <c r="T190" s="7" t="str">
        <f>IFERROR(VLOOKUP(Tabla1[[#This Row],[Número de documento del contacto]],'Resoluciones 2 (Req)'!$B:$E,3,0),"")</f>
        <v>12203</v>
      </c>
      <c r="U190" s="7" t="str">
        <f t="shared" si="9"/>
        <v>9 de abril de 2026</v>
      </c>
      <c r="V190" s="7" t="str">
        <f t="shared" si="10"/>
        <v>18 de marzo de 2026</v>
      </c>
      <c r="W190" s="8" t="str">
        <f>"1-" &amp; ROWS($W$2:W190) &amp; ".pdf"</f>
        <v>1-189.pdf</v>
      </c>
      <c r="X190" s="7" t="str">
        <f>Tabla1[[#This Row],[Número de documento del contacto]]&amp;"-"&amp;Tabla1[[#This Row],[Número de resolución de archivo]]&amp;".pdf"</f>
        <v>1014267848-7455.pdf</v>
      </c>
      <c r="Y190" s="7" t="str">
        <f t="shared" si="11"/>
        <v>ren "1-189.pdf" "1014267848-7455.pdf"</v>
      </c>
      <c r="Z190" s="7" t="str">
        <f>Tabla1[[#This Row],[Número de documento del contacto]]&amp;"_"&amp;Tabla1[[#This Row],[Número de resolución de archivo]]&amp;".pdf"</f>
        <v>1014267848_7455.pdf</v>
      </c>
      <c r="AA190" s="7" t="s">
        <v>49</v>
      </c>
      <c r="AB190" s="7" t="str">
        <f>Tabla1[[#This Row],[Nombre PDF / cedula + num resolucion]]&amp;";"&amp;Tabla1[[#This Row],[instructivo]]</f>
        <v>1014267848_7455.pdf;10. Instructivo_Radicar_Activación_Credencial_DIGITAL_SIRNA.pdf</v>
      </c>
      <c r="AC190" s="7" t="str">
        <f>Tabla1[[#This Row],[Número de resolución de archivo]]&amp;"_"&amp;Tabla1[[#This Row],[Número de documento del contacto]]</f>
        <v>7455_1014267848</v>
      </c>
    </row>
    <row r="191" spans="1:29" x14ac:dyDescent="0.25">
      <c r="A191">
        <v>15940</v>
      </c>
      <c r="B191" t="s">
        <v>14</v>
      </c>
      <c r="C191" t="s">
        <v>15</v>
      </c>
      <c r="D191" t="s">
        <v>16</v>
      </c>
      <c r="E191" t="s">
        <v>17</v>
      </c>
      <c r="F191" s="14">
        <v>46121</v>
      </c>
      <c r="G191">
        <v>1014294602</v>
      </c>
      <c r="H191" t="s">
        <v>428</v>
      </c>
      <c r="I191" t="s">
        <v>429</v>
      </c>
      <c r="J191" t="s">
        <v>20</v>
      </c>
      <c r="K191" t="s">
        <v>21</v>
      </c>
      <c r="L191" s="14">
        <v>46184</v>
      </c>
      <c r="M191">
        <v>63</v>
      </c>
      <c r="N191" t="s">
        <v>22</v>
      </c>
      <c r="O191" t="s">
        <v>22</v>
      </c>
      <c r="P191" s="14">
        <v>46097</v>
      </c>
      <c r="Q191" t="s">
        <v>23</v>
      </c>
      <c r="R191" s="7">
        <f>IFERROR(VLOOKUP(Tabla1[[#This Row],[Número de documento del contacto]],'Resoluciones 1 (Res)'!$A:$C,2,0),"")</f>
        <v>7724</v>
      </c>
      <c r="S191" s="11">
        <f>IFERROR(VLOOKUP(Tabla1[[#This Row],[Número de documento del contacto]],'Resoluciones 1 (Res)'!$A:$C,3,0),"")</f>
        <v>46184.606747685197</v>
      </c>
      <c r="T191" s="7" t="str">
        <f>IFERROR(VLOOKUP(Tabla1[[#This Row],[Número de documento del contacto]],'Resoluciones 2 (Req)'!$B:$E,3,0),"")</f>
        <v>12207</v>
      </c>
      <c r="U191" s="7" t="str">
        <f t="shared" si="9"/>
        <v>9 de abril de 2026</v>
      </c>
      <c r="V191" s="7" t="str">
        <f t="shared" si="10"/>
        <v>16 de marzo de 2026</v>
      </c>
      <c r="W191" s="8" t="str">
        <f>"1-" &amp; ROWS($W$2:W191) &amp; ".pdf"</f>
        <v>1-190.pdf</v>
      </c>
      <c r="X191" s="7" t="str">
        <f>Tabla1[[#This Row],[Número de documento del contacto]]&amp;"-"&amp;Tabla1[[#This Row],[Número de resolución de archivo]]&amp;".pdf"</f>
        <v>1014294602-7724.pdf</v>
      </c>
      <c r="Y191" s="7" t="str">
        <f t="shared" si="11"/>
        <v>ren "1-190.pdf" "1014294602-7724.pdf"</v>
      </c>
      <c r="Z191" s="7" t="str">
        <f>Tabla1[[#This Row],[Número de documento del contacto]]&amp;"_"&amp;Tabla1[[#This Row],[Número de resolución de archivo]]&amp;".pdf"</f>
        <v>1014294602_7724.pdf</v>
      </c>
      <c r="AA191" s="7" t="s">
        <v>49</v>
      </c>
      <c r="AB191" s="7" t="str">
        <f>Tabla1[[#This Row],[Nombre PDF / cedula + num resolucion]]&amp;";"&amp;Tabla1[[#This Row],[instructivo]]</f>
        <v>1014294602_7724.pdf;10. Instructivo_Radicar_Activación_Credencial_DIGITAL_SIRNA.pdf</v>
      </c>
      <c r="AC191" s="7" t="str">
        <f>Tabla1[[#This Row],[Número de resolución de archivo]]&amp;"_"&amp;Tabla1[[#This Row],[Número de documento del contacto]]</f>
        <v>7724_1014294602</v>
      </c>
    </row>
    <row r="192" spans="1:29" x14ac:dyDescent="0.25">
      <c r="A192">
        <v>16017</v>
      </c>
      <c r="B192" t="s">
        <v>14</v>
      </c>
      <c r="C192" t="s">
        <v>15</v>
      </c>
      <c r="D192" t="s">
        <v>16</v>
      </c>
      <c r="E192" t="s">
        <v>17</v>
      </c>
      <c r="F192" s="14">
        <v>46121</v>
      </c>
      <c r="G192">
        <v>1015411920</v>
      </c>
      <c r="H192" t="s">
        <v>430</v>
      </c>
      <c r="I192" t="s">
        <v>431</v>
      </c>
      <c r="J192" t="s">
        <v>20</v>
      </c>
      <c r="K192" t="s">
        <v>21</v>
      </c>
      <c r="L192" s="14">
        <v>46184</v>
      </c>
      <c r="M192">
        <v>63</v>
      </c>
      <c r="N192" t="s">
        <v>22</v>
      </c>
      <c r="O192" t="s">
        <v>22</v>
      </c>
      <c r="P192" s="14">
        <v>46097</v>
      </c>
      <c r="Q192" t="s">
        <v>23</v>
      </c>
      <c r="R192" s="7">
        <f>IFERROR(VLOOKUP(Tabla1[[#This Row],[Número de documento del contacto]],'Resoluciones 1 (Res)'!$A:$C,2,0),"")</f>
        <v>7547</v>
      </c>
      <c r="S192" s="11">
        <f>IFERROR(VLOOKUP(Tabla1[[#This Row],[Número de documento del contacto]],'Resoluciones 1 (Res)'!$A:$C,3,0),"")</f>
        <v>46184.606747685197</v>
      </c>
      <c r="T192" s="7" t="str">
        <f>IFERROR(VLOOKUP(Tabla1[[#This Row],[Número de documento del contacto]],'Resoluciones 2 (Req)'!$B:$E,3,0),"")</f>
        <v>12208</v>
      </c>
      <c r="U192" s="7" t="str">
        <f t="shared" si="9"/>
        <v>9 de abril de 2026</v>
      </c>
      <c r="V192" s="7" t="str">
        <f t="shared" si="10"/>
        <v>16 de marzo de 2026</v>
      </c>
      <c r="W192" s="8" t="str">
        <f>"1-" &amp; ROWS($W$2:W192) &amp; ".pdf"</f>
        <v>1-191.pdf</v>
      </c>
      <c r="X192" s="7" t="str">
        <f>Tabla1[[#This Row],[Número de documento del contacto]]&amp;"-"&amp;Tabla1[[#This Row],[Número de resolución de archivo]]&amp;".pdf"</f>
        <v>1015411920-7547.pdf</v>
      </c>
      <c r="Y192" s="7" t="str">
        <f t="shared" si="11"/>
        <v>ren "1-191.pdf" "1015411920-7547.pdf"</v>
      </c>
      <c r="Z192" s="7" t="str">
        <f>Tabla1[[#This Row],[Número de documento del contacto]]&amp;"_"&amp;Tabla1[[#This Row],[Número de resolución de archivo]]&amp;".pdf"</f>
        <v>1015411920_7547.pdf</v>
      </c>
      <c r="AA192" s="7" t="s">
        <v>49</v>
      </c>
      <c r="AB192" s="7" t="str">
        <f>Tabla1[[#This Row],[Nombre PDF / cedula + num resolucion]]&amp;";"&amp;Tabla1[[#This Row],[instructivo]]</f>
        <v>1015411920_7547.pdf;10. Instructivo_Radicar_Activación_Credencial_DIGITAL_SIRNA.pdf</v>
      </c>
      <c r="AC192" s="7" t="str">
        <f>Tabla1[[#This Row],[Número de resolución de archivo]]&amp;"_"&amp;Tabla1[[#This Row],[Número de documento del contacto]]</f>
        <v>7547_1015411920</v>
      </c>
    </row>
    <row r="193" spans="1:29" x14ac:dyDescent="0.25">
      <c r="A193">
        <v>15751</v>
      </c>
      <c r="B193" t="s">
        <v>14</v>
      </c>
      <c r="C193" t="s">
        <v>15</v>
      </c>
      <c r="D193" t="s">
        <v>16</v>
      </c>
      <c r="E193" t="s">
        <v>17</v>
      </c>
      <c r="F193" s="14">
        <v>46121</v>
      </c>
      <c r="G193">
        <v>1017197568</v>
      </c>
      <c r="H193" t="s">
        <v>432</v>
      </c>
      <c r="I193" t="s">
        <v>433</v>
      </c>
      <c r="J193" t="s">
        <v>20</v>
      </c>
      <c r="K193" t="s">
        <v>21</v>
      </c>
      <c r="L193" s="14">
        <v>46184</v>
      </c>
      <c r="M193">
        <v>63</v>
      </c>
      <c r="N193" t="s">
        <v>22</v>
      </c>
      <c r="O193" t="s">
        <v>22</v>
      </c>
      <c r="P193" s="14">
        <v>46094</v>
      </c>
      <c r="Q193" t="s">
        <v>23</v>
      </c>
      <c r="R193" s="7">
        <f>IFERROR(VLOOKUP(Tabla1[[#This Row],[Número de documento del contacto]],'Resoluciones 1 (Res)'!$A:$C,2,0),"")</f>
        <v>7700</v>
      </c>
      <c r="S193" s="11">
        <f>IFERROR(VLOOKUP(Tabla1[[#This Row],[Número de documento del contacto]],'Resoluciones 1 (Res)'!$A:$C,3,0),"")</f>
        <v>46184.606747685197</v>
      </c>
      <c r="T193" s="7" t="str">
        <f>IFERROR(VLOOKUP(Tabla1[[#This Row],[Número de documento del contacto]],'Resoluciones 2 (Req)'!$B:$E,3,0),"")</f>
        <v>12209</v>
      </c>
      <c r="U193" s="7" t="str">
        <f t="shared" si="9"/>
        <v>9 de abril de 2026</v>
      </c>
      <c r="V193" s="7" t="str">
        <f t="shared" si="10"/>
        <v>13 de marzo de 2026</v>
      </c>
      <c r="W193" s="8" t="str">
        <f>"1-" &amp; ROWS($W$2:W193) &amp; ".pdf"</f>
        <v>1-192.pdf</v>
      </c>
      <c r="X193" s="7" t="str">
        <f>Tabla1[[#This Row],[Número de documento del contacto]]&amp;"-"&amp;Tabla1[[#This Row],[Número de resolución de archivo]]&amp;".pdf"</f>
        <v>1017197568-7700.pdf</v>
      </c>
      <c r="Y193" s="7" t="str">
        <f t="shared" si="11"/>
        <v>ren "1-192.pdf" "1017197568-7700.pdf"</v>
      </c>
      <c r="Z193" s="7" t="str">
        <f>Tabla1[[#This Row],[Número de documento del contacto]]&amp;"_"&amp;Tabla1[[#This Row],[Número de resolución de archivo]]&amp;".pdf"</f>
        <v>1017197568_7700.pdf</v>
      </c>
      <c r="AA193" s="7" t="s">
        <v>49</v>
      </c>
      <c r="AB193" s="7" t="str">
        <f>Tabla1[[#This Row],[Nombre PDF / cedula + num resolucion]]&amp;";"&amp;Tabla1[[#This Row],[instructivo]]</f>
        <v>1017197568_7700.pdf;10. Instructivo_Radicar_Activación_Credencial_DIGITAL_SIRNA.pdf</v>
      </c>
      <c r="AC193" s="7" t="str">
        <f>Tabla1[[#This Row],[Número de resolución de archivo]]&amp;"_"&amp;Tabla1[[#This Row],[Número de documento del contacto]]</f>
        <v>7700_1017197568</v>
      </c>
    </row>
    <row r="194" spans="1:29" x14ac:dyDescent="0.25">
      <c r="A194">
        <v>16749</v>
      </c>
      <c r="B194" t="s">
        <v>14</v>
      </c>
      <c r="C194" t="s">
        <v>15</v>
      </c>
      <c r="D194" t="s">
        <v>16</v>
      </c>
      <c r="E194" t="s">
        <v>17</v>
      </c>
      <c r="F194" s="14">
        <v>46121</v>
      </c>
      <c r="G194">
        <v>1019073821</v>
      </c>
      <c r="H194" t="s">
        <v>434</v>
      </c>
      <c r="I194" t="s">
        <v>435</v>
      </c>
      <c r="J194" t="s">
        <v>20</v>
      </c>
      <c r="K194" t="s">
        <v>21</v>
      </c>
      <c r="L194" s="14">
        <v>46184</v>
      </c>
      <c r="M194">
        <v>63</v>
      </c>
      <c r="N194" t="s">
        <v>22</v>
      </c>
      <c r="O194" t="s">
        <v>22</v>
      </c>
      <c r="P194" s="14">
        <v>46100</v>
      </c>
      <c r="Q194" t="s">
        <v>23</v>
      </c>
      <c r="R194" s="7">
        <f>IFERROR(VLOOKUP(Tabla1[[#This Row],[Número de documento del contacto]],'Resoluciones 1 (Res)'!$A:$C,2,0),"")</f>
        <v>7742</v>
      </c>
      <c r="S194" s="11">
        <f>IFERROR(VLOOKUP(Tabla1[[#This Row],[Número de documento del contacto]],'Resoluciones 1 (Res)'!$A:$C,3,0),"")</f>
        <v>46184.606747685197</v>
      </c>
      <c r="T194" s="7" t="str">
        <f>IFERROR(VLOOKUP(Tabla1[[#This Row],[Número de documento del contacto]],'Resoluciones 2 (Req)'!$B:$E,3,0),"")</f>
        <v>12210</v>
      </c>
      <c r="U194" s="7" t="str">
        <f t="shared" si="9"/>
        <v>9 de abril de 2026</v>
      </c>
      <c r="V194" s="7" t="str">
        <f t="shared" si="10"/>
        <v>19 de marzo de 2026</v>
      </c>
      <c r="W194" s="8" t="str">
        <f>"1-" &amp; ROWS($W$2:W194) &amp; ".pdf"</f>
        <v>1-193.pdf</v>
      </c>
      <c r="X194" s="7" t="str">
        <f>Tabla1[[#This Row],[Número de documento del contacto]]&amp;"-"&amp;Tabla1[[#This Row],[Número de resolución de archivo]]&amp;".pdf"</f>
        <v>1019073821-7742.pdf</v>
      </c>
      <c r="Y194" s="7" t="str">
        <f t="shared" si="11"/>
        <v>ren "1-193.pdf" "1019073821-7742.pdf"</v>
      </c>
      <c r="Z194" s="7" t="str">
        <f>Tabla1[[#This Row],[Número de documento del contacto]]&amp;"_"&amp;Tabla1[[#This Row],[Número de resolución de archivo]]&amp;".pdf"</f>
        <v>1019073821_7742.pdf</v>
      </c>
      <c r="AA194" s="7" t="s">
        <v>49</v>
      </c>
      <c r="AB194" s="7" t="str">
        <f>Tabla1[[#This Row],[Nombre PDF / cedula + num resolucion]]&amp;";"&amp;Tabla1[[#This Row],[instructivo]]</f>
        <v>1019073821_7742.pdf;10. Instructivo_Radicar_Activación_Credencial_DIGITAL_SIRNA.pdf</v>
      </c>
      <c r="AC194" s="7" t="str">
        <f>Tabla1[[#This Row],[Número de resolución de archivo]]&amp;"_"&amp;Tabla1[[#This Row],[Número de documento del contacto]]</f>
        <v>7742_1019073821</v>
      </c>
    </row>
    <row r="195" spans="1:29" x14ac:dyDescent="0.25">
      <c r="A195">
        <v>16221</v>
      </c>
      <c r="B195" t="s">
        <v>14</v>
      </c>
      <c r="C195" t="s">
        <v>15</v>
      </c>
      <c r="D195" t="s">
        <v>16</v>
      </c>
      <c r="E195" t="s">
        <v>17</v>
      </c>
      <c r="F195" s="14">
        <v>46121</v>
      </c>
      <c r="G195">
        <v>1019104435</v>
      </c>
      <c r="H195" t="s">
        <v>436</v>
      </c>
      <c r="I195" t="s">
        <v>437</v>
      </c>
      <c r="J195" t="s">
        <v>20</v>
      </c>
      <c r="K195" t="s">
        <v>21</v>
      </c>
      <c r="L195" s="14">
        <v>46184</v>
      </c>
      <c r="M195">
        <v>63</v>
      </c>
      <c r="N195" t="s">
        <v>22</v>
      </c>
      <c r="O195" t="s">
        <v>22</v>
      </c>
      <c r="P195" s="14">
        <v>46098</v>
      </c>
      <c r="Q195" t="s">
        <v>23</v>
      </c>
      <c r="R195" s="7">
        <f>IFERROR(VLOOKUP(Tabla1[[#This Row],[Número de documento del contacto]],'Resoluciones 1 (Res)'!$A:$C,2,0),"")</f>
        <v>7717</v>
      </c>
      <c r="S195" s="11">
        <f>IFERROR(VLOOKUP(Tabla1[[#This Row],[Número de documento del contacto]],'Resoluciones 1 (Res)'!$A:$C,3,0),"")</f>
        <v>46184.606747685197</v>
      </c>
      <c r="T195" s="7" t="str">
        <f>IFERROR(VLOOKUP(Tabla1[[#This Row],[Número de documento del contacto]],'Resoluciones 2 (Req)'!$B:$E,3,0),"")</f>
        <v>12211</v>
      </c>
      <c r="U195" s="7" t="str">
        <f t="shared" si="9"/>
        <v>9 de abril de 2026</v>
      </c>
      <c r="V195" s="7" t="str">
        <f t="shared" si="10"/>
        <v>17 de marzo de 2026</v>
      </c>
      <c r="W195" s="8" t="str">
        <f>"1-" &amp; ROWS($W$2:W195) &amp; ".pdf"</f>
        <v>1-194.pdf</v>
      </c>
      <c r="X195" s="7" t="str">
        <f>Tabla1[[#This Row],[Número de documento del contacto]]&amp;"-"&amp;Tabla1[[#This Row],[Número de resolución de archivo]]&amp;".pdf"</f>
        <v>1019104435-7717.pdf</v>
      </c>
      <c r="Y195" s="7" t="str">
        <f t="shared" si="11"/>
        <v>ren "1-194.pdf" "1019104435-7717.pdf"</v>
      </c>
      <c r="Z195" s="7" t="str">
        <f>Tabla1[[#This Row],[Número de documento del contacto]]&amp;"_"&amp;Tabla1[[#This Row],[Número de resolución de archivo]]&amp;".pdf"</f>
        <v>1019104435_7717.pdf</v>
      </c>
      <c r="AA195" s="7" t="s">
        <v>49</v>
      </c>
      <c r="AB195" s="7" t="str">
        <f>Tabla1[[#This Row],[Nombre PDF / cedula + num resolucion]]&amp;";"&amp;Tabla1[[#This Row],[instructivo]]</f>
        <v>1019104435_7717.pdf;10. Instructivo_Radicar_Activación_Credencial_DIGITAL_SIRNA.pdf</v>
      </c>
      <c r="AC195" s="7" t="str">
        <f>Tabla1[[#This Row],[Número de resolución de archivo]]&amp;"_"&amp;Tabla1[[#This Row],[Número de documento del contacto]]</f>
        <v>7717_1019104435</v>
      </c>
    </row>
    <row r="196" spans="1:29" x14ac:dyDescent="0.25">
      <c r="A196">
        <v>16451</v>
      </c>
      <c r="B196" t="s">
        <v>14</v>
      </c>
      <c r="C196" t="s">
        <v>15</v>
      </c>
      <c r="D196" t="s">
        <v>16</v>
      </c>
      <c r="E196" t="s">
        <v>17</v>
      </c>
      <c r="F196" s="14">
        <v>46121</v>
      </c>
      <c r="G196">
        <v>1026285095</v>
      </c>
      <c r="H196" t="s">
        <v>438</v>
      </c>
      <c r="I196" t="s">
        <v>439</v>
      </c>
      <c r="J196" t="s">
        <v>20</v>
      </c>
      <c r="K196" t="s">
        <v>21</v>
      </c>
      <c r="L196" s="14">
        <v>46184</v>
      </c>
      <c r="M196">
        <v>63</v>
      </c>
      <c r="N196" t="s">
        <v>22</v>
      </c>
      <c r="O196" t="s">
        <v>22</v>
      </c>
      <c r="P196" s="14">
        <v>46099</v>
      </c>
      <c r="Q196" t="s">
        <v>23</v>
      </c>
      <c r="R196" s="7">
        <f>IFERROR(VLOOKUP(Tabla1[[#This Row],[Número de documento del contacto]],'Resoluciones 1 (Res)'!$A:$C,2,0),"")</f>
        <v>7464</v>
      </c>
      <c r="S196" s="11">
        <f>IFERROR(VLOOKUP(Tabla1[[#This Row],[Número de documento del contacto]],'Resoluciones 1 (Res)'!$A:$C,3,0),"")</f>
        <v>46184.606747685197</v>
      </c>
      <c r="T196" s="7" t="str">
        <f>IFERROR(VLOOKUP(Tabla1[[#This Row],[Número de documento del contacto]],'Resoluciones 2 (Req)'!$B:$E,3,0),"")</f>
        <v>12213</v>
      </c>
      <c r="U196" s="7" t="str">
        <f t="shared" si="9"/>
        <v>9 de abril de 2026</v>
      </c>
      <c r="V196" s="7" t="str">
        <f t="shared" si="10"/>
        <v>18 de marzo de 2026</v>
      </c>
      <c r="W196" s="8" t="str">
        <f>"1-" &amp; ROWS($W$2:W196) &amp; ".pdf"</f>
        <v>1-195.pdf</v>
      </c>
      <c r="X196" s="7" t="str">
        <f>Tabla1[[#This Row],[Número de documento del contacto]]&amp;"-"&amp;Tabla1[[#This Row],[Número de resolución de archivo]]&amp;".pdf"</f>
        <v>1026285095-7464.pdf</v>
      </c>
      <c r="Y196" s="7" t="str">
        <f t="shared" si="11"/>
        <v>ren "1-195.pdf" "1026285095-7464.pdf"</v>
      </c>
      <c r="Z196" s="7" t="str">
        <f>Tabla1[[#This Row],[Número de documento del contacto]]&amp;"_"&amp;Tabla1[[#This Row],[Número de resolución de archivo]]&amp;".pdf"</f>
        <v>1026285095_7464.pdf</v>
      </c>
      <c r="AA196" s="7" t="s">
        <v>49</v>
      </c>
      <c r="AB196" s="7" t="str">
        <f>Tabla1[[#This Row],[Nombre PDF / cedula + num resolucion]]&amp;";"&amp;Tabla1[[#This Row],[instructivo]]</f>
        <v>1026285095_7464.pdf;10. Instructivo_Radicar_Activación_Credencial_DIGITAL_SIRNA.pdf</v>
      </c>
      <c r="AC196" s="7" t="str">
        <f>Tabla1[[#This Row],[Número de resolución de archivo]]&amp;"_"&amp;Tabla1[[#This Row],[Número de documento del contacto]]</f>
        <v>7464_1026285095</v>
      </c>
    </row>
    <row r="197" spans="1:29" x14ac:dyDescent="0.25">
      <c r="A197">
        <v>16296</v>
      </c>
      <c r="B197" t="s">
        <v>14</v>
      </c>
      <c r="C197" t="s">
        <v>15</v>
      </c>
      <c r="D197" t="s">
        <v>16</v>
      </c>
      <c r="E197" t="s">
        <v>17</v>
      </c>
      <c r="F197" s="14">
        <v>46121</v>
      </c>
      <c r="G197">
        <v>1026591819</v>
      </c>
      <c r="H197" t="s">
        <v>440</v>
      </c>
      <c r="I197" t="s">
        <v>441</v>
      </c>
      <c r="J197" t="s">
        <v>20</v>
      </c>
      <c r="K197" t="s">
        <v>21</v>
      </c>
      <c r="L197" s="14">
        <v>46184</v>
      </c>
      <c r="M197">
        <v>63</v>
      </c>
      <c r="N197" t="s">
        <v>22</v>
      </c>
      <c r="O197" t="s">
        <v>22</v>
      </c>
      <c r="P197" s="14">
        <v>46098</v>
      </c>
      <c r="Q197" t="s">
        <v>23</v>
      </c>
      <c r="R197" s="7">
        <f>IFERROR(VLOOKUP(Tabla1[[#This Row],[Número de documento del contacto]],'Resoluciones 1 (Res)'!$A:$C,2,0),"")</f>
        <v>7653</v>
      </c>
      <c r="S197" s="11">
        <f>IFERROR(VLOOKUP(Tabla1[[#This Row],[Número de documento del contacto]],'Resoluciones 1 (Res)'!$A:$C,3,0),"")</f>
        <v>46184.606747685197</v>
      </c>
      <c r="T197" s="7" t="str">
        <f>IFERROR(VLOOKUP(Tabla1[[#This Row],[Número de documento del contacto]],'Resoluciones 2 (Req)'!$B:$E,3,0),"")</f>
        <v>12215</v>
      </c>
      <c r="U197" s="7" t="str">
        <f t="shared" si="9"/>
        <v>9 de abril de 2026</v>
      </c>
      <c r="V197" s="7" t="str">
        <f t="shared" si="10"/>
        <v>17 de marzo de 2026</v>
      </c>
      <c r="W197" s="8" t="str">
        <f>"1-" &amp; ROWS($W$2:W197) &amp; ".pdf"</f>
        <v>1-196.pdf</v>
      </c>
      <c r="X197" s="7" t="str">
        <f>Tabla1[[#This Row],[Número de documento del contacto]]&amp;"-"&amp;Tabla1[[#This Row],[Número de resolución de archivo]]&amp;".pdf"</f>
        <v>1026591819-7653.pdf</v>
      </c>
      <c r="Y197" s="7" t="str">
        <f t="shared" si="11"/>
        <v>ren "1-196.pdf" "1026591819-7653.pdf"</v>
      </c>
      <c r="Z197" s="7" t="str">
        <f>Tabla1[[#This Row],[Número de documento del contacto]]&amp;"_"&amp;Tabla1[[#This Row],[Número de resolución de archivo]]&amp;".pdf"</f>
        <v>1026591819_7653.pdf</v>
      </c>
      <c r="AA197" s="7" t="s">
        <v>49</v>
      </c>
      <c r="AB197" s="7" t="str">
        <f>Tabla1[[#This Row],[Nombre PDF / cedula + num resolucion]]&amp;";"&amp;Tabla1[[#This Row],[instructivo]]</f>
        <v>1026591819_7653.pdf;10. Instructivo_Radicar_Activación_Credencial_DIGITAL_SIRNA.pdf</v>
      </c>
      <c r="AC197" s="7" t="str">
        <f>Tabla1[[#This Row],[Número de resolución de archivo]]&amp;"_"&amp;Tabla1[[#This Row],[Número de documento del contacto]]</f>
        <v>7653_1026591819</v>
      </c>
    </row>
    <row r="198" spans="1:29" x14ac:dyDescent="0.25">
      <c r="A198">
        <v>16469</v>
      </c>
      <c r="B198" t="s">
        <v>14</v>
      </c>
      <c r="C198" t="s">
        <v>15</v>
      </c>
      <c r="D198" t="s">
        <v>16</v>
      </c>
      <c r="E198" t="s">
        <v>17</v>
      </c>
      <c r="F198" s="14">
        <v>46121</v>
      </c>
      <c r="G198">
        <v>1027957037</v>
      </c>
      <c r="H198" t="s">
        <v>442</v>
      </c>
      <c r="I198" t="s">
        <v>443</v>
      </c>
      <c r="J198" t="s">
        <v>20</v>
      </c>
      <c r="K198" t="s">
        <v>21</v>
      </c>
      <c r="L198" s="14">
        <v>46184</v>
      </c>
      <c r="M198">
        <v>63</v>
      </c>
      <c r="N198" t="s">
        <v>22</v>
      </c>
      <c r="O198" t="s">
        <v>22</v>
      </c>
      <c r="P198" s="14">
        <v>46099</v>
      </c>
      <c r="Q198" t="s">
        <v>23</v>
      </c>
      <c r="R198" s="7">
        <f>IFERROR(VLOOKUP(Tabla1[[#This Row],[Número de documento del contacto]],'Resoluciones 1 (Res)'!$A:$C,2,0),"")</f>
        <v>7522</v>
      </c>
      <c r="S198" s="11">
        <f>IFERROR(VLOOKUP(Tabla1[[#This Row],[Número de documento del contacto]],'Resoluciones 1 (Res)'!$A:$C,3,0),"")</f>
        <v>46184.606747685197</v>
      </c>
      <c r="T198" s="7" t="str">
        <f>IFERROR(VLOOKUP(Tabla1[[#This Row],[Número de documento del contacto]],'Resoluciones 2 (Req)'!$B:$E,3,0),"")</f>
        <v>12217</v>
      </c>
      <c r="U198" s="7" t="str">
        <f t="shared" si="9"/>
        <v>9 de abril de 2026</v>
      </c>
      <c r="V198" s="7" t="str">
        <f t="shared" si="10"/>
        <v>18 de marzo de 2026</v>
      </c>
      <c r="W198" s="8" t="str">
        <f>"1-" &amp; ROWS($W$2:W198) &amp; ".pdf"</f>
        <v>1-197.pdf</v>
      </c>
      <c r="X198" s="7" t="str">
        <f>Tabla1[[#This Row],[Número de documento del contacto]]&amp;"-"&amp;Tabla1[[#This Row],[Número de resolución de archivo]]&amp;".pdf"</f>
        <v>1027957037-7522.pdf</v>
      </c>
      <c r="Y198" s="7" t="str">
        <f t="shared" si="11"/>
        <v>ren "1-197.pdf" "1027957037-7522.pdf"</v>
      </c>
      <c r="Z198" s="7" t="str">
        <f>Tabla1[[#This Row],[Número de documento del contacto]]&amp;"_"&amp;Tabla1[[#This Row],[Número de resolución de archivo]]&amp;".pdf"</f>
        <v>1027957037_7522.pdf</v>
      </c>
      <c r="AA198" s="7" t="s">
        <v>49</v>
      </c>
      <c r="AB198" s="7" t="str">
        <f>Tabla1[[#This Row],[Nombre PDF / cedula + num resolucion]]&amp;";"&amp;Tabla1[[#This Row],[instructivo]]</f>
        <v>1027957037_7522.pdf;10. Instructivo_Radicar_Activación_Credencial_DIGITAL_SIRNA.pdf</v>
      </c>
      <c r="AC198" s="7" t="str">
        <f>Tabla1[[#This Row],[Número de resolución de archivo]]&amp;"_"&amp;Tabla1[[#This Row],[Número de documento del contacto]]</f>
        <v>7522_1027957037</v>
      </c>
    </row>
    <row r="199" spans="1:29" x14ac:dyDescent="0.25">
      <c r="A199">
        <v>15995</v>
      </c>
      <c r="B199" t="s">
        <v>14</v>
      </c>
      <c r="C199" t="s">
        <v>15</v>
      </c>
      <c r="D199" t="s">
        <v>16</v>
      </c>
      <c r="E199" t="s">
        <v>17</v>
      </c>
      <c r="F199" s="14">
        <v>46121</v>
      </c>
      <c r="G199">
        <v>1033712526</v>
      </c>
      <c r="H199" t="s">
        <v>444</v>
      </c>
      <c r="I199" t="s">
        <v>445</v>
      </c>
      <c r="J199" t="s">
        <v>20</v>
      </c>
      <c r="K199" t="s">
        <v>21</v>
      </c>
      <c r="L199" s="14">
        <v>46184</v>
      </c>
      <c r="M199">
        <v>63</v>
      </c>
      <c r="N199" t="s">
        <v>22</v>
      </c>
      <c r="O199" t="s">
        <v>22</v>
      </c>
      <c r="P199" s="14">
        <v>46097</v>
      </c>
      <c r="Q199" t="s">
        <v>23</v>
      </c>
      <c r="R199" s="7">
        <f>IFERROR(VLOOKUP(Tabla1[[#This Row],[Número de documento del contacto]],'Resoluciones 1 (Res)'!$A:$C,2,0),"")</f>
        <v>7574</v>
      </c>
      <c r="S199" s="11">
        <f>IFERROR(VLOOKUP(Tabla1[[#This Row],[Número de documento del contacto]],'Resoluciones 1 (Res)'!$A:$C,3,0),"")</f>
        <v>46184.606747685197</v>
      </c>
      <c r="T199" s="7" t="str">
        <f>IFERROR(VLOOKUP(Tabla1[[#This Row],[Número de documento del contacto]],'Resoluciones 2 (Req)'!$B:$E,3,0),"")</f>
        <v>12218</v>
      </c>
      <c r="U199" s="7" t="str">
        <f t="shared" si="9"/>
        <v>9 de abril de 2026</v>
      </c>
      <c r="V199" s="7" t="str">
        <f t="shared" si="10"/>
        <v>16 de marzo de 2026</v>
      </c>
      <c r="W199" s="8" t="str">
        <f>"1-" &amp; ROWS($W$2:W199) &amp; ".pdf"</f>
        <v>1-198.pdf</v>
      </c>
      <c r="X199" s="7" t="str">
        <f>Tabla1[[#This Row],[Número de documento del contacto]]&amp;"-"&amp;Tabla1[[#This Row],[Número de resolución de archivo]]&amp;".pdf"</f>
        <v>1033712526-7574.pdf</v>
      </c>
      <c r="Y199" s="7" t="str">
        <f t="shared" si="11"/>
        <v>ren "1-198.pdf" "1033712526-7574.pdf"</v>
      </c>
      <c r="Z199" s="7" t="str">
        <f>Tabla1[[#This Row],[Número de documento del contacto]]&amp;"_"&amp;Tabla1[[#This Row],[Número de resolución de archivo]]&amp;".pdf"</f>
        <v>1033712526_7574.pdf</v>
      </c>
      <c r="AA199" s="7" t="s">
        <v>49</v>
      </c>
      <c r="AB199" s="7" t="str">
        <f>Tabla1[[#This Row],[Nombre PDF / cedula + num resolucion]]&amp;";"&amp;Tabla1[[#This Row],[instructivo]]</f>
        <v>1033712526_7574.pdf;10. Instructivo_Radicar_Activación_Credencial_DIGITAL_SIRNA.pdf</v>
      </c>
      <c r="AC199" s="7" t="str">
        <f>Tabla1[[#This Row],[Número de resolución de archivo]]&amp;"_"&amp;Tabla1[[#This Row],[Número de documento del contacto]]</f>
        <v>7574_1033712526</v>
      </c>
    </row>
    <row r="200" spans="1:29" x14ac:dyDescent="0.25">
      <c r="A200">
        <v>16530</v>
      </c>
      <c r="B200" t="s">
        <v>14</v>
      </c>
      <c r="C200" t="s">
        <v>15</v>
      </c>
      <c r="D200" t="s">
        <v>16</v>
      </c>
      <c r="E200" t="s">
        <v>17</v>
      </c>
      <c r="F200" s="14">
        <v>46121</v>
      </c>
      <c r="G200">
        <v>1035871966</v>
      </c>
      <c r="H200" t="s">
        <v>446</v>
      </c>
      <c r="I200" t="s">
        <v>447</v>
      </c>
      <c r="J200" t="s">
        <v>20</v>
      </c>
      <c r="K200" t="s">
        <v>21</v>
      </c>
      <c r="L200" s="14">
        <v>46184</v>
      </c>
      <c r="M200">
        <v>63</v>
      </c>
      <c r="N200" t="s">
        <v>22</v>
      </c>
      <c r="O200" t="s">
        <v>22</v>
      </c>
      <c r="P200" s="14">
        <v>46099</v>
      </c>
      <c r="Q200" t="s">
        <v>23</v>
      </c>
      <c r="R200" s="7">
        <f>IFERROR(VLOOKUP(Tabla1[[#This Row],[Número de documento del contacto]],'Resoluciones 1 (Res)'!$A:$C,2,0),"")</f>
        <v>7512</v>
      </c>
      <c r="S200" s="11">
        <f>IFERROR(VLOOKUP(Tabla1[[#This Row],[Número de documento del contacto]],'Resoluciones 1 (Res)'!$A:$C,3,0),"")</f>
        <v>46184.606747685197</v>
      </c>
      <c r="T200" s="7" t="str">
        <f>IFERROR(VLOOKUP(Tabla1[[#This Row],[Número de documento del contacto]],'Resoluciones 2 (Req)'!$B:$E,3,0),"")</f>
        <v>12219</v>
      </c>
      <c r="U200" s="7" t="str">
        <f t="shared" si="9"/>
        <v>9 de abril de 2026</v>
      </c>
      <c r="V200" s="7" t="str">
        <f t="shared" si="10"/>
        <v>18 de marzo de 2026</v>
      </c>
      <c r="W200" s="8" t="str">
        <f>"1-" &amp; ROWS($W$2:W200) &amp; ".pdf"</f>
        <v>1-199.pdf</v>
      </c>
      <c r="X200" s="7" t="str">
        <f>Tabla1[[#This Row],[Número de documento del contacto]]&amp;"-"&amp;Tabla1[[#This Row],[Número de resolución de archivo]]&amp;".pdf"</f>
        <v>1035871966-7512.pdf</v>
      </c>
      <c r="Y200" s="7" t="str">
        <f t="shared" si="11"/>
        <v>ren "1-199.pdf" "1035871966-7512.pdf"</v>
      </c>
      <c r="Z200" s="7" t="str">
        <f>Tabla1[[#This Row],[Número de documento del contacto]]&amp;"_"&amp;Tabla1[[#This Row],[Número de resolución de archivo]]&amp;".pdf"</f>
        <v>1035871966_7512.pdf</v>
      </c>
      <c r="AA200" s="7" t="s">
        <v>49</v>
      </c>
      <c r="AB200" s="7" t="str">
        <f>Tabla1[[#This Row],[Nombre PDF / cedula + num resolucion]]&amp;";"&amp;Tabla1[[#This Row],[instructivo]]</f>
        <v>1035871966_7512.pdf;10. Instructivo_Radicar_Activación_Credencial_DIGITAL_SIRNA.pdf</v>
      </c>
      <c r="AC200" s="7" t="str">
        <f>Tabla1[[#This Row],[Número de resolución de archivo]]&amp;"_"&amp;Tabla1[[#This Row],[Número de documento del contacto]]</f>
        <v>7512_1035871966</v>
      </c>
    </row>
    <row r="201" spans="1:29" x14ac:dyDescent="0.25">
      <c r="A201">
        <v>16420</v>
      </c>
      <c r="B201" t="s">
        <v>14</v>
      </c>
      <c r="C201" t="s">
        <v>15</v>
      </c>
      <c r="D201" t="s">
        <v>16</v>
      </c>
      <c r="E201" t="s">
        <v>17</v>
      </c>
      <c r="F201" s="14">
        <v>46121</v>
      </c>
      <c r="G201">
        <v>1044429286</v>
      </c>
      <c r="H201" t="s">
        <v>448</v>
      </c>
      <c r="I201" t="s">
        <v>449</v>
      </c>
      <c r="J201" t="s">
        <v>20</v>
      </c>
      <c r="K201" t="s">
        <v>21</v>
      </c>
      <c r="L201" s="14">
        <v>46184</v>
      </c>
      <c r="M201">
        <v>63</v>
      </c>
      <c r="N201" t="s">
        <v>22</v>
      </c>
      <c r="O201" t="s">
        <v>22</v>
      </c>
      <c r="P201" s="14">
        <v>46099</v>
      </c>
      <c r="Q201" t="s">
        <v>23</v>
      </c>
      <c r="R201" s="7">
        <f>IFERROR(VLOOKUP(Tabla1[[#This Row],[Número de documento del contacto]],'Resoluciones 1 (Res)'!$A:$C,2,0),"")</f>
        <v>7458</v>
      </c>
      <c r="S201" s="11">
        <f>IFERROR(VLOOKUP(Tabla1[[#This Row],[Número de documento del contacto]],'Resoluciones 1 (Res)'!$A:$C,3,0),"")</f>
        <v>46184.606747685197</v>
      </c>
      <c r="T201" s="7" t="str">
        <f>IFERROR(VLOOKUP(Tabla1[[#This Row],[Número de documento del contacto]],'Resoluciones 2 (Req)'!$B:$E,3,0),"")</f>
        <v>12220</v>
      </c>
      <c r="U201" s="7" t="str">
        <f t="shared" si="9"/>
        <v>9 de abril de 2026</v>
      </c>
      <c r="V201" s="7" t="str">
        <f t="shared" si="10"/>
        <v>18 de marzo de 2026</v>
      </c>
      <c r="W201" s="8" t="str">
        <f>"1-" &amp; ROWS($W$2:W201) &amp; ".pdf"</f>
        <v>1-200.pdf</v>
      </c>
      <c r="X201" s="7" t="str">
        <f>Tabla1[[#This Row],[Número de documento del contacto]]&amp;"-"&amp;Tabla1[[#This Row],[Número de resolución de archivo]]&amp;".pdf"</f>
        <v>1044429286-7458.pdf</v>
      </c>
      <c r="Y201" s="7" t="str">
        <f t="shared" si="11"/>
        <v>ren "1-200.pdf" "1044429286-7458.pdf"</v>
      </c>
      <c r="Z201" s="7" t="str">
        <f>Tabla1[[#This Row],[Número de documento del contacto]]&amp;"_"&amp;Tabla1[[#This Row],[Número de resolución de archivo]]&amp;".pdf"</f>
        <v>1044429286_7458.pdf</v>
      </c>
      <c r="AA201" s="7" t="s">
        <v>49</v>
      </c>
      <c r="AB201" s="7" t="str">
        <f>Tabla1[[#This Row],[Nombre PDF / cedula + num resolucion]]&amp;";"&amp;Tabla1[[#This Row],[instructivo]]</f>
        <v>1044429286_7458.pdf;10. Instructivo_Radicar_Activación_Credencial_DIGITAL_SIRNA.pdf</v>
      </c>
      <c r="AC201" s="7" t="str">
        <f>Tabla1[[#This Row],[Número de resolución de archivo]]&amp;"_"&amp;Tabla1[[#This Row],[Número de documento del contacto]]</f>
        <v>7458_1044429286</v>
      </c>
    </row>
    <row r="202" spans="1:29" x14ac:dyDescent="0.25">
      <c r="A202">
        <v>15933</v>
      </c>
      <c r="B202" t="s">
        <v>14</v>
      </c>
      <c r="C202" t="s">
        <v>15</v>
      </c>
      <c r="D202" t="s">
        <v>16</v>
      </c>
      <c r="E202" t="s">
        <v>17</v>
      </c>
      <c r="F202" s="14">
        <v>46121</v>
      </c>
      <c r="G202">
        <v>1047336886</v>
      </c>
      <c r="H202" t="s">
        <v>450</v>
      </c>
      <c r="I202" t="s">
        <v>451</v>
      </c>
      <c r="J202" t="s">
        <v>20</v>
      </c>
      <c r="K202" t="s">
        <v>21</v>
      </c>
      <c r="L202" s="14">
        <v>46184</v>
      </c>
      <c r="M202">
        <v>63</v>
      </c>
      <c r="N202" t="s">
        <v>22</v>
      </c>
      <c r="O202" t="s">
        <v>22</v>
      </c>
      <c r="P202" s="14">
        <v>46097</v>
      </c>
      <c r="Q202" t="s">
        <v>23</v>
      </c>
      <c r="R202" s="7">
        <f>IFERROR(VLOOKUP(Tabla1[[#This Row],[Número de documento del contacto]],'Resoluciones 1 (Res)'!$A:$C,2,0),"")</f>
        <v>7730</v>
      </c>
      <c r="S202" s="11">
        <f>IFERROR(VLOOKUP(Tabla1[[#This Row],[Número de documento del contacto]],'Resoluciones 1 (Res)'!$A:$C,3,0),"")</f>
        <v>46184.606747685197</v>
      </c>
      <c r="T202" s="7" t="str">
        <f>IFERROR(VLOOKUP(Tabla1[[#This Row],[Número de documento del contacto]],'Resoluciones 2 (Req)'!$B:$E,3,0),"")</f>
        <v>12221</v>
      </c>
      <c r="U202" s="7" t="str">
        <f t="shared" ref="U202:U265" si="12">TEXT(F202, "d ""de"" mmmm ""de"" yyyy")</f>
        <v>9 de abril de 2026</v>
      </c>
      <c r="V202" s="7" t="str">
        <f t="shared" ref="V202:V265" si="13">TEXT(P202, "d ""de"" mmmm ""de"" yyyy")</f>
        <v>16 de marzo de 2026</v>
      </c>
      <c r="W202" s="8" t="str">
        <f>"1-" &amp; ROWS($W$2:W202) &amp; ".pdf"</f>
        <v>1-201.pdf</v>
      </c>
      <c r="X202" s="7" t="str">
        <f>Tabla1[[#This Row],[Número de documento del contacto]]&amp;"-"&amp;Tabla1[[#This Row],[Número de resolución de archivo]]&amp;".pdf"</f>
        <v>1047336886-7730.pdf</v>
      </c>
      <c r="Y202" s="7" t="str">
        <f t="shared" ref="Y202:Y265" si="14">"ren """ &amp; W202 &amp; """ """ &amp; X202 &amp; """"</f>
        <v>ren "1-201.pdf" "1047336886-7730.pdf"</v>
      </c>
      <c r="Z202" s="7" t="str">
        <f>Tabla1[[#This Row],[Número de documento del contacto]]&amp;"_"&amp;Tabla1[[#This Row],[Número de resolución de archivo]]&amp;".pdf"</f>
        <v>1047336886_7730.pdf</v>
      </c>
      <c r="AA202" s="7" t="s">
        <v>49</v>
      </c>
      <c r="AB202" s="7" t="str">
        <f>Tabla1[[#This Row],[Nombre PDF / cedula + num resolucion]]&amp;";"&amp;Tabla1[[#This Row],[instructivo]]</f>
        <v>1047336886_7730.pdf;10. Instructivo_Radicar_Activación_Credencial_DIGITAL_SIRNA.pdf</v>
      </c>
      <c r="AC202" s="7" t="str">
        <f>Tabla1[[#This Row],[Número de resolución de archivo]]&amp;"_"&amp;Tabla1[[#This Row],[Número de documento del contacto]]</f>
        <v>7730_1047336886</v>
      </c>
    </row>
    <row r="203" spans="1:29" x14ac:dyDescent="0.25">
      <c r="A203">
        <v>15742</v>
      </c>
      <c r="B203" t="s">
        <v>14</v>
      </c>
      <c r="C203" t="s">
        <v>15</v>
      </c>
      <c r="D203" t="s">
        <v>16</v>
      </c>
      <c r="E203" t="s">
        <v>17</v>
      </c>
      <c r="F203" s="14">
        <v>46121</v>
      </c>
      <c r="G203">
        <v>1053791580</v>
      </c>
      <c r="H203" t="s">
        <v>452</v>
      </c>
      <c r="I203" t="s">
        <v>453</v>
      </c>
      <c r="J203" t="s">
        <v>20</v>
      </c>
      <c r="K203" t="s">
        <v>21</v>
      </c>
      <c r="L203" s="14">
        <v>46184</v>
      </c>
      <c r="M203">
        <v>63</v>
      </c>
      <c r="N203" t="s">
        <v>22</v>
      </c>
      <c r="O203" t="s">
        <v>22</v>
      </c>
      <c r="P203" s="14">
        <v>46094</v>
      </c>
      <c r="Q203" t="s">
        <v>23</v>
      </c>
      <c r="R203" s="7">
        <f>IFERROR(VLOOKUP(Tabla1[[#This Row],[Número de documento del contacto]],'Resoluciones 1 (Res)'!$A:$C,2,0),"")</f>
        <v>7554</v>
      </c>
      <c r="S203" s="11">
        <f>IFERROR(VLOOKUP(Tabla1[[#This Row],[Número de documento del contacto]],'Resoluciones 1 (Res)'!$A:$C,3,0),"")</f>
        <v>46184.606747685197</v>
      </c>
      <c r="T203" s="7" t="str">
        <f>IFERROR(VLOOKUP(Tabla1[[#This Row],[Número de documento del contacto]],'Resoluciones 2 (Req)'!$B:$E,3,0),"")</f>
        <v>12222</v>
      </c>
      <c r="U203" s="7" t="str">
        <f t="shared" si="12"/>
        <v>9 de abril de 2026</v>
      </c>
      <c r="V203" s="7" t="str">
        <f t="shared" si="13"/>
        <v>13 de marzo de 2026</v>
      </c>
      <c r="W203" s="8" t="str">
        <f>"1-" &amp; ROWS($W$2:W203) &amp; ".pdf"</f>
        <v>1-202.pdf</v>
      </c>
      <c r="X203" s="7" t="str">
        <f>Tabla1[[#This Row],[Número de documento del contacto]]&amp;"-"&amp;Tabla1[[#This Row],[Número de resolución de archivo]]&amp;".pdf"</f>
        <v>1053791580-7554.pdf</v>
      </c>
      <c r="Y203" s="7" t="str">
        <f t="shared" si="14"/>
        <v>ren "1-202.pdf" "1053791580-7554.pdf"</v>
      </c>
      <c r="Z203" s="7" t="str">
        <f>Tabla1[[#This Row],[Número de documento del contacto]]&amp;"_"&amp;Tabla1[[#This Row],[Número de resolución de archivo]]&amp;".pdf"</f>
        <v>1053791580_7554.pdf</v>
      </c>
      <c r="AA203" s="7" t="s">
        <v>49</v>
      </c>
      <c r="AB203" s="7" t="str">
        <f>Tabla1[[#This Row],[Nombre PDF / cedula + num resolucion]]&amp;";"&amp;Tabla1[[#This Row],[instructivo]]</f>
        <v>1053791580_7554.pdf;10. Instructivo_Radicar_Activación_Credencial_DIGITAL_SIRNA.pdf</v>
      </c>
      <c r="AC203" s="7" t="str">
        <f>Tabla1[[#This Row],[Número de resolución de archivo]]&amp;"_"&amp;Tabla1[[#This Row],[Número de documento del contacto]]</f>
        <v>7554_1053791580</v>
      </c>
    </row>
    <row r="204" spans="1:29" x14ac:dyDescent="0.25">
      <c r="A204">
        <v>16481</v>
      </c>
      <c r="B204" t="s">
        <v>14</v>
      </c>
      <c r="C204" t="s">
        <v>15</v>
      </c>
      <c r="D204" t="s">
        <v>16</v>
      </c>
      <c r="E204" t="s">
        <v>17</v>
      </c>
      <c r="F204" s="14">
        <v>46121</v>
      </c>
      <c r="G204">
        <v>1060654128</v>
      </c>
      <c r="H204" t="s">
        <v>454</v>
      </c>
      <c r="I204" t="s">
        <v>455</v>
      </c>
      <c r="J204" t="s">
        <v>20</v>
      </c>
      <c r="K204" t="s">
        <v>21</v>
      </c>
      <c r="L204" s="14">
        <v>46184</v>
      </c>
      <c r="M204">
        <v>63</v>
      </c>
      <c r="N204" t="s">
        <v>22</v>
      </c>
      <c r="O204" t="s">
        <v>22</v>
      </c>
      <c r="P204" s="14">
        <v>46099</v>
      </c>
      <c r="Q204" t="s">
        <v>23</v>
      </c>
      <c r="R204" s="7">
        <f>IFERROR(VLOOKUP(Tabla1[[#This Row],[Número de documento del contacto]],'Resoluciones 1 (Res)'!$A:$C,2,0),"")</f>
        <v>7507</v>
      </c>
      <c r="S204" s="11">
        <f>IFERROR(VLOOKUP(Tabla1[[#This Row],[Número de documento del contacto]],'Resoluciones 1 (Res)'!$A:$C,3,0),"")</f>
        <v>46184.606747685197</v>
      </c>
      <c r="T204" s="7" t="str">
        <f>IFERROR(VLOOKUP(Tabla1[[#This Row],[Número de documento del contacto]],'Resoluciones 2 (Req)'!$B:$E,3,0),"")</f>
        <v>12226</v>
      </c>
      <c r="U204" s="7" t="str">
        <f t="shared" si="12"/>
        <v>9 de abril de 2026</v>
      </c>
      <c r="V204" s="7" t="str">
        <f t="shared" si="13"/>
        <v>18 de marzo de 2026</v>
      </c>
      <c r="W204" s="8" t="str">
        <f>"1-" &amp; ROWS($W$2:W204) &amp; ".pdf"</f>
        <v>1-203.pdf</v>
      </c>
      <c r="X204" s="7" t="str">
        <f>Tabla1[[#This Row],[Número de documento del contacto]]&amp;"-"&amp;Tabla1[[#This Row],[Número de resolución de archivo]]&amp;".pdf"</f>
        <v>1060654128-7507.pdf</v>
      </c>
      <c r="Y204" s="7" t="str">
        <f t="shared" si="14"/>
        <v>ren "1-203.pdf" "1060654128-7507.pdf"</v>
      </c>
      <c r="Z204" s="7" t="str">
        <f>Tabla1[[#This Row],[Número de documento del contacto]]&amp;"_"&amp;Tabla1[[#This Row],[Número de resolución de archivo]]&amp;".pdf"</f>
        <v>1060654128_7507.pdf</v>
      </c>
      <c r="AA204" s="7" t="s">
        <v>49</v>
      </c>
      <c r="AB204" s="7" t="str">
        <f>Tabla1[[#This Row],[Nombre PDF / cedula + num resolucion]]&amp;";"&amp;Tabla1[[#This Row],[instructivo]]</f>
        <v>1060654128_7507.pdf;10. Instructivo_Radicar_Activación_Credencial_DIGITAL_SIRNA.pdf</v>
      </c>
      <c r="AC204" s="7" t="str">
        <f>Tabla1[[#This Row],[Número de resolución de archivo]]&amp;"_"&amp;Tabla1[[#This Row],[Número de documento del contacto]]</f>
        <v>7507_1060654128</v>
      </c>
    </row>
    <row r="205" spans="1:29" x14ac:dyDescent="0.25">
      <c r="A205">
        <v>16326</v>
      </c>
      <c r="B205" t="s">
        <v>14</v>
      </c>
      <c r="C205" t="s">
        <v>15</v>
      </c>
      <c r="D205" t="s">
        <v>16</v>
      </c>
      <c r="E205" t="s">
        <v>17</v>
      </c>
      <c r="F205" s="14">
        <v>46121</v>
      </c>
      <c r="G205">
        <v>1061686941</v>
      </c>
      <c r="H205" t="s">
        <v>456</v>
      </c>
      <c r="I205" t="s">
        <v>457</v>
      </c>
      <c r="J205" t="s">
        <v>20</v>
      </c>
      <c r="K205" t="s">
        <v>21</v>
      </c>
      <c r="L205" s="14">
        <v>46184</v>
      </c>
      <c r="M205">
        <v>63</v>
      </c>
      <c r="N205" t="s">
        <v>22</v>
      </c>
      <c r="O205" t="s">
        <v>22</v>
      </c>
      <c r="P205" s="14">
        <v>46098</v>
      </c>
      <c r="Q205" t="s">
        <v>23</v>
      </c>
      <c r="R205" s="7">
        <f>IFERROR(VLOOKUP(Tabla1[[#This Row],[Número de documento del contacto]],'Resoluciones 1 (Res)'!$A:$C,2,0),"")</f>
        <v>7449</v>
      </c>
      <c r="S205" s="11">
        <f>IFERROR(VLOOKUP(Tabla1[[#This Row],[Número de documento del contacto]],'Resoluciones 1 (Res)'!$A:$C,3,0),"")</f>
        <v>46184.606747685197</v>
      </c>
      <c r="T205" s="7" t="str">
        <f>IFERROR(VLOOKUP(Tabla1[[#This Row],[Número de documento del contacto]],'Resoluciones 2 (Req)'!$B:$E,3,0),"")</f>
        <v>12227</v>
      </c>
      <c r="U205" s="7" t="str">
        <f t="shared" si="12"/>
        <v>9 de abril de 2026</v>
      </c>
      <c r="V205" s="7" t="str">
        <f t="shared" si="13"/>
        <v>17 de marzo de 2026</v>
      </c>
      <c r="W205" s="8" t="str">
        <f>"1-" &amp; ROWS($W$2:W205) &amp; ".pdf"</f>
        <v>1-204.pdf</v>
      </c>
      <c r="X205" s="7" t="str">
        <f>Tabla1[[#This Row],[Número de documento del contacto]]&amp;"-"&amp;Tabla1[[#This Row],[Número de resolución de archivo]]&amp;".pdf"</f>
        <v>1061686941-7449.pdf</v>
      </c>
      <c r="Y205" s="7" t="str">
        <f t="shared" si="14"/>
        <v>ren "1-204.pdf" "1061686941-7449.pdf"</v>
      </c>
      <c r="Z205" s="7" t="str">
        <f>Tabla1[[#This Row],[Número de documento del contacto]]&amp;"_"&amp;Tabla1[[#This Row],[Número de resolución de archivo]]&amp;".pdf"</f>
        <v>1061686941_7449.pdf</v>
      </c>
      <c r="AA205" s="7" t="s">
        <v>49</v>
      </c>
      <c r="AB205" s="7" t="str">
        <f>Tabla1[[#This Row],[Nombre PDF / cedula + num resolucion]]&amp;";"&amp;Tabla1[[#This Row],[instructivo]]</f>
        <v>1061686941_7449.pdf;10. Instructivo_Radicar_Activación_Credencial_DIGITAL_SIRNA.pdf</v>
      </c>
      <c r="AC205" s="7" t="str">
        <f>Tabla1[[#This Row],[Número de resolución de archivo]]&amp;"_"&amp;Tabla1[[#This Row],[Número de documento del contacto]]</f>
        <v>7449_1061686941</v>
      </c>
    </row>
    <row r="206" spans="1:29" x14ac:dyDescent="0.25">
      <c r="A206">
        <v>16190</v>
      </c>
      <c r="B206" t="s">
        <v>14</v>
      </c>
      <c r="C206" t="s">
        <v>15</v>
      </c>
      <c r="D206" t="s">
        <v>16</v>
      </c>
      <c r="E206" t="s">
        <v>17</v>
      </c>
      <c r="F206" s="14">
        <v>46121</v>
      </c>
      <c r="G206">
        <v>1072421043</v>
      </c>
      <c r="H206" t="s">
        <v>458</v>
      </c>
      <c r="I206" t="s">
        <v>459</v>
      </c>
      <c r="J206" t="s">
        <v>20</v>
      </c>
      <c r="K206" t="s">
        <v>21</v>
      </c>
      <c r="L206" s="14">
        <v>46184</v>
      </c>
      <c r="M206">
        <v>63</v>
      </c>
      <c r="N206" t="s">
        <v>22</v>
      </c>
      <c r="O206" t="s">
        <v>22</v>
      </c>
      <c r="P206" s="14">
        <v>46098</v>
      </c>
      <c r="Q206" t="s">
        <v>23</v>
      </c>
      <c r="R206" s="7">
        <f>IFERROR(VLOOKUP(Tabla1[[#This Row],[Número de documento del contacto]],'Resoluciones 1 (Res)'!$A:$C,2,0),"")</f>
        <v>7642</v>
      </c>
      <c r="S206" s="11">
        <f>IFERROR(VLOOKUP(Tabla1[[#This Row],[Número de documento del contacto]],'Resoluciones 1 (Res)'!$A:$C,3,0),"")</f>
        <v>46184.606747685197</v>
      </c>
      <c r="T206" s="7" t="str">
        <f>IFERROR(VLOOKUP(Tabla1[[#This Row],[Número de documento del contacto]],'Resoluciones 2 (Req)'!$B:$E,3,0),"")</f>
        <v>12230</v>
      </c>
      <c r="U206" s="7" t="str">
        <f t="shared" si="12"/>
        <v>9 de abril de 2026</v>
      </c>
      <c r="V206" s="7" t="str">
        <f t="shared" si="13"/>
        <v>17 de marzo de 2026</v>
      </c>
      <c r="W206" s="8" t="str">
        <f>"1-" &amp; ROWS($W$2:W206) &amp; ".pdf"</f>
        <v>1-205.pdf</v>
      </c>
      <c r="X206" s="7" t="str">
        <f>Tabla1[[#This Row],[Número de documento del contacto]]&amp;"-"&amp;Tabla1[[#This Row],[Número de resolución de archivo]]&amp;".pdf"</f>
        <v>1072421043-7642.pdf</v>
      </c>
      <c r="Y206" s="7" t="str">
        <f t="shared" si="14"/>
        <v>ren "1-205.pdf" "1072421043-7642.pdf"</v>
      </c>
      <c r="Z206" s="7" t="str">
        <f>Tabla1[[#This Row],[Número de documento del contacto]]&amp;"_"&amp;Tabla1[[#This Row],[Número de resolución de archivo]]&amp;".pdf"</f>
        <v>1072421043_7642.pdf</v>
      </c>
      <c r="AA206" s="7" t="s">
        <v>49</v>
      </c>
      <c r="AB206" s="7" t="str">
        <f>Tabla1[[#This Row],[Nombre PDF / cedula + num resolucion]]&amp;";"&amp;Tabla1[[#This Row],[instructivo]]</f>
        <v>1072421043_7642.pdf;10. Instructivo_Radicar_Activación_Credencial_DIGITAL_SIRNA.pdf</v>
      </c>
      <c r="AC206" s="7" t="str">
        <f>Tabla1[[#This Row],[Número de resolución de archivo]]&amp;"_"&amp;Tabla1[[#This Row],[Número de documento del contacto]]</f>
        <v>7642_1072421043</v>
      </c>
    </row>
    <row r="207" spans="1:29" x14ac:dyDescent="0.25">
      <c r="A207">
        <v>16287</v>
      </c>
      <c r="B207" t="s">
        <v>14</v>
      </c>
      <c r="C207" t="s">
        <v>15</v>
      </c>
      <c r="D207" t="s">
        <v>16</v>
      </c>
      <c r="E207" t="s">
        <v>17</v>
      </c>
      <c r="F207" s="14">
        <v>46121</v>
      </c>
      <c r="G207">
        <v>1073678266</v>
      </c>
      <c r="H207" t="s">
        <v>460</v>
      </c>
      <c r="I207" t="s">
        <v>461</v>
      </c>
      <c r="J207" t="s">
        <v>20</v>
      </c>
      <c r="K207" t="s">
        <v>21</v>
      </c>
      <c r="L207" s="14">
        <v>46184</v>
      </c>
      <c r="M207">
        <v>63</v>
      </c>
      <c r="N207" t="s">
        <v>22</v>
      </c>
      <c r="O207" t="s">
        <v>22</v>
      </c>
      <c r="P207" s="14">
        <v>46098</v>
      </c>
      <c r="Q207" t="s">
        <v>23</v>
      </c>
      <c r="R207" s="7">
        <f>IFERROR(VLOOKUP(Tabla1[[#This Row],[Número de documento del contacto]],'Resoluciones 1 (Res)'!$A:$C,2,0),"")</f>
        <v>7595</v>
      </c>
      <c r="S207" s="11">
        <f>IFERROR(VLOOKUP(Tabla1[[#This Row],[Número de documento del contacto]],'Resoluciones 1 (Res)'!$A:$C,3,0),"")</f>
        <v>46184.606747685197</v>
      </c>
      <c r="T207" s="7" t="str">
        <f>IFERROR(VLOOKUP(Tabla1[[#This Row],[Número de documento del contacto]],'Resoluciones 2 (Req)'!$B:$E,3,0),"")</f>
        <v>12231</v>
      </c>
      <c r="U207" s="7" t="str">
        <f t="shared" si="12"/>
        <v>9 de abril de 2026</v>
      </c>
      <c r="V207" s="7" t="str">
        <f t="shared" si="13"/>
        <v>17 de marzo de 2026</v>
      </c>
      <c r="W207" s="8" t="str">
        <f>"1-" &amp; ROWS($W$2:W207) &amp; ".pdf"</f>
        <v>1-206.pdf</v>
      </c>
      <c r="X207" s="7" t="str">
        <f>Tabla1[[#This Row],[Número de documento del contacto]]&amp;"-"&amp;Tabla1[[#This Row],[Número de resolución de archivo]]&amp;".pdf"</f>
        <v>1073678266-7595.pdf</v>
      </c>
      <c r="Y207" s="7" t="str">
        <f t="shared" si="14"/>
        <v>ren "1-206.pdf" "1073678266-7595.pdf"</v>
      </c>
      <c r="Z207" s="7" t="str">
        <f>Tabla1[[#This Row],[Número de documento del contacto]]&amp;"_"&amp;Tabla1[[#This Row],[Número de resolución de archivo]]&amp;".pdf"</f>
        <v>1073678266_7595.pdf</v>
      </c>
      <c r="AA207" s="7" t="s">
        <v>49</v>
      </c>
      <c r="AB207" s="7" t="str">
        <f>Tabla1[[#This Row],[Nombre PDF / cedula + num resolucion]]&amp;";"&amp;Tabla1[[#This Row],[instructivo]]</f>
        <v>1073678266_7595.pdf;10. Instructivo_Radicar_Activación_Credencial_DIGITAL_SIRNA.pdf</v>
      </c>
      <c r="AC207" s="7" t="str">
        <f>Tabla1[[#This Row],[Número de resolución de archivo]]&amp;"_"&amp;Tabla1[[#This Row],[Número de documento del contacto]]</f>
        <v>7595_1073678266</v>
      </c>
    </row>
    <row r="208" spans="1:29" x14ac:dyDescent="0.25">
      <c r="A208">
        <v>16194</v>
      </c>
      <c r="B208" t="s">
        <v>14</v>
      </c>
      <c r="C208" t="s">
        <v>15</v>
      </c>
      <c r="D208" t="s">
        <v>16</v>
      </c>
      <c r="E208" t="s">
        <v>17</v>
      </c>
      <c r="F208" s="14">
        <v>46121</v>
      </c>
      <c r="G208">
        <v>1075661528</v>
      </c>
      <c r="H208" t="s">
        <v>462</v>
      </c>
      <c r="I208" t="s">
        <v>463</v>
      </c>
      <c r="J208" t="s">
        <v>20</v>
      </c>
      <c r="K208" t="s">
        <v>21</v>
      </c>
      <c r="L208" s="14">
        <v>46184</v>
      </c>
      <c r="M208">
        <v>63</v>
      </c>
      <c r="N208" t="s">
        <v>22</v>
      </c>
      <c r="O208" t="s">
        <v>22</v>
      </c>
      <c r="P208" s="14">
        <v>46098</v>
      </c>
      <c r="Q208" t="s">
        <v>23</v>
      </c>
      <c r="R208" s="7">
        <f>IFERROR(VLOOKUP(Tabla1[[#This Row],[Número de documento del contacto]],'Resoluciones 1 (Res)'!$A:$C,2,0),"")</f>
        <v>7534</v>
      </c>
      <c r="S208" s="11">
        <f>IFERROR(VLOOKUP(Tabla1[[#This Row],[Número de documento del contacto]],'Resoluciones 1 (Res)'!$A:$C,3,0),"")</f>
        <v>46184.606747685197</v>
      </c>
      <c r="T208" s="7" t="str">
        <f>IFERROR(VLOOKUP(Tabla1[[#This Row],[Número de documento del contacto]],'Resoluciones 2 (Req)'!$B:$E,3,0),"")</f>
        <v>12233</v>
      </c>
      <c r="U208" s="7" t="str">
        <f t="shared" si="12"/>
        <v>9 de abril de 2026</v>
      </c>
      <c r="V208" s="7" t="str">
        <f t="shared" si="13"/>
        <v>17 de marzo de 2026</v>
      </c>
      <c r="W208" s="8" t="str">
        <f>"1-" &amp; ROWS($W$2:W208) &amp; ".pdf"</f>
        <v>1-207.pdf</v>
      </c>
      <c r="X208" s="7" t="str">
        <f>Tabla1[[#This Row],[Número de documento del contacto]]&amp;"-"&amp;Tabla1[[#This Row],[Número de resolución de archivo]]&amp;".pdf"</f>
        <v>1075661528-7534.pdf</v>
      </c>
      <c r="Y208" s="7" t="str">
        <f t="shared" si="14"/>
        <v>ren "1-207.pdf" "1075661528-7534.pdf"</v>
      </c>
      <c r="Z208" s="7" t="str">
        <f>Tabla1[[#This Row],[Número de documento del contacto]]&amp;"_"&amp;Tabla1[[#This Row],[Número de resolución de archivo]]&amp;".pdf"</f>
        <v>1075661528_7534.pdf</v>
      </c>
      <c r="AA208" s="7" t="s">
        <v>49</v>
      </c>
      <c r="AB208" s="7" t="str">
        <f>Tabla1[[#This Row],[Nombre PDF / cedula + num resolucion]]&amp;";"&amp;Tabla1[[#This Row],[instructivo]]</f>
        <v>1075661528_7534.pdf;10. Instructivo_Radicar_Activación_Credencial_DIGITAL_SIRNA.pdf</v>
      </c>
      <c r="AC208" s="7" t="str">
        <f>Tabla1[[#This Row],[Número de resolución de archivo]]&amp;"_"&amp;Tabla1[[#This Row],[Número de documento del contacto]]</f>
        <v>7534_1075661528</v>
      </c>
    </row>
    <row r="209" spans="1:29" x14ac:dyDescent="0.25">
      <c r="A209">
        <v>16682</v>
      </c>
      <c r="B209" t="s">
        <v>14</v>
      </c>
      <c r="C209" t="s">
        <v>15</v>
      </c>
      <c r="D209" t="s">
        <v>16</v>
      </c>
      <c r="E209" t="s">
        <v>17</v>
      </c>
      <c r="F209" s="14">
        <v>46121</v>
      </c>
      <c r="G209">
        <v>1082967936</v>
      </c>
      <c r="H209" t="s">
        <v>464</v>
      </c>
      <c r="I209" t="s">
        <v>465</v>
      </c>
      <c r="J209" t="s">
        <v>20</v>
      </c>
      <c r="K209" t="s">
        <v>21</v>
      </c>
      <c r="L209" s="14">
        <v>46184</v>
      </c>
      <c r="M209">
        <v>63</v>
      </c>
      <c r="N209" t="s">
        <v>22</v>
      </c>
      <c r="O209" t="s">
        <v>22</v>
      </c>
      <c r="P209" s="14">
        <v>46100</v>
      </c>
      <c r="Q209" t="s">
        <v>23</v>
      </c>
      <c r="R209" s="7">
        <f>IFERROR(VLOOKUP(Tabla1[[#This Row],[Número de documento del contacto]],'Resoluciones 1 (Res)'!$A:$C,2,0),"")</f>
        <v>7631</v>
      </c>
      <c r="S209" s="11">
        <f>IFERROR(VLOOKUP(Tabla1[[#This Row],[Número de documento del contacto]],'Resoluciones 1 (Res)'!$A:$C,3,0),"")</f>
        <v>46184.606747685197</v>
      </c>
      <c r="T209" s="7" t="str">
        <f>IFERROR(VLOOKUP(Tabla1[[#This Row],[Número de documento del contacto]],'Resoluciones 2 (Req)'!$B:$E,3,0),"")</f>
        <v>12234</v>
      </c>
      <c r="U209" s="7" t="str">
        <f t="shared" si="12"/>
        <v>9 de abril de 2026</v>
      </c>
      <c r="V209" s="7" t="str">
        <f t="shared" si="13"/>
        <v>19 de marzo de 2026</v>
      </c>
      <c r="W209" s="8" t="str">
        <f>"1-" &amp; ROWS($W$2:W209) &amp; ".pdf"</f>
        <v>1-208.pdf</v>
      </c>
      <c r="X209" s="7" t="str">
        <f>Tabla1[[#This Row],[Número de documento del contacto]]&amp;"-"&amp;Tabla1[[#This Row],[Número de resolución de archivo]]&amp;".pdf"</f>
        <v>1082967936-7631.pdf</v>
      </c>
      <c r="Y209" s="7" t="str">
        <f t="shared" si="14"/>
        <v>ren "1-208.pdf" "1082967936-7631.pdf"</v>
      </c>
      <c r="Z209" s="7" t="str">
        <f>Tabla1[[#This Row],[Número de documento del contacto]]&amp;"_"&amp;Tabla1[[#This Row],[Número de resolución de archivo]]&amp;".pdf"</f>
        <v>1082967936_7631.pdf</v>
      </c>
      <c r="AA209" s="7" t="s">
        <v>49</v>
      </c>
      <c r="AB209" s="7" t="str">
        <f>Tabla1[[#This Row],[Nombre PDF / cedula + num resolucion]]&amp;";"&amp;Tabla1[[#This Row],[instructivo]]</f>
        <v>1082967936_7631.pdf;10. Instructivo_Radicar_Activación_Credencial_DIGITAL_SIRNA.pdf</v>
      </c>
      <c r="AC209" s="7" t="str">
        <f>Tabla1[[#This Row],[Número de resolución de archivo]]&amp;"_"&amp;Tabla1[[#This Row],[Número de documento del contacto]]</f>
        <v>7631_1082967936</v>
      </c>
    </row>
    <row r="210" spans="1:29" x14ac:dyDescent="0.25">
      <c r="A210">
        <v>15666</v>
      </c>
      <c r="B210" t="s">
        <v>14</v>
      </c>
      <c r="C210" t="s">
        <v>15</v>
      </c>
      <c r="D210" t="s">
        <v>16</v>
      </c>
      <c r="E210" t="s">
        <v>17</v>
      </c>
      <c r="F210" s="14">
        <v>46121</v>
      </c>
      <c r="G210">
        <v>1082998533</v>
      </c>
      <c r="H210" t="s">
        <v>466</v>
      </c>
      <c r="I210" t="s">
        <v>467</v>
      </c>
      <c r="J210" t="s">
        <v>20</v>
      </c>
      <c r="K210" t="s">
        <v>21</v>
      </c>
      <c r="L210" s="14">
        <v>46184</v>
      </c>
      <c r="M210">
        <v>63</v>
      </c>
      <c r="N210" t="s">
        <v>22</v>
      </c>
      <c r="O210" t="s">
        <v>22</v>
      </c>
      <c r="P210" s="14">
        <v>46094</v>
      </c>
      <c r="Q210" t="s">
        <v>23</v>
      </c>
      <c r="R210" s="7">
        <f>IFERROR(VLOOKUP(Tabla1[[#This Row],[Número de documento del contacto]],'Resoluciones 1 (Res)'!$A:$C,2,0),"")</f>
        <v>7650</v>
      </c>
      <c r="S210" s="11">
        <f>IFERROR(VLOOKUP(Tabla1[[#This Row],[Número de documento del contacto]],'Resoluciones 1 (Res)'!$A:$C,3,0),"")</f>
        <v>46184.606747685197</v>
      </c>
      <c r="T210" s="7" t="str">
        <f>IFERROR(VLOOKUP(Tabla1[[#This Row],[Número de documento del contacto]],'Resoluciones 2 (Req)'!$B:$E,3,0),"")</f>
        <v>12235</v>
      </c>
      <c r="U210" s="7" t="str">
        <f t="shared" si="12"/>
        <v>9 de abril de 2026</v>
      </c>
      <c r="V210" s="7" t="str">
        <f t="shared" si="13"/>
        <v>13 de marzo de 2026</v>
      </c>
      <c r="W210" s="8" t="str">
        <f>"1-" &amp; ROWS($W$2:W210) &amp; ".pdf"</f>
        <v>1-209.pdf</v>
      </c>
      <c r="X210" s="7" t="str">
        <f>Tabla1[[#This Row],[Número de documento del contacto]]&amp;"-"&amp;Tabla1[[#This Row],[Número de resolución de archivo]]&amp;".pdf"</f>
        <v>1082998533-7650.pdf</v>
      </c>
      <c r="Y210" s="7" t="str">
        <f t="shared" si="14"/>
        <v>ren "1-209.pdf" "1082998533-7650.pdf"</v>
      </c>
      <c r="Z210" s="7" t="str">
        <f>Tabla1[[#This Row],[Número de documento del contacto]]&amp;"_"&amp;Tabla1[[#This Row],[Número de resolución de archivo]]&amp;".pdf"</f>
        <v>1082998533_7650.pdf</v>
      </c>
      <c r="AA210" s="7" t="s">
        <v>49</v>
      </c>
      <c r="AB210" s="7" t="str">
        <f>Tabla1[[#This Row],[Nombre PDF / cedula + num resolucion]]&amp;";"&amp;Tabla1[[#This Row],[instructivo]]</f>
        <v>1082998533_7650.pdf;10. Instructivo_Radicar_Activación_Credencial_DIGITAL_SIRNA.pdf</v>
      </c>
      <c r="AC210" s="7" t="str">
        <f>Tabla1[[#This Row],[Número de resolución de archivo]]&amp;"_"&amp;Tabla1[[#This Row],[Número de documento del contacto]]</f>
        <v>7650_1082998533</v>
      </c>
    </row>
    <row r="211" spans="1:29" x14ac:dyDescent="0.25">
      <c r="A211">
        <v>16540</v>
      </c>
      <c r="B211" t="s">
        <v>14</v>
      </c>
      <c r="C211" t="s">
        <v>15</v>
      </c>
      <c r="D211" t="s">
        <v>16</v>
      </c>
      <c r="E211" t="s">
        <v>17</v>
      </c>
      <c r="F211" s="14">
        <v>46121</v>
      </c>
      <c r="G211">
        <v>1083876945</v>
      </c>
      <c r="H211" t="s">
        <v>468</v>
      </c>
      <c r="I211" t="s">
        <v>469</v>
      </c>
      <c r="J211" t="s">
        <v>20</v>
      </c>
      <c r="K211" t="s">
        <v>21</v>
      </c>
      <c r="L211" s="14">
        <v>46184</v>
      </c>
      <c r="M211">
        <v>63</v>
      </c>
      <c r="N211" t="s">
        <v>22</v>
      </c>
      <c r="O211" t="s">
        <v>22</v>
      </c>
      <c r="P211" s="14">
        <v>46099</v>
      </c>
      <c r="Q211" t="s">
        <v>23</v>
      </c>
      <c r="R211" s="7">
        <f>IFERROR(VLOOKUP(Tabla1[[#This Row],[Número de documento del contacto]],'Resoluciones 1 (Res)'!$A:$C,2,0),"")</f>
        <v>7673</v>
      </c>
      <c r="S211" s="11">
        <f>IFERROR(VLOOKUP(Tabla1[[#This Row],[Número de documento del contacto]],'Resoluciones 1 (Res)'!$A:$C,3,0),"")</f>
        <v>46184.606747685197</v>
      </c>
      <c r="T211" s="7" t="str">
        <f>IFERROR(VLOOKUP(Tabla1[[#This Row],[Número de documento del contacto]],'Resoluciones 2 (Req)'!$B:$E,3,0),"")</f>
        <v>12236</v>
      </c>
      <c r="U211" s="7" t="str">
        <f t="shared" si="12"/>
        <v>9 de abril de 2026</v>
      </c>
      <c r="V211" s="7" t="str">
        <f t="shared" si="13"/>
        <v>18 de marzo de 2026</v>
      </c>
      <c r="W211" s="8" t="str">
        <f>"1-" &amp; ROWS($W$2:W211) &amp; ".pdf"</f>
        <v>1-210.pdf</v>
      </c>
      <c r="X211" s="7" t="str">
        <f>Tabla1[[#This Row],[Número de documento del contacto]]&amp;"-"&amp;Tabla1[[#This Row],[Número de resolución de archivo]]&amp;".pdf"</f>
        <v>1083876945-7673.pdf</v>
      </c>
      <c r="Y211" s="7" t="str">
        <f t="shared" si="14"/>
        <v>ren "1-210.pdf" "1083876945-7673.pdf"</v>
      </c>
      <c r="Z211" s="7" t="str">
        <f>Tabla1[[#This Row],[Número de documento del contacto]]&amp;"_"&amp;Tabla1[[#This Row],[Número de resolución de archivo]]&amp;".pdf"</f>
        <v>1083876945_7673.pdf</v>
      </c>
      <c r="AA211" s="7" t="s">
        <v>49</v>
      </c>
      <c r="AB211" s="7" t="str">
        <f>Tabla1[[#This Row],[Nombre PDF / cedula + num resolucion]]&amp;";"&amp;Tabla1[[#This Row],[instructivo]]</f>
        <v>1083876945_7673.pdf;10. Instructivo_Radicar_Activación_Credencial_DIGITAL_SIRNA.pdf</v>
      </c>
      <c r="AC211" s="7" t="str">
        <f>Tabla1[[#This Row],[Número de resolución de archivo]]&amp;"_"&amp;Tabla1[[#This Row],[Número de documento del contacto]]</f>
        <v>7673_1083876945</v>
      </c>
    </row>
    <row r="212" spans="1:29" x14ac:dyDescent="0.25">
      <c r="A212">
        <v>16519</v>
      </c>
      <c r="B212" t="s">
        <v>14</v>
      </c>
      <c r="C212" t="s">
        <v>15</v>
      </c>
      <c r="D212" t="s">
        <v>16</v>
      </c>
      <c r="E212" t="s">
        <v>17</v>
      </c>
      <c r="F212" s="14">
        <v>46121</v>
      </c>
      <c r="G212">
        <v>1083879224</v>
      </c>
      <c r="H212" t="s">
        <v>470</v>
      </c>
      <c r="I212" t="s">
        <v>471</v>
      </c>
      <c r="J212" t="s">
        <v>20</v>
      </c>
      <c r="K212" t="s">
        <v>21</v>
      </c>
      <c r="L212" s="14">
        <v>46184</v>
      </c>
      <c r="M212">
        <v>63</v>
      </c>
      <c r="N212" t="s">
        <v>22</v>
      </c>
      <c r="O212" t="s">
        <v>22</v>
      </c>
      <c r="P212" s="14">
        <v>46099</v>
      </c>
      <c r="Q212" t="s">
        <v>23</v>
      </c>
      <c r="R212" s="7">
        <f>IFERROR(VLOOKUP(Tabla1[[#This Row],[Número de documento del contacto]],'Resoluciones 1 (Res)'!$A:$C,2,0),"")</f>
        <v>7644</v>
      </c>
      <c r="S212" s="11">
        <f>IFERROR(VLOOKUP(Tabla1[[#This Row],[Número de documento del contacto]],'Resoluciones 1 (Res)'!$A:$C,3,0),"")</f>
        <v>46184.606747685197</v>
      </c>
      <c r="T212" s="7" t="str">
        <f>IFERROR(VLOOKUP(Tabla1[[#This Row],[Número de documento del contacto]],'Resoluciones 2 (Req)'!$B:$E,3,0),"")</f>
        <v>12237</v>
      </c>
      <c r="U212" s="7" t="str">
        <f t="shared" si="12"/>
        <v>9 de abril de 2026</v>
      </c>
      <c r="V212" s="7" t="str">
        <f t="shared" si="13"/>
        <v>18 de marzo de 2026</v>
      </c>
      <c r="W212" s="8" t="str">
        <f>"1-" &amp; ROWS($W$2:W212) &amp; ".pdf"</f>
        <v>1-211.pdf</v>
      </c>
      <c r="X212" s="7" t="str">
        <f>Tabla1[[#This Row],[Número de documento del contacto]]&amp;"-"&amp;Tabla1[[#This Row],[Número de resolución de archivo]]&amp;".pdf"</f>
        <v>1083879224-7644.pdf</v>
      </c>
      <c r="Y212" s="7" t="str">
        <f t="shared" si="14"/>
        <v>ren "1-211.pdf" "1083879224-7644.pdf"</v>
      </c>
      <c r="Z212" s="7" t="str">
        <f>Tabla1[[#This Row],[Número de documento del contacto]]&amp;"_"&amp;Tabla1[[#This Row],[Número de resolución de archivo]]&amp;".pdf"</f>
        <v>1083879224_7644.pdf</v>
      </c>
      <c r="AA212" s="7" t="s">
        <v>49</v>
      </c>
      <c r="AB212" s="7" t="str">
        <f>Tabla1[[#This Row],[Nombre PDF / cedula + num resolucion]]&amp;";"&amp;Tabla1[[#This Row],[instructivo]]</f>
        <v>1083879224_7644.pdf;10. Instructivo_Radicar_Activación_Credencial_DIGITAL_SIRNA.pdf</v>
      </c>
      <c r="AC212" s="7" t="str">
        <f>Tabla1[[#This Row],[Número de resolución de archivo]]&amp;"_"&amp;Tabla1[[#This Row],[Número de documento del contacto]]</f>
        <v>7644_1083879224</v>
      </c>
    </row>
    <row r="213" spans="1:29" x14ac:dyDescent="0.25">
      <c r="A213">
        <v>15663</v>
      </c>
      <c r="B213" t="s">
        <v>14</v>
      </c>
      <c r="C213" t="s">
        <v>15</v>
      </c>
      <c r="D213" t="s">
        <v>16</v>
      </c>
      <c r="E213" t="s">
        <v>17</v>
      </c>
      <c r="F213" s="14">
        <v>46121</v>
      </c>
      <c r="G213">
        <v>1083881300</v>
      </c>
      <c r="H213" t="s">
        <v>472</v>
      </c>
      <c r="I213" t="s">
        <v>473</v>
      </c>
      <c r="J213" t="s">
        <v>20</v>
      </c>
      <c r="K213" t="s">
        <v>21</v>
      </c>
      <c r="L213" s="14">
        <v>46184</v>
      </c>
      <c r="M213">
        <v>63</v>
      </c>
      <c r="N213" t="s">
        <v>22</v>
      </c>
      <c r="O213" t="s">
        <v>22</v>
      </c>
      <c r="P213" s="14">
        <v>46094</v>
      </c>
      <c r="Q213" t="s">
        <v>23</v>
      </c>
      <c r="R213" s="7">
        <f>IFERROR(VLOOKUP(Tabla1[[#This Row],[Número de documento del contacto]],'Resoluciones 1 (Res)'!$A:$C,2,0),"")</f>
        <v>7551</v>
      </c>
      <c r="S213" s="11">
        <f>IFERROR(VLOOKUP(Tabla1[[#This Row],[Número de documento del contacto]],'Resoluciones 1 (Res)'!$A:$C,3,0),"")</f>
        <v>46184.606747685197</v>
      </c>
      <c r="T213" s="7" t="str">
        <f>IFERROR(VLOOKUP(Tabla1[[#This Row],[Número de documento del contacto]],'Resoluciones 2 (Req)'!$B:$E,3,0),"")</f>
        <v>12238</v>
      </c>
      <c r="U213" s="7" t="str">
        <f t="shared" si="12"/>
        <v>9 de abril de 2026</v>
      </c>
      <c r="V213" s="7" t="str">
        <f t="shared" si="13"/>
        <v>13 de marzo de 2026</v>
      </c>
      <c r="W213" s="8" t="str">
        <f>"1-" &amp; ROWS($W$2:W213) &amp; ".pdf"</f>
        <v>1-212.pdf</v>
      </c>
      <c r="X213" s="7" t="str">
        <f>Tabla1[[#This Row],[Número de documento del contacto]]&amp;"-"&amp;Tabla1[[#This Row],[Número de resolución de archivo]]&amp;".pdf"</f>
        <v>1083881300-7551.pdf</v>
      </c>
      <c r="Y213" s="7" t="str">
        <f t="shared" si="14"/>
        <v>ren "1-212.pdf" "1083881300-7551.pdf"</v>
      </c>
      <c r="Z213" s="7" t="str">
        <f>Tabla1[[#This Row],[Número de documento del contacto]]&amp;"_"&amp;Tabla1[[#This Row],[Número de resolución de archivo]]&amp;".pdf"</f>
        <v>1083881300_7551.pdf</v>
      </c>
      <c r="AA213" s="7" t="s">
        <v>49</v>
      </c>
      <c r="AB213" s="7" t="str">
        <f>Tabla1[[#This Row],[Nombre PDF / cedula + num resolucion]]&amp;";"&amp;Tabla1[[#This Row],[instructivo]]</f>
        <v>1083881300_7551.pdf;10. Instructivo_Radicar_Activación_Credencial_DIGITAL_SIRNA.pdf</v>
      </c>
      <c r="AC213" s="7" t="str">
        <f>Tabla1[[#This Row],[Número de resolución de archivo]]&amp;"_"&amp;Tabla1[[#This Row],[Número de documento del contacto]]</f>
        <v>7551_1083881300</v>
      </c>
    </row>
    <row r="214" spans="1:29" x14ac:dyDescent="0.25">
      <c r="A214">
        <v>16549</v>
      </c>
      <c r="B214" t="s">
        <v>14</v>
      </c>
      <c r="C214" t="s">
        <v>15</v>
      </c>
      <c r="D214" t="s">
        <v>16</v>
      </c>
      <c r="E214" t="s">
        <v>17</v>
      </c>
      <c r="F214" s="14">
        <v>46121</v>
      </c>
      <c r="G214">
        <v>1088339948</v>
      </c>
      <c r="H214" t="s">
        <v>474</v>
      </c>
      <c r="I214" t="s">
        <v>475</v>
      </c>
      <c r="J214" t="s">
        <v>20</v>
      </c>
      <c r="K214" t="s">
        <v>21</v>
      </c>
      <c r="L214" s="14">
        <v>46184</v>
      </c>
      <c r="M214">
        <v>63</v>
      </c>
      <c r="N214" t="s">
        <v>22</v>
      </c>
      <c r="O214" t="s">
        <v>22</v>
      </c>
      <c r="P214" s="14">
        <v>46099</v>
      </c>
      <c r="Q214" t="s">
        <v>23</v>
      </c>
      <c r="R214" s="7">
        <f>IFERROR(VLOOKUP(Tabla1[[#This Row],[Número de documento del contacto]],'Resoluciones 1 (Res)'!$A:$C,2,0),"")</f>
        <v>7510</v>
      </c>
      <c r="S214" s="11">
        <f>IFERROR(VLOOKUP(Tabla1[[#This Row],[Número de documento del contacto]],'Resoluciones 1 (Res)'!$A:$C,3,0),"")</f>
        <v>46184.606747685197</v>
      </c>
      <c r="T214" s="7" t="str">
        <f>IFERROR(VLOOKUP(Tabla1[[#This Row],[Número de documento del contacto]],'Resoluciones 2 (Req)'!$B:$E,3,0),"")</f>
        <v>12239</v>
      </c>
      <c r="U214" s="7" t="str">
        <f t="shared" si="12"/>
        <v>9 de abril de 2026</v>
      </c>
      <c r="V214" s="7" t="str">
        <f t="shared" si="13"/>
        <v>18 de marzo de 2026</v>
      </c>
      <c r="W214" s="8" t="str">
        <f>"1-" &amp; ROWS($W$2:W214) &amp; ".pdf"</f>
        <v>1-213.pdf</v>
      </c>
      <c r="X214" s="7" t="str">
        <f>Tabla1[[#This Row],[Número de documento del contacto]]&amp;"-"&amp;Tabla1[[#This Row],[Número de resolución de archivo]]&amp;".pdf"</f>
        <v>1088339948-7510.pdf</v>
      </c>
      <c r="Y214" s="7" t="str">
        <f t="shared" si="14"/>
        <v>ren "1-213.pdf" "1088339948-7510.pdf"</v>
      </c>
      <c r="Z214" s="7" t="str">
        <f>Tabla1[[#This Row],[Número de documento del contacto]]&amp;"_"&amp;Tabla1[[#This Row],[Número de resolución de archivo]]&amp;".pdf"</f>
        <v>1088339948_7510.pdf</v>
      </c>
      <c r="AA214" s="7" t="s">
        <v>49</v>
      </c>
      <c r="AB214" s="7" t="str">
        <f>Tabla1[[#This Row],[Nombre PDF / cedula + num resolucion]]&amp;";"&amp;Tabla1[[#This Row],[instructivo]]</f>
        <v>1088339948_7510.pdf;10. Instructivo_Radicar_Activación_Credencial_DIGITAL_SIRNA.pdf</v>
      </c>
      <c r="AC214" s="7" t="str">
        <f>Tabla1[[#This Row],[Número de resolución de archivo]]&amp;"_"&amp;Tabla1[[#This Row],[Número de documento del contacto]]</f>
        <v>7510_1088339948</v>
      </c>
    </row>
    <row r="215" spans="1:29" x14ac:dyDescent="0.25">
      <c r="A215">
        <v>15664</v>
      </c>
      <c r="B215" t="s">
        <v>14</v>
      </c>
      <c r="C215" t="s">
        <v>15</v>
      </c>
      <c r="D215" t="s">
        <v>16</v>
      </c>
      <c r="E215" t="s">
        <v>17</v>
      </c>
      <c r="F215" s="14">
        <v>46121</v>
      </c>
      <c r="G215">
        <v>1090472444</v>
      </c>
      <c r="H215" t="s">
        <v>476</v>
      </c>
      <c r="I215" t="s">
        <v>477</v>
      </c>
      <c r="J215" t="s">
        <v>20</v>
      </c>
      <c r="K215" t="s">
        <v>21</v>
      </c>
      <c r="L215" s="14">
        <v>46184</v>
      </c>
      <c r="M215">
        <v>63</v>
      </c>
      <c r="N215" t="s">
        <v>22</v>
      </c>
      <c r="O215" t="s">
        <v>22</v>
      </c>
      <c r="P215" s="14">
        <v>46094</v>
      </c>
      <c r="Q215" t="s">
        <v>23</v>
      </c>
      <c r="R215" s="7">
        <f>IFERROR(VLOOKUP(Tabla1[[#This Row],[Número de documento del contacto]],'Resoluciones 1 (Res)'!$A:$C,2,0),"")</f>
        <v>7478</v>
      </c>
      <c r="S215" s="11">
        <f>IFERROR(VLOOKUP(Tabla1[[#This Row],[Número de documento del contacto]],'Resoluciones 1 (Res)'!$A:$C,3,0),"")</f>
        <v>46184.606747685197</v>
      </c>
      <c r="T215" s="7" t="str">
        <f>IFERROR(VLOOKUP(Tabla1[[#This Row],[Número de documento del contacto]],'Resoluciones 2 (Req)'!$B:$E,3,0),"")</f>
        <v>12240</v>
      </c>
      <c r="U215" s="7" t="str">
        <f t="shared" si="12"/>
        <v>9 de abril de 2026</v>
      </c>
      <c r="V215" s="7" t="str">
        <f t="shared" si="13"/>
        <v>13 de marzo de 2026</v>
      </c>
      <c r="W215" s="8" t="str">
        <f>"1-" &amp; ROWS($W$2:W215) &amp; ".pdf"</f>
        <v>1-214.pdf</v>
      </c>
      <c r="X215" s="7" t="str">
        <f>Tabla1[[#This Row],[Número de documento del contacto]]&amp;"-"&amp;Tabla1[[#This Row],[Número de resolución de archivo]]&amp;".pdf"</f>
        <v>1090472444-7478.pdf</v>
      </c>
      <c r="Y215" s="7" t="str">
        <f t="shared" si="14"/>
        <v>ren "1-214.pdf" "1090472444-7478.pdf"</v>
      </c>
      <c r="Z215" s="7" t="str">
        <f>Tabla1[[#This Row],[Número de documento del contacto]]&amp;"_"&amp;Tabla1[[#This Row],[Número de resolución de archivo]]&amp;".pdf"</f>
        <v>1090472444_7478.pdf</v>
      </c>
      <c r="AA215" s="7" t="s">
        <v>49</v>
      </c>
      <c r="AB215" s="7" t="str">
        <f>Tabla1[[#This Row],[Nombre PDF / cedula + num resolucion]]&amp;";"&amp;Tabla1[[#This Row],[instructivo]]</f>
        <v>1090472444_7478.pdf;10. Instructivo_Radicar_Activación_Credencial_DIGITAL_SIRNA.pdf</v>
      </c>
      <c r="AC215" s="7" t="str">
        <f>Tabla1[[#This Row],[Número de resolución de archivo]]&amp;"_"&amp;Tabla1[[#This Row],[Número de documento del contacto]]</f>
        <v>7478_1090472444</v>
      </c>
    </row>
    <row r="216" spans="1:29" x14ac:dyDescent="0.25">
      <c r="A216">
        <v>16717</v>
      </c>
      <c r="B216" t="s">
        <v>14</v>
      </c>
      <c r="C216" t="s">
        <v>15</v>
      </c>
      <c r="D216" t="s">
        <v>16</v>
      </c>
      <c r="E216" t="s">
        <v>17</v>
      </c>
      <c r="F216" s="14">
        <v>46121</v>
      </c>
      <c r="G216">
        <v>1095806358</v>
      </c>
      <c r="H216" t="s">
        <v>478</v>
      </c>
      <c r="I216" t="s">
        <v>479</v>
      </c>
      <c r="J216" t="s">
        <v>20</v>
      </c>
      <c r="K216" t="s">
        <v>21</v>
      </c>
      <c r="L216" s="14">
        <v>46184</v>
      </c>
      <c r="M216">
        <v>63</v>
      </c>
      <c r="N216" t="s">
        <v>22</v>
      </c>
      <c r="O216" t="s">
        <v>22</v>
      </c>
      <c r="P216" s="14">
        <v>46100</v>
      </c>
      <c r="Q216" t="s">
        <v>23</v>
      </c>
      <c r="R216" s="7">
        <f>IFERROR(VLOOKUP(Tabla1[[#This Row],[Número de documento del contacto]],'Resoluciones 1 (Res)'!$A:$C,2,0),"")</f>
        <v>7672</v>
      </c>
      <c r="S216" s="11">
        <f>IFERROR(VLOOKUP(Tabla1[[#This Row],[Número de documento del contacto]],'Resoluciones 1 (Res)'!$A:$C,3,0),"")</f>
        <v>46184.606747685197</v>
      </c>
      <c r="T216" s="7" t="str">
        <f>IFERROR(VLOOKUP(Tabla1[[#This Row],[Número de documento del contacto]],'Resoluciones 2 (Req)'!$B:$E,3,0),"")</f>
        <v>12241</v>
      </c>
      <c r="U216" s="7" t="str">
        <f t="shared" si="12"/>
        <v>9 de abril de 2026</v>
      </c>
      <c r="V216" s="7" t="str">
        <f t="shared" si="13"/>
        <v>19 de marzo de 2026</v>
      </c>
      <c r="W216" s="8" t="str">
        <f>"1-" &amp; ROWS($W$2:W216) &amp; ".pdf"</f>
        <v>1-215.pdf</v>
      </c>
      <c r="X216" s="7" t="str">
        <f>Tabla1[[#This Row],[Número de documento del contacto]]&amp;"-"&amp;Tabla1[[#This Row],[Número de resolución de archivo]]&amp;".pdf"</f>
        <v>1095806358-7672.pdf</v>
      </c>
      <c r="Y216" s="7" t="str">
        <f t="shared" si="14"/>
        <v>ren "1-215.pdf" "1095806358-7672.pdf"</v>
      </c>
      <c r="Z216" s="7" t="str">
        <f>Tabla1[[#This Row],[Número de documento del contacto]]&amp;"_"&amp;Tabla1[[#This Row],[Número de resolución de archivo]]&amp;".pdf"</f>
        <v>1095806358_7672.pdf</v>
      </c>
      <c r="AA216" s="7" t="s">
        <v>49</v>
      </c>
      <c r="AB216" s="7" t="str">
        <f>Tabla1[[#This Row],[Nombre PDF / cedula + num resolucion]]&amp;";"&amp;Tabla1[[#This Row],[instructivo]]</f>
        <v>1095806358_7672.pdf;10. Instructivo_Radicar_Activación_Credencial_DIGITAL_SIRNA.pdf</v>
      </c>
      <c r="AC216" s="7" t="str">
        <f>Tabla1[[#This Row],[Número de resolución de archivo]]&amp;"_"&amp;Tabla1[[#This Row],[Número de documento del contacto]]</f>
        <v>7672_1095806358</v>
      </c>
    </row>
    <row r="217" spans="1:29" x14ac:dyDescent="0.25">
      <c r="A217">
        <v>15674</v>
      </c>
      <c r="B217" t="s">
        <v>14</v>
      </c>
      <c r="C217" t="s">
        <v>15</v>
      </c>
      <c r="D217" t="s">
        <v>16</v>
      </c>
      <c r="E217" t="s">
        <v>17</v>
      </c>
      <c r="F217" s="14">
        <v>46121</v>
      </c>
      <c r="G217">
        <v>1095828660</v>
      </c>
      <c r="H217" t="s">
        <v>480</v>
      </c>
      <c r="I217" t="s">
        <v>481</v>
      </c>
      <c r="J217" t="s">
        <v>20</v>
      </c>
      <c r="K217" t="s">
        <v>21</v>
      </c>
      <c r="L217" s="14">
        <v>46184</v>
      </c>
      <c r="M217">
        <v>63</v>
      </c>
      <c r="N217" t="s">
        <v>22</v>
      </c>
      <c r="O217" t="s">
        <v>22</v>
      </c>
      <c r="P217" s="14">
        <v>46094</v>
      </c>
      <c r="Q217" t="s">
        <v>23</v>
      </c>
      <c r="R217" s="7">
        <f>IFERROR(VLOOKUP(Tabla1[[#This Row],[Número de documento del contacto]],'Resoluciones 1 (Res)'!$A:$C,2,0),"")</f>
        <v>7525</v>
      </c>
      <c r="S217" s="11">
        <f>IFERROR(VLOOKUP(Tabla1[[#This Row],[Número de documento del contacto]],'Resoluciones 1 (Res)'!$A:$C,3,0),"")</f>
        <v>46184.606747685197</v>
      </c>
      <c r="T217" s="7" t="str">
        <f>IFERROR(VLOOKUP(Tabla1[[#This Row],[Número de documento del contacto]],'Resoluciones 2 (Req)'!$B:$E,3,0),"")</f>
        <v>12243</v>
      </c>
      <c r="U217" s="7" t="str">
        <f t="shared" si="12"/>
        <v>9 de abril de 2026</v>
      </c>
      <c r="V217" s="7" t="str">
        <f t="shared" si="13"/>
        <v>13 de marzo de 2026</v>
      </c>
      <c r="W217" s="8" t="str">
        <f>"1-" &amp; ROWS($W$2:W217) &amp; ".pdf"</f>
        <v>1-216.pdf</v>
      </c>
      <c r="X217" s="7" t="str">
        <f>Tabla1[[#This Row],[Número de documento del contacto]]&amp;"-"&amp;Tabla1[[#This Row],[Número de resolución de archivo]]&amp;".pdf"</f>
        <v>1095828660-7525.pdf</v>
      </c>
      <c r="Y217" s="7" t="str">
        <f t="shared" si="14"/>
        <v>ren "1-216.pdf" "1095828660-7525.pdf"</v>
      </c>
      <c r="Z217" s="7" t="str">
        <f>Tabla1[[#This Row],[Número de documento del contacto]]&amp;"_"&amp;Tabla1[[#This Row],[Número de resolución de archivo]]&amp;".pdf"</f>
        <v>1095828660_7525.pdf</v>
      </c>
      <c r="AA217" s="7" t="s">
        <v>49</v>
      </c>
      <c r="AB217" s="7" t="str">
        <f>Tabla1[[#This Row],[Nombre PDF / cedula + num resolucion]]&amp;";"&amp;Tabla1[[#This Row],[instructivo]]</f>
        <v>1095828660_7525.pdf;10. Instructivo_Radicar_Activación_Credencial_DIGITAL_SIRNA.pdf</v>
      </c>
      <c r="AC217" s="7" t="str">
        <f>Tabla1[[#This Row],[Número de resolución de archivo]]&amp;"_"&amp;Tabla1[[#This Row],[Número de documento del contacto]]</f>
        <v>7525_1095828660</v>
      </c>
    </row>
    <row r="218" spans="1:29" x14ac:dyDescent="0.25">
      <c r="A218">
        <v>16025</v>
      </c>
      <c r="B218" t="s">
        <v>14</v>
      </c>
      <c r="C218" t="s">
        <v>15</v>
      </c>
      <c r="D218" t="s">
        <v>16</v>
      </c>
      <c r="E218" t="s">
        <v>17</v>
      </c>
      <c r="F218" s="14">
        <v>46121</v>
      </c>
      <c r="G218">
        <v>1098101526</v>
      </c>
      <c r="H218" t="s">
        <v>482</v>
      </c>
      <c r="I218" t="s">
        <v>483</v>
      </c>
      <c r="J218" t="s">
        <v>20</v>
      </c>
      <c r="K218" t="s">
        <v>21</v>
      </c>
      <c r="L218" s="14">
        <v>46184</v>
      </c>
      <c r="M218">
        <v>63</v>
      </c>
      <c r="N218" t="s">
        <v>22</v>
      </c>
      <c r="O218" t="s">
        <v>22</v>
      </c>
      <c r="P218" s="14">
        <v>46097</v>
      </c>
      <c r="Q218" t="s">
        <v>23</v>
      </c>
      <c r="R218" s="7">
        <f>IFERROR(VLOOKUP(Tabla1[[#This Row],[Número de documento del contacto]],'Resoluciones 1 (Res)'!$A:$C,2,0),"")</f>
        <v>7437</v>
      </c>
      <c r="S218" s="11">
        <f>IFERROR(VLOOKUP(Tabla1[[#This Row],[Número de documento del contacto]],'Resoluciones 1 (Res)'!$A:$C,3,0),"")</f>
        <v>46184.606747685197</v>
      </c>
      <c r="T218" s="7" t="str">
        <f>IFERROR(VLOOKUP(Tabla1[[#This Row],[Número de documento del contacto]],'Resoluciones 2 (Req)'!$B:$E,3,0),"")</f>
        <v>12244</v>
      </c>
      <c r="U218" s="7" t="str">
        <f t="shared" si="12"/>
        <v>9 de abril de 2026</v>
      </c>
      <c r="V218" s="7" t="str">
        <f t="shared" si="13"/>
        <v>16 de marzo de 2026</v>
      </c>
      <c r="W218" s="8" t="str">
        <f>"1-" &amp; ROWS($W$2:W218) &amp; ".pdf"</f>
        <v>1-217.pdf</v>
      </c>
      <c r="X218" s="7" t="str">
        <f>Tabla1[[#This Row],[Número de documento del contacto]]&amp;"-"&amp;Tabla1[[#This Row],[Número de resolución de archivo]]&amp;".pdf"</f>
        <v>1098101526-7437.pdf</v>
      </c>
      <c r="Y218" s="7" t="str">
        <f t="shared" si="14"/>
        <v>ren "1-217.pdf" "1098101526-7437.pdf"</v>
      </c>
      <c r="Z218" s="7" t="str">
        <f>Tabla1[[#This Row],[Número de documento del contacto]]&amp;"_"&amp;Tabla1[[#This Row],[Número de resolución de archivo]]&amp;".pdf"</f>
        <v>1098101526_7437.pdf</v>
      </c>
      <c r="AA218" s="7" t="s">
        <v>49</v>
      </c>
      <c r="AB218" s="7" t="str">
        <f>Tabla1[[#This Row],[Nombre PDF / cedula + num resolucion]]&amp;";"&amp;Tabla1[[#This Row],[instructivo]]</f>
        <v>1098101526_7437.pdf;10. Instructivo_Radicar_Activación_Credencial_DIGITAL_SIRNA.pdf</v>
      </c>
      <c r="AC218" s="7" t="str">
        <f>Tabla1[[#This Row],[Número de resolución de archivo]]&amp;"_"&amp;Tabla1[[#This Row],[Número de documento del contacto]]</f>
        <v>7437_1098101526</v>
      </c>
    </row>
    <row r="219" spans="1:29" x14ac:dyDescent="0.25">
      <c r="A219">
        <v>16632</v>
      </c>
      <c r="B219" t="s">
        <v>14</v>
      </c>
      <c r="C219" t="s">
        <v>15</v>
      </c>
      <c r="D219" t="s">
        <v>16</v>
      </c>
      <c r="E219" t="s">
        <v>17</v>
      </c>
      <c r="F219" s="14">
        <v>46121</v>
      </c>
      <c r="G219">
        <v>1098654278</v>
      </c>
      <c r="H219" t="s">
        <v>484</v>
      </c>
      <c r="I219" t="s">
        <v>485</v>
      </c>
      <c r="J219" t="s">
        <v>20</v>
      </c>
      <c r="K219" t="s">
        <v>21</v>
      </c>
      <c r="L219" s="14">
        <v>46184</v>
      </c>
      <c r="M219">
        <v>63</v>
      </c>
      <c r="N219" t="s">
        <v>22</v>
      </c>
      <c r="O219" t="s">
        <v>22</v>
      </c>
      <c r="P219" s="14">
        <v>46100</v>
      </c>
      <c r="Q219" t="s">
        <v>23</v>
      </c>
      <c r="R219" s="7">
        <f>IFERROR(VLOOKUP(Tabla1[[#This Row],[Número de documento del contacto]],'Resoluciones 1 (Res)'!$A:$C,2,0),"")</f>
        <v>7468</v>
      </c>
      <c r="S219" s="11">
        <f>IFERROR(VLOOKUP(Tabla1[[#This Row],[Número de documento del contacto]],'Resoluciones 1 (Res)'!$A:$C,3,0),"")</f>
        <v>46184.606747685197</v>
      </c>
      <c r="T219" s="7" t="str">
        <f>IFERROR(VLOOKUP(Tabla1[[#This Row],[Número de documento del contacto]],'Resoluciones 2 (Req)'!$B:$E,3,0),"")</f>
        <v>12245</v>
      </c>
      <c r="U219" s="7" t="str">
        <f t="shared" si="12"/>
        <v>9 de abril de 2026</v>
      </c>
      <c r="V219" s="7" t="str">
        <f t="shared" si="13"/>
        <v>19 de marzo de 2026</v>
      </c>
      <c r="W219" s="8" t="str">
        <f>"1-" &amp; ROWS($W$2:W219) &amp; ".pdf"</f>
        <v>1-218.pdf</v>
      </c>
      <c r="X219" s="7" t="str">
        <f>Tabla1[[#This Row],[Número de documento del contacto]]&amp;"-"&amp;Tabla1[[#This Row],[Número de resolución de archivo]]&amp;".pdf"</f>
        <v>1098654278-7468.pdf</v>
      </c>
      <c r="Y219" s="7" t="str">
        <f t="shared" si="14"/>
        <v>ren "1-218.pdf" "1098654278-7468.pdf"</v>
      </c>
      <c r="Z219" s="7" t="str">
        <f>Tabla1[[#This Row],[Número de documento del contacto]]&amp;"_"&amp;Tabla1[[#This Row],[Número de resolución de archivo]]&amp;".pdf"</f>
        <v>1098654278_7468.pdf</v>
      </c>
      <c r="AA219" s="7" t="s">
        <v>49</v>
      </c>
      <c r="AB219" s="7" t="str">
        <f>Tabla1[[#This Row],[Nombre PDF / cedula + num resolucion]]&amp;";"&amp;Tabla1[[#This Row],[instructivo]]</f>
        <v>1098654278_7468.pdf;10. Instructivo_Radicar_Activación_Credencial_DIGITAL_SIRNA.pdf</v>
      </c>
      <c r="AC219" s="7" t="str">
        <f>Tabla1[[#This Row],[Número de resolución de archivo]]&amp;"_"&amp;Tabla1[[#This Row],[Número de documento del contacto]]</f>
        <v>7468_1098654278</v>
      </c>
    </row>
    <row r="220" spans="1:29" x14ac:dyDescent="0.25">
      <c r="A220">
        <v>16152</v>
      </c>
      <c r="B220" t="s">
        <v>14</v>
      </c>
      <c r="C220" t="s">
        <v>15</v>
      </c>
      <c r="D220" t="s">
        <v>16</v>
      </c>
      <c r="E220" t="s">
        <v>17</v>
      </c>
      <c r="F220" s="14">
        <v>46121</v>
      </c>
      <c r="G220">
        <v>1098674387</v>
      </c>
      <c r="H220" t="s">
        <v>486</v>
      </c>
      <c r="I220" t="s">
        <v>487</v>
      </c>
      <c r="J220" t="s">
        <v>20</v>
      </c>
      <c r="K220" t="s">
        <v>21</v>
      </c>
      <c r="L220" s="14">
        <v>46184</v>
      </c>
      <c r="M220">
        <v>63</v>
      </c>
      <c r="N220" t="s">
        <v>22</v>
      </c>
      <c r="O220" t="s">
        <v>22</v>
      </c>
      <c r="P220" s="14">
        <v>46097</v>
      </c>
      <c r="Q220" t="s">
        <v>23</v>
      </c>
      <c r="R220" s="7">
        <f>IFERROR(VLOOKUP(Tabla1[[#This Row],[Número de documento del contacto]],'Resoluciones 1 (Res)'!$A:$C,2,0),"")</f>
        <v>7469</v>
      </c>
      <c r="S220" s="11">
        <f>IFERROR(VLOOKUP(Tabla1[[#This Row],[Número de documento del contacto]],'Resoluciones 1 (Res)'!$A:$C,3,0),"")</f>
        <v>46184.606747685197</v>
      </c>
      <c r="T220" s="7" t="str">
        <f>IFERROR(VLOOKUP(Tabla1[[#This Row],[Número de documento del contacto]],'Resoluciones 2 (Req)'!$B:$E,3,0),"")</f>
        <v>12246</v>
      </c>
      <c r="U220" s="7" t="str">
        <f t="shared" si="12"/>
        <v>9 de abril de 2026</v>
      </c>
      <c r="V220" s="7" t="str">
        <f t="shared" si="13"/>
        <v>16 de marzo de 2026</v>
      </c>
      <c r="W220" s="8" t="str">
        <f>"1-" &amp; ROWS($W$2:W220) &amp; ".pdf"</f>
        <v>1-219.pdf</v>
      </c>
      <c r="X220" s="7" t="str">
        <f>Tabla1[[#This Row],[Número de documento del contacto]]&amp;"-"&amp;Tabla1[[#This Row],[Número de resolución de archivo]]&amp;".pdf"</f>
        <v>1098674387-7469.pdf</v>
      </c>
      <c r="Y220" s="7" t="str">
        <f t="shared" si="14"/>
        <v>ren "1-219.pdf" "1098674387-7469.pdf"</v>
      </c>
      <c r="Z220" s="7" t="str">
        <f>Tabla1[[#This Row],[Número de documento del contacto]]&amp;"_"&amp;Tabla1[[#This Row],[Número de resolución de archivo]]&amp;".pdf"</f>
        <v>1098674387_7469.pdf</v>
      </c>
      <c r="AA220" s="7" t="s">
        <v>49</v>
      </c>
      <c r="AB220" s="7" t="str">
        <f>Tabla1[[#This Row],[Nombre PDF / cedula + num resolucion]]&amp;";"&amp;Tabla1[[#This Row],[instructivo]]</f>
        <v>1098674387_7469.pdf;10. Instructivo_Radicar_Activación_Credencial_DIGITAL_SIRNA.pdf</v>
      </c>
      <c r="AC220" s="7" t="str">
        <f>Tabla1[[#This Row],[Número de resolución de archivo]]&amp;"_"&amp;Tabla1[[#This Row],[Número de documento del contacto]]</f>
        <v>7469_1098674387</v>
      </c>
    </row>
    <row r="221" spans="1:29" x14ac:dyDescent="0.25">
      <c r="A221">
        <v>15949</v>
      </c>
      <c r="B221" t="s">
        <v>14</v>
      </c>
      <c r="C221" t="s">
        <v>15</v>
      </c>
      <c r="D221" t="s">
        <v>16</v>
      </c>
      <c r="E221" t="s">
        <v>17</v>
      </c>
      <c r="F221" s="14">
        <v>46121</v>
      </c>
      <c r="G221">
        <v>1099203204</v>
      </c>
      <c r="H221" t="s">
        <v>488</v>
      </c>
      <c r="I221" t="s">
        <v>489</v>
      </c>
      <c r="J221" t="s">
        <v>20</v>
      </c>
      <c r="K221" t="s">
        <v>21</v>
      </c>
      <c r="L221" s="14">
        <v>46184</v>
      </c>
      <c r="M221">
        <v>63</v>
      </c>
      <c r="N221" t="s">
        <v>22</v>
      </c>
      <c r="O221" t="s">
        <v>22</v>
      </c>
      <c r="P221" s="14">
        <v>46097</v>
      </c>
      <c r="Q221" t="s">
        <v>23</v>
      </c>
      <c r="R221" s="7">
        <f>IFERROR(VLOOKUP(Tabla1[[#This Row],[Número de documento del contacto]],'Resoluciones 1 (Res)'!$A:$C,2,0),"")</f>
        <v>7487</v>
      </c>
      <c r="S221" s="11">
        <f>IFERROR(VLOOKUP(Tabla1[[#This Row],[Número de documento del contacto]],'Resoluciones 1 (Res)'!$A:$C,3,0),"")</f>
        <v>46184.606747685197</v>
      </c>
      <c r="T221" s="7" t="str">
        <f>IFERROR(VLOOKUP(Tabla1[[#This Row],[Número de documento del contacto]],'Resoluciones 2 (Req)'!$B:$E,3,0),"")</f>
        <v>12247</v>
      </c>
      <c r="U221" s="7" t="str">
        <f t="shared" si="12"/>
        <v>9 de abril de 2026</v>
      </c>
      <c r="V221" s="7" t="str">
        <f t="shared" si="13"/>
        <v>16 de marzo de 2026</v>
      </c>
      <c r="W221" s="8" t="str">
        <f>"1-" &amp; ROWS($W$2:W221) &amp; ".pdf"</f>
        <v>1-220.pdf</v>
      </c>
      <c r="X221" s="7" t="str">
        <f>Tabla1[[#This Row],[Número de documento del contacto]]&amp;"-"&amp;Tabla1[[#This Row],[Número de resolución de archivo]]&amp;".pdf"</f>
        <v>1099203204-7487.pdf</v>
      </c>
      <c r="Y221" s="7" t="str">
        <f t="shared" si="14"/>
        <v>ren "1-220.pdf" "1099203204-7487.pdf"</v>
      </c>
      <c r="Z221" s="7" t="str">
        <f>Tabla1[[#This Row],[Número de documento del contacto]]&amp;"_"&amp;Tabla1[[#This Row],[Número de resolución de archivo]]&amp;".pdf"</f>
        <v>1099203204_7487.pdf</v>
      </c>
      <c r="AA221" s="7" t="s">
        <v>49</v>
      </c>
      <c r="AB221" s="7" t="str">
        <f>Tabla1[[#This Row],[Nombre PDF / cedula + num resolucion]]&amp;";"&amp;Tabla1[[#This Row],[instructivo]]</f>
        <v>1099203204_7487.pdf;10. Instructivo_Radicar_Activación_Credencial_DIGITAL_SIRNA.pdf</v>
      </c>
      <c r="AC221" s="7" t="str">
        <f>Tabla1[[#This Row],[Número de resolución de archivo]]&amp;"_"&amp;Tabla1[[#This Row],[Número de documento del contacto]]</f>
        <v>7487_1099203204</v>
      </c>
    </row>
    <row r="222" spans="1:29" x14ac:dyDescent="0.25">
      <c r="A222">
        <v>16077</v>
      </c>
      <c r="B222" t="s">
        <v>14</v>
      </c>
      <c r="C222" t="s">
        <v>15</v>
      </c>
      <c r="D222" t="s">
        <v>16</v>
      </c>
      <c r="E222" t="s">
        <v>17</v>
      </c>
      <c r="F222" s="14">
        <v>46121</v>
      </c>
      <c r="G222">
        <v>1113665605</v>
      </c>
      <c r="H222" t="s">
        <v>490</v>
      </c>
      <c r="I222" t="s">
        <v>491</v>
      </c>
      <c r="J222" t="s">
        <v>20</v>
      </c>
      <c r="K222" t="s">
        <v>21</v>
      </c>
      <c r="L222" s="14">
        <v>46184</v>
      </c>
      <c r="M222">
        <v>63</v>
      </c>
      <c r="N222" t="s">
        <v>22</v>
      </c>
      <c r="O222" t="s">
        <v>22</v>
      </c>
      <c r="P222" s="14">
        <v>46097</v>
      </c>
      <c r="Q222" t="s">
        <v>23</v>
      </c>
      <c r="R222" s="7">
        <f>IFERROR(VLOOKUP(Tabla1[[#This Row],[Número de documento del contacto]],'Resoluciones 1 (Res)'!$A:$C,2,0),"")</f>
        <v>7596</v>
      </c>
      <c r="S222" s="11">
        <f>IFERROR(VLOOKUP(Tabla1[[#This Row],[Número de documento del contacto]],'Resoluciones 1 (Res)'!$A:$C,3,0),"")</f>
        <v>46184.606747685197</v>
      </c>
      <c r="T222" s="7" t="str">
        <f>IFERROR(VLOOKUP(Tabla1[[#This Row],[Número de documento del contacto]],'Resoluciones 2 (Req)'!$B:$E,3,0),"")</f>
        <v>12250</v>
      </c>
      <c r="U222" s="7" t="str">
        <f t="shared" si="12"/>
        <v>9 de abril de 2026</v>
      </c>
      <c r="V222" s="7" t="str">
        <f t="shared" si="13"/>
        <v>16 de marzo de 2026</v>
      </c>
      <c r="W222" s="8" t="str">
        <f>"1-" &amp; ROWS($W$2:W222) &amp; ".pdf"</f>
        <v>1-221.pdf</v>
      </c>
      <c r="X222" s="7" t="str">
        <f>Tabla1[[#This Row],[Número de documento del contacto]]&amp;"-"&amp;Tabla1[[#This Row],[Número de resolución de archivo]]&amp;".pdf"</f>
        <v>1113665605-7596.pdf</v>
      </c>
      <c r="Y222" s="7" t="str">
        <f t="shared" si="14"/>
        <v>ren "1-221.pdf" "1113665605-7596.pdf"</v>
      </c>
      <c r="Z222" s="7" t="str">
        <f>Tabla1[[#This Row],[Número de documento del contacto]]&amp;"_"&amp;Tabla1[[#This Row],[Número de resolución de archivo]]&amp;".pdf"</f>
        <v>1113665605_7596.pdf</v>
      </c>
      <c r="AA222" s="7" t="s">
        <v>49</v>
      </c>
      <c r="AB222" s="7" t="str">
        <f>Tabla1[[#This Row],[Nombre PDF / cedula + num resolucion]]&amp;";"&amp;Tabla1[[#This Row],[instructivo]]</f>
        <v>1113665605_7596.pdf;10. Instructivo_Radicar_Activación_Credencial_DIGITAL_SIRNA.pdf</v>
      </c>
      <c r="AC222" s="7" t="str">
        <f>Tabla1[[#This Row],[Número de resolución de archivo]]&amp;"_"&amp;Tabla1[[#This Row],[Número de documento del contacto]]</f>
        <v>7596_1113665605</v>
      </c>
    </row>
    <row r="223" spans="1:29" x14ac:dyDescent="0.25">
      <c r="A223">
        <v>16636</v>
      </c>
      <c r="B223" t="s">
        <v>14</v>
      </c>
      <c r="C223" t="s">
        <v>15</v>
      </c>
      <c r="D223" t="s">
        <v>16</v>
      </c>
      <c r="E223" t="s">
        <v>17</v>
      </c>
      <c r="F223" s="14">
        <v>46121</v>
      </c>
      <c r="G223">
        <v>1116443033</v>
      </c>
      <c r="H223" t="s">
        <v>492</v>
      </c>
      <c r="I223" t="s">
        <v>493</v>
      </c>
      <c r="J223" t="s">
        <v>20</v>
      </c>
      <c r="K223" t="s">
        <v>21</v>
      </c>
      <c r="L223" s="14">
        <v>46184</v>
      </c>
      <c r="M223">
        <v>63</v>
      </c>
      <c r="N223" t="s">
        <v>22</v>
      </c>
      <c r="O223" t="s">
        <v>22</v>
      </c>
      <c r="P223" s="14">
        <v>46100</v>
      </c>
      <c r="Q223" t="s">
        <v>23</v>
      </c>
      <c r="R223" s="7">
        <f>IFERROR(VLOOKUP(Tabla1[[#This Row],[Número de documento del contacto]],'Resoluciones 1 (Res)'!$A:$C,2,0),"")</f>
        <v>7718</v>
      </c>
      <c r="S223" s="11">
        <f>IFERROR(VLOOKUP(Tabla1[[#This Row],[Número de documento del contacto]],'Resoluciones 1 (Res)'!$A:$C,3,0),"")</f>
        <v>46184.606747685197</v>
      </c>
      <c r="T223" s="7" t="str">
        <f>IFERROR(VLOOKUP(Tabla1[[#This Row],[Número de documento del contacto]],'Resoluciones 2 (Req)'!$B:$E,3,0),"")</f>
        <v>12251</v>
      </c>
      <c r="U223" s="7" t="str">
        <f t="shared" si="12"/>
        <v>9 de abril de 2026</v>
      </c>
      <c r="V223" s="7" t="str">
        <f t="shared" si="13"/>
        <v>19 de marzo de 2026</v>
      </c>
      <c r="W223" s="8" t="str">
        <f>"1-" &amp; ROWS($W$2:W223) &amp; ".pdf"</f>
        <v>1-222.pdf</v>
      </c>
      <c r="X223" s="7" t="str">
        <f>Tabla1[[#This Row],[Número de documento del contacto]]&amp;"-"&amp;Tabla1[[#This Row],[Número de resolución de archivo]]&amp;".pdf"</f>
        <v>1116443033-7718.pdf</v>
      </c>
      <c r="Y223" s="7" t="str">
        <f t="shared" si="14"/>
        <v>ren "1-222.pdf" "1116443033-7718.pdf"</v>
      </c>
      <c r="Z223" s="7" t="str">
        <f>Tabla1[[#This Row],[Número de documento del contacto]]&amp;"_"&amp;Tabla1[[#This Row],[Número de resolución de archivo]]&amp;".pdf"</f>
        <v>1116443033_7718.pdf</v>
      </c>
      <c r="AA223" s="7" t="s">
        <v>49</v>
      </c>
      <c r="AB223" s="7" t="str">
        <f>Tabla1[[#This Row],[Nombre PDF / cedula + num resolucion]]&amp;";"&amp;Tabla1[[#This Row],[instructivo]]</f>
        <v>1116443033_7718.pdf;10. Instructivo_Radicar_Activación_Credencial_DIGITAL_SIRNA.pdf</v>
      </c>
      <c r="AC223" s="7" t="str">
        <f>Tabla1[[#This Row],[Número de resolución de archivo]]&amp;"_"&amp;Tabla1[[#This Row],[Número de documento del contacto]]</f>
        <v>7718_1116443033</v>
      </c>
    </row>
    <row r="224" spans="1:29" x14ac:dyDescent="0.25">
      <c r="A224">
        <v>16661</v>
      </c>
      <c r="B224" t="s">
        <v>14</v>
      </c>
      <c r="C224" t="s">
        <v>15</v>
      </c>
      <c r="D224" t="s">
        <v>16</v>
      </c>
      <c r="E224" t="s">
        <v>17</v>
      </c>
      <c r="F224" s="14">
        <v>46121</v>
      </c>
      <c r="G224">
        <v>1118564585</v>
      </c>
      <c r="H224" t="s">
        <v>494</v>
      </c>
      <c r="I224" t="s">
        <v>495</v>
      </c>
      <c r="J224" t="s">
        <v>20</v>
      </c>
      <c r="K224" t="s">
        <v>21</v>
      </c>
      <c r="L224" s="14">
        <v>46184</v>
      </c>
      <c r="M224">
        <v>63</v>
      </c>
      <c r="N224" t="s">
        <v>22</v>
      </c>
      <c r="O224" t="s">
        <v>22</v>
      </c>
      <c r="P224" s="14">
        <v>46100</v>
      </c>
      <c r="Q224" t="s">
        <v>23</v>
      </c>
      <c r="R224" s="7">
        <f>IFERROR(VLOOKUP(Tabla1[[#This Row],[Número de documento del contacto]],'Resoluciones 1 (Res)'!$A:$C,2,0),"")</f>
        <v>7681</v>
      </c>
      <c r="S224" s="11">
        <f>IFERROR(VLOOKUP(Tabla1[[#This Row],[Número de documento del contacto]],'Resoluciones 1 (Res)'!$A:$C,3,0),"")</f>
        <v>46184.606747685197</v>
      </c>
      <c r="T224" s="7" t="str">
        <f>IFERROR(VLOOKUP(Tabla1[[#This Row],[Número de documento del contacto]],'Resoluciones 2 (Req)'!$B:$E,3,0),"")</f>
        <v>12252</v>
      </c>
      <c r="U224" s="7" t="str">
        <f t="shared" si="12"/>
        <v>9 de abril de 2026</v>
      </c>
      <c r="V224" s="7" t="str">
        <f t="shared" si="13"/>
        <v>19 de marzo de 2026</v>
      </c>
      <c r="W224" s="8" t="str">
        <f>"1-" &amp; ROWS($W$2:W224) &amp; ".pdf"</f>
        <v>1-223.pdf</v>
      </c>
      <c r="X224" s="7" t="str">
        <f>Tabla1[[#This Row],[Número de documento del contacto]]&amp;"-"&amp;Tabla1[[#This Row],[Número de resolución de archivo]]&amp;".pdf"</f>
        <v>1118564585-7681.pdf</v>
      </c>
      <c r="Y224" s="7" t="str">
        <f t="shared" si="14"/>
        <v>ren "1-223.pdf" "1118564585-7681.pdf"</v>
      </c>
      <c r="Z224" s="7" t="str">
        <f>Tabla1[[#This Row],[Número de documento del contacto]]&amp;"_"&amp;Tabla1[[#This Row],[Número de resolución de archivo]]&amp;".pdf"</f>
        <v>1118564585_7681.pdf</v>
      </c>
      <c r="AA224" s="7" t="s">
        <v>49</v>
      </c>
      <c r="AB224" s="7" t="str">
        <f>Tabla1[[#This Row],[Nombre PDF / cedula + num resolucion]]&amp;";"&amp;Tabla1[[#This Row],[instructivo]]</f>
        <v>1118564585_7681.pdf;10. Instructivo_Radicar_Activación_Credencial_DIGITAL_SIRNA.pdf</v>
      </c>
      <c r="AC224" s="7" t="str">
        <f>Tabla1[[#This Row],[Número de resolución de archivo]]&amp;"_"&amp;Tabla1[[#This Row],[Número de documento del contacto]]</f>
        <v>7681_1118564585</v>
      </c>
    </row>
    <row r="225" spans="1:29" x14ac:dyDescent="0.25">
      <c r="A225">
        <v>16240</v>
      </c>
      <c r="B225" t="s">
        <v>14</v>
      </c>
      <c r="C225" t="s">
        <v>15</v>
      </c>
      <c r="D225" t="s">
        <v>16</v>
      </c>
      <c r="E225" t="s">
        <v>17</v>
      </c>
      <c r="F225" s="14">
        <v>46121</v>
      </c>
      <c r="G225">
        <v>1120740876</v>
      </c>
      <c r="H225" t="s">
        <v>496</v>
      </c>
      <c r="I225" t="s">
        <v>497</v>
      </c>
      <c r="J225" t="s">
        <v>20</v>
      </c>
      <c r="K225" t="s">
        <v>21</v>
      </c>
      <c r="L225" s="14">
        <v>46184</v>
      </c>
      <c r="M225">
        <v>63</v>
      </c>
      <c r="N225" t="s">
        <v>22</v>
      </c>
      <c r="O225" t="s">
        <v>22</v>
      </c>
      <c r="P225" s="14">
        <v>46098</v>
      </c>
      <c r="Q225" t="s">
        <v>23</v>
      </c>
      <c r="R225" s="7">
        <f>IFERROR(VLOOKUP(Tabla1[[#This Row],[Número de documento del contacto]],'Resoluciones 1 (Res)'!$A:$C,2,0),"")</f>
        <v>7460</v>
      </c>
      <c r="S225" s="11">
        <f>IFERROR(VLOOKUP(Tabla1[[#This Row],[Número de documento del contacto]],'Resoluciones 1 (Res)'!$A:$C,3,0),"")</f>
        <v>46184.606747685197</v>
      </c>
      <c r="T225" s="7" t="str">
        <f>IFERROR(VLOOKUP(Tabla1[[#This Row],[Número de documento del contacto]],'Resoluciones 2 (Req)'!$B:$E,3,0),"")</f>
        <v>12253</v>
      </c>
      <c r="U225" s="7" t="str">
        <f t="shared" si="12"/>
        <v>9 de abril de 2026</v>
      </c>
      <c r="V225" s="7" t="str">
        <f t="shared" si="13"/>
        <v>17 de marzo de 2026</v>
      </c>
      <c r="W225" s="8" t="str">
        <f>"1-" &amp; ROWS($W$2:W225) &amp; ".pdf"</f>
        <v>1-224.pdf</v>
      </c>
      <c r="X225" s="7" t="str">
        <f>Tabla1[[#This Row],[Número de documento del contacto]]&amp;"-"&amp;Tabla1[[#This Row],[Número de resolución de archivo]]&amp;".pdf"</f>
        <v>1120740876-7460.pdf</v>
      </c>
      <c r="Y225" s="7" t="str">
        <f t="shared" si="14"/>
        <v>ren "1-224.pdf" "1120740876-7460.pdf"</v>
      </c>
      <c r="Z225" s="7" t="str">
        <f>Tabla1[[#This Row],[Número de documento del contacto]]&amp;"_"&amp;Tabla1[[#This Row],[Número de resolución de archivo]]&amp;".pdf"</f>
        <v>1120740876_7460.pdf</v>
      </c>
      <c r="AA225" s="7" t="s">
        <v>49</v>
      </c>
      <c r="AB225" s="7" t="str">
        <f>Tabla1[[#This Row],[Nombre PDF / cedula + num resolucion]]&amp;";"&amp;Tabla1[[#This Row],[instructivo]]</f>
        <v>1120740876_7460.pdf;10. Instructivo_Radicar_Activación_Credencial_DIGITAL_SIRNA.pdf</v>
      </c>
      <c r="AC225" s="7" t="str">
        <f>Tabla1[[#This Row],[Número de resolución de archivo]]&amp;"_"&amp;Tabla1[[#This Row],[Número de documento del contacto]]</f>
        <v>7460_1120740876</v>
      </c>
    </row>
    <row r="226" spans="1:29" x14ac:dyDescent="0.25">
      <c r="A226">
        <v>16491</v>
      </c>
      <c r="B226" t="s">
        <v>14</v>
      </c>
      <c r="C226" t="s">
        <v>15</v>
      </c>
      <c r="D226" t="s">
        <v>16</v>
      </c>
      <c r="E226" t="s">
        <v>17</v>
      </c>
      <c r="F226" s="14">
        <v>46121</v>
      </c>
      <c r="G226">
        <v>1121854055</v>
      </c>
      <c r="H226" t="s">
        <v>498</v>
      </c>
      <c r="I226" t="s">
        <v>499</v>
      </c>
      <c r="J226" t="s">
        <v>20</v>
      </c>
      <c r="K226" t="s">
        <v>21</v>
      </c>
      <c r="L226" s="14">
        <v>46184</v>
      </c>
      <c r="M226">
        <v>63</v>
      </c>
      <c r="N226" t="s">
        <v>22</v>
      </c>
      <c r="O226" t="s">
        <v>22</v>
      </c>
      <c r="P226" s="14">
        <v>46099</v>
      </c>
      <c r="Q226" t="s">
        <v>23</v>
      </c>
      <c r="R226" s="7">
        <f>IFERROR(VLOOKUP(Tabla1[[#This Row],[Número de documento del contacto]],'Resoluciones 1 (Res)'!$A:$C,2,0),"")</f>
        <v>7475</v>
      </c>
      <c r="S226" s="11">
        <f>IFERROR(VLOOKUP(Tabla1[[#This Row],[Número de documento del contacto]],'Resoluciones 1 (Res)'!$A:$C,3,0),"")</f>
        <v>46184.606747685197</v>
      </c>
      <c r="T226" s="7" t="str">
        <f>IFERROR(VLOOKUP(Tabla1[[#This Row],[Número de documento del contacto]],'Resoluciones 2 (Req)'!$B:$E,3,0),"")</f>
        <v>12254</v>
      </c>
      <c r="U226" s="7" t="str">
        <f t="shared" si="12"/>
        <v>9 de abril de 2026</v>
      </c>
      <c r="V226" s="7" t="str">
        <f t="shared" si="13"/>
        <v>18 de marzo de 2026</v>
      </c>
      <c r="W226" s="8" t="str">
        <f>"1-" &amp; ROWS($W$2:W226) &amp; ".pdf"</f>
        <v>1-225.pdf</v>
      </c>
      <c r="X226" s="7" t="str">
        <f>Tabla1[[#This Row],[Número de documento del contacto]]&amp;"-"&amp;Tabla1[[#This Row],[Número de resolución de archivo]]&amp;".pdf"</f>
        <v>1121854055-7475.pdf</v>
      </c>
      <c r="Y226" s="7" t="str">
        <f t="shared" si="14"/>
        <v>ren "1-225.pdf" "1121854055-7475.pdf"</v>
      </c>
      <c r="Z226" s="7" t="str">
        <f>Tabla1[[#This Row],[Número de documento del contacto]]&amp;"_"&amp;Tabla1[[#This Row],[Número de resolución de archivo]]&amp;".pdf"</f>
        <v>1121854055_7475.pdf</v>
      </c>
      <c r="AA226" s="7" t="s">
        <v>49</v>
      </c>
      <c r="AB226" s="7" t="str">
        <f>Tabla1[[#This Row],[Nombre PDF / cedula + num resolucion]]&amp;";"&amp;Tabla1[[#This Row],[instructivo]]</f>
        <v>1121854055_7475.pdf;10. Instructivo_Radicar_Activación_Credencial_DIGITAL_SIRNA.pdf</v>
      </c>
      <c r="AC226" s="7" t="str">
        <f>Tabla1[[#This Row],[Número de resolución de archivo]]&amp;"_"&amp;Tabla1[[#This Row],[Número de documento del contacto]]</f>
        <v>7475_1121854055</v>
      </c>
    </row>
    <row r="227" spans="1:29" x14ac:dyDescent="0.25">
      <c r="A227">
        <v>16255</v>
      </c>
      <c r="B227" t="s">
        <v>14</v>
      </c>
      <c r="C227" t="s">
        <v>15</v>
      </c>
      <c r="D227" t="s">
        <v>16</v>
      </c>
      <c r="E227" t="s">
        <v>17</v>
      </c>
      <c r="F227" s="14">
        <v>46121</v>
      </c>
      <c r="G227">
        <v>1121915932</v>
      </c>
      <c r="H227" t="s">
        <v>500</v>
      </c>
      <c r="I227" t="s">
        <v>501</v>
      </c>
      <c r="J227" t="s">
        <v>20</v>
      </c>
      <c r="K227" t="s">
        <v>21</v>
      </c>
      <c r="L227" s="14">
        <v>46184</v>
      </c>
      <c r="M227">
        <v>63</v>
      </c>
      <c r="N227" t="s">
        <v>22</v>
      </c>
      <c r="O227" t="s">
        <v>22</v>
      </c>
      <c r="P227" s="14">
        <v>46098</v>
      </c>
      <c r="Q227" t="s">
        <v>23</v>
      </c>
      <c r="R227" s="7">
        <f>IFERROR(VLOOKUP(Tabla1[[#This Row],[Número de documento del contacto]],'Resoluciones 1 (Res)'!$A:$C,2,0),"")</f>
        <v>7506</v>
      </c>
      <c r="S227" s="11">
        <f>IFERROR(VLOOKUP(Tabla1[[#This Row],[Número de documento del contacto]],'Resoluciones 1 (Res)'!$A:$C,3,0),"")</f>
        <v>46184.606747685197</v>
      </c>
      <c r="T227" s="7" t="str">
        <f>IFERROR(VLOOKUP(Tabla1[[#This Row],[Número de documento del contacto]],'Resoluciones 2 (Req)'!$B:$E,3,0),"")</f>
        <v>12255</v>
      </c>
      <c r="U227" s="7" t="str">
        <f t="shared" si="12"/>
        <v>9 de abril de 2026</v>
      </c>
      <c r="V227" s="7" t="str">
        <f t="shared" si="13"/>
        <v>17 de marzo de 2026</v>
      </c>
      <c r="W227" s="8" t="str">
        <f>"1-" &amp; ROWS($W$2:W227) &amp; ".pdf"</f>
        <v>1-226.pdf</v>
      </c>
      <c r="X227" s="7" t="str">
        <f>Tabla1[[#This Row],[Número de documento del contacto]]&amp;"-"&amp;Tabla1[[#This Row],[Número de resolución de archivo]]&amp;".pdf"</f>
        <v>1121915932-7506.pdf</v>
      </c>
      <c r="Y227" s="7" t="str">
        <f t="shared" si="14"/>
        <v>ren "1-226.pdf" "1121915932-7506.pdf"</v>
      </c>
      <c r="Z227" s="7" t="str">
        <f>Tabla1[[#This Row],[Número de documento del contacto]]&amp;"_"&amp;Tabla1[[#This Row],[Número de resolución de archivo]]&amp;".pdf"</f>
        <v>1121915932_7506.pdf</v>
      </c>
      <c r="AA227" s="7" t="s">
        <v>49</v>
      </c>
      <c r="AB227" s="7" t="str">
        <f>Tabla1[[#This Row],[Nombre PDF / cedula + num resolucion]]&amp;";"&amp;Tabla1[[#This Row],[instructivo]]</f>
        <v>1121915932_7506.pdf;10. Instructivo_Radicar_Activación_Credencial_DIGITAL_SIRNA.pdf</v>
      </c>
      <c r="AC227" s="7" t="str">
        <f>Tabla1[[#This Row],[Número de resolución de archivo]]&amp;"_"&amp;Tabla1[[#This Row],[Número de documento del contacto]]</f>
        <v>7506_1121915932</v>
      </c>
    </row>
    <row r="228" spans="1:29" x14ac:dyDescent="0.25">
      <c r="A228">
        <v>15909</v>
      </c>
      <c r="B228" t="s">
        <v>14</v>
      </c>
      <c r="C228" t="s">
        <v>15</v>
      </c>
      <c r="D228" t="s">
        <v>16</v>
      </c>
      <c r="E228" t="s">
        <v>17</v>
      </c>
      <c r="F228" s="14">
        <v>46121</v>
      </c>
      <c r="G228">
        <v>1121950314</v>
      </c>
      <c r="H228" t="s">
        <v>502</v>
      </c>
      <c r="I228" t="s">
        <v>503</v>
      </c>
      <c r="J228" t="s">
        <v>20</v>
      </c>
      <c r="K228" t="s">
        <v>21</v>
      </c>
      <c r="L228" s="14">
        <v>46184</v>
      </c>
      <c r="M228">
        <v>63</v>
      </c>
      <c r="N228" t="s">
        <v>22</v>
      </c>
      <c r="O228" t="s">
        <v>22</v>
      </c>
      <c r="P228" s="14">
        <v>46096</v>
      </c>
      <c r="Q228" t="s">
        <v>23</v>
      </c>
      <c r="R228" s="7">
        <f>IFERROR(VLOOKUP(Tabla1[[#This Row],[Número de documento del contacto]],'Resoluciones 1 (Res)'!$A:$C,2,0),"")</f>
        <v>7544</v>
      </c>
      <c r="S228" s="11">
        <f>IFERROR(VLOOKUP(Tabla1[[#This Row],[Número de documento del contacto]],'Resoluciones 1 (Res)'!$A:$C,3,0),"")</f>
        <v>46184.606747685197</v>
      </c>
      <c r="T228" s="7" t="str">
        <f>IFERROR(VLOOKUP(Tabla1[[#This Row],[Número de documento del contacto]],'Resoluciones 2 (Req)'!$B:$E,3,0),"")</f>
        <v>12256</v>
      </c>
      <c r="U228" s="7" t="str">
        <f t="shared" si="12"/>
        <v>9 de abril de 2026</v>
      </c>
      <c r="V228" s="7" t="str">
        <f t="shared" si="13"/>
        <v>15 de marzo de 2026</v>
      </c>
      <c r="W228" s="8" t="str">
        <f>"1-" &amp; ROWS($W$2:W228) &amp; ".pdf"</f>
        <v>1-227.pdf</v>
      </c>
      <c r="X228" s="7" t="str">
        <f>Tabla1[[#This Row],[Número de documento del contacto]]&amp;"-"&amp;Tabla1[[#This Row],[Número de resolución de archivo]]&amp;".pdf"</f>
        <v>1121950314-7544.pdf</v>
      </c>
      <c r="Y228" s="7" t="str">
        <f t="shared" si="14"/>
        <v>ren "1-227.pdf" "1121950314-7544.pdf"</v>
      </c>
      <c r="Z228" s="7" t="str">
        <f>Tabla1[[#This Row],[Número de documento del contacto]]&amp;"_"&amp;Tabla1[[#This Row],[Número de resolución de archivo]]&amp;".pdf"</f>
        <v>1121950314_7544.pdf</v>
      </c>
      <c r="AA228" s="7" t="s">
        <v>49</v>
      </c>
      <c r="AB228" s="7" t="str">
        <f>Tabla1[[#This Row],[Nombre PDF / cedula + num resolucion]]&amp;";"&amp;Tabla1[[#This Row],[instructivo]]</f>
        <v>1121950314_7544.pdf;10. Instructivo_Radicar_Activación_Credencial_DIGITAL_SIRNA.pdf</v>
      </c>
      <c r="AC228" s="7" t="str">
        <f>Tabla1[[#This Row],[Número de resolución de archivo]]&amp;"_"&amp;Tabla1[[#This Row],[Número de documento del contacto]]</f>
        <v>7544_1121950314</v>
      </c>
    </row>
    <row r="229" spans="1:29" x14ac:dyDescent="0.25">
      <c r="A229">
        <v>16511</v>
      </c>
      <c r="B229" t="s">
        <v>14</v>
      </c>
      <c r="C229" t="s">
        <v>15</v>
      </c>
      <c r="D229" t="s">
        <v>16</v>
      </c>
      <c r="E229" t="s">
        <v>17</v>
      </c>
      <c r="F229" s="14">
        <v>46121</v>
      </c>
      <c r="G229">
        <v>1130612352</v>
      </c>
      <c r="H229" t="s">
        <v>504</v>
      </c>
      <c r="I229" t="s">
        <v>505</v>
      </c>
      <c r="J229" t="s">
        <v>20</v>
      </c>
      <c r="K229" t="s">
        <v>21</v>
      </c>
      <c r="L229" s="14">
        <v>46184</v>
      </c>
      <c r="M229">
        <v>63</v>
      </c>
      <c r="N229" t="s">
        <v>22</v>
      </c>
      <c r="O229" t="s">
        <v>22</v>
      </c>
      <c r="P229" s="14">
        <v>46099</v>
      </c>
      <c r="Q229" t="s">
        <v>23</v>
      </c>
      <c r="R229" s="7">
        <f>IFERROR(VLOOKUP(Tabla1[[#This Row],[Número de documento del contacto]],'Resoluciones 1 (Res)'!$A:$C,2,0),"")</f>
        <v>7630</v>
      </c>
      <c r="S229" s="11">
        <f>IFERROR(VLOOKUP(Tabla1[[#This Row],[Número de documento del contacto]],'Resoluciones 1 (Res)'!$A:$C,3,0),"")</f>
        <v>46184.606747685197</v>
      </c>
      <c r="T229" s="7" t="str">
        <f>IFERROR(VLOOKUP(Tabla1[[#This Row],[Número de documento del contacto]],'Resoluciones 2 (Req)'!$B:$E,3,0),"")</f>
        <v>12257</v>
      </c>
      <c r="U229" s="7" t="str">
        <f t="shared" si="12"/>
        <v>9 de abril de 2026</v>
      </c>
      <c r="V229" s="7" t="str">
        <f t="shared" si="13"/>
        <v>18 de marzo de 2026</v>
      </c>
      <c r="W229" s="8" t="str">
        <f>"1-" &amp; ROWS($W$2:W229) &amp; ".pdf"</f>
        <v>1-228.pdf</v>
      </c>
      <c r="X229" s="7" t="str">
        <f>Tabla1[[#This Row],[Número de documento del contacto]]&amp;"-"&amp;Tabla1[[#This Row],[Número de resolución de archivo]]&amp;".pdf"</f>
        <v>1130612352-7630.pdf</v>
      </c>
      <c r="Y229" s="7" t="str">
        <f t="shared" si="14"/>
        <v>ren "1-228.pdf" "1130612352-7630.pdf"</v>
      </c>
      <c r="Z229" s="7" t="str">
        <f>Tabla1[[#This Row],[Número de documento del contacto]]&amp;"_"&amp;Tabla1[[#This Row],[Número de resolución de archivo]]&amp;".pdf"</f>
        <v>1130612352_7630.pdf</v>
      </c>
      <c r="AA229" s="7" t="s">
        <v>49</v>
      </c>
      <c r="AB229" s="7" t="str">
        <f>Tabla1[[#This Row],[Nombre PDF / cedula + num resolucion]]&amp;";"&amp;Tabla1[[#This Row],[instructivo]]</f>
        <v>1130612352_7630.pdf;10. Instructivo_Radicar_Activación_Credencial_DIGITAL_SIRNA.pdf</v>
      </c>
      <c r="AC229" s="7" t="str">
        <f>Tabla1[[#This Row],[Número de resolución de archivo]]&amp;"_"&amp;Tabla1[[#This Row],[Número de documento del contacto]]</f>
        <v>7630_1130612352</v>
      </c>
    </row>
    <row r="230" spans="1:29" x14ac:dyDescent="0.25">
      <c r="A230">
        <v>15648</v>
      </c>
      <c r="B230" t="s">
        <v>14</v>
      </c>
      <c r="C230" t="s">
        <v>15</v>
      </c>
      <c r="D230" t="s">
        <v>16</v>
      </c>
      <c r="E230" t="s">
        <v>17</v>
      </c>
      <c r="F230" s="14">
        <v>46121</v>
      </c>
      <c r="G230">
        <v>1143155797</v>
      </c>
      <c r="H230" t="s">
        <v>506</v>
      </c>
      <c r="I230" t="s">
        <v>507</v>
      </c>
      <c r="J230" t="s">
        <v>20</v>
      </c>
      <c r="K230" t="s">
        <v>21</v>
      </c>
      <c r="L230" s="14">
        <v>46184</v>
      </c>
      <c r="M230">
        <v>63</v>
      </c>
      <c r="N230" t="s">
        <v>22</v>
      </c>
      <c r="O230" t="s">
        <v>22</v>
      </c>
      <c r="P230" s="14">
        <v>46094</v>
      </c>
      <c r="Q230" t="s">
        <v>23</v>
      </c>
      <c r="R230" s="7">
        <f>IFERROR(VLOOKUP(Tabla1[[#This Row],[Número de documento del contacto]],'Resoluciones 1 (Res)'!$A:$C,2,0),"")</f>
        <v>7587</v>
      </c>
      <c r="S230" s="11">
        <f>IFERROR(VLOOKUP(Tabla1[[#This Row],[Número de documento del contacto]],'Resoluciones 1 (Res)'!$A:$C,3,0),"")</f>
        <v>46184.606747685197</v>
      </c>
      <c r="T230" s="7" t="str">
        <f>IFERROR(VLOOKUP(Tabla1[[#This Row],[Número de documento del contacto]],'Resoluciones 2 (Req)'!$B:$E,3,0),"")</f>
        <v>12258</v>
      </c>
      <c r="U230" s="7" t="str">
        <f t="shared" si="12"/>
        <v>9 de abril de 2026</v>
      </c>
      <c r="V230" s="7" t="str">
        <f t="shared" si="13"/>
        <v>13 de marzo de 2026</v>
      </c>
      <c r="W230" s="8" t="str">
        <f>"1-" &amp; ROWS($W$2:W230) &amp; ".pdf"</f>
        <v>1-229.pdf</v>
      </c>
      <c r="X230" s="7" t="str">
        <f>Tabla1[[#This Row],[Número de documento del contacto]]&amp;"-"&amp;Tabla1[[#This Row],[Número de resolución de archivo]]&amp;".pdf"</f>
        <v>1143155797-7587.pdf</v>
      </c>
      <c r="Y230" s="7" t="str">
        <f t="shared" si="14"/>
        <v>ren "1-229.pdf" "1143155797-7587.pdf"</v>
      </c>
      <c r="Z230" s="7" t="str">
        <f>Tabla1[[#This Row],[Número de documento del contacto]]&amp;"_"&amp;Tabla1[[#This Row],[Número de resolución de archivo]]&amp;".pdf"</f>
        <v>1143155797_7587.pdf</v>
      </c>
      <c r="AA230" s="7" t="s">
        <v>49</v>
      </c>
      <c r="AB230" s="7" t="str">
        <f>Tabla1[[#This Row],[Nombre PDF / cedula + num resolucion]]&amp;";"&amp;Tabla1[[#This Row],[instructivo]]</f>
        <v>1143155797_7587.pdf;10. Instructivo_Radicar_Activación_Credencial_DIGITAL_SIRNA.pdf</v>
      </c>
      <c r="AC230" s="7" t="str">
        <f>Tabla1[[#This Row],[Número de resolución de archivo]]&amp;"_"&amp;Tabla1[[#This Row],[Número de documento del contacto]]</f>
        <v>7587_1143155797</v>
      </c>
    </row>
    <row r="231" spans="1:29" x14ac:dyDescent="0.25">
      <c r="A231">
        <v>16083</v>
      </c>
      <c r="B231" t="s">
        <v>14</v>
      </c>
      <c r="C231" t="s">
        <v>15</v>
      </c>
      <c r="D231" t="s">
        <v>16</v>
      </c>
      <c r="E231" t="s">
        <v>17</v>
      </c>
      <c r="F231" s="14">
        <v>46120</v>
      </c>
      <c r="G231">
        <v>6102742</v>
      </c>
      <c r="H231" t="s">
        <v>508</v>
      </c>
      <c r="I231" t="s">
        <v>509</v>
      </c>
      <c r="J231" t="s">
        <v>20</v>
      </c>
      <c r="K231" t="s">
        <v>21</v>
      </c>
      <c r="L231" s="14">
        <v>46184</v>
      </c>
      <c r="M231">
        <v>64</v>
      </c>
      <c r="N231" t="s">
        <v>22</v>
      </c>
      <c r="O231" t="s">
        <v>22</v>
      </c>
      <c r="P231" s="14">
        <v>46097</v>
      </c>
      <c r="Q231" t="s">
        <v>23</v>
      </c>
      <c r="R231" s="7">
        <f>IFERROR(VLOOKUP(Tabla1[[#This Row],[Número de documento del contacto]],'Resoluciones 1 (Res)'!$A:$C,2,0),"")</f>
        <v>7527</v>
      </c>
      <c r="S231" s="11">
        <f>IFERROR(VLOOKUP(Tabla1[[#This Row],[Número de documento del contacto]],'Resoluciones 1 (Res)'!$A:$C,3,0),"")</f>
        <v>46184.606747685197</v>
      </c>
      <c r="T231" s="7" t="str">
        <f>IFERROR(VLOOKUP(Tabla1[[#This Row],[Número de documento del contacto]],'Resoluciones 2 (Req)'!$B:$E,3,0),"")</f>
        <v>12101</v>
      </c>
      <c r="U231" s="7" t="str">
        <f t="shared" si="12"/>
        <v>8 de abril de 2026</v>
      </c>
      <c r="V231" s="7" t="str">
        <f t="shared" si="13"/>
        <v>16 de marzo de 2026</v>
      </c>
      <c r="W231" s="8" t="str">
        <f>"1-" &amp; ROWS($W$2:W231) &amp; ".pdf"</f>
        <v>1-230.pdf</v>
      </c>
      <c r="X231" s="7" t="str">
        <f>Tabla1[[#This Row],[Número de documento del contacto]]&amp;"-"&amp;Tabla1[[#This Row],[Número de resolución de archivo]]&amp;".pdf"</f>
        <v>6102742-7527.pdf</v>
      </c>
      <c r="Y231" s="7" t="str">
        <f t="shared" si="14"/>
        <v>ren "1-230.pdf" "6102742-7527.pdf"</v>
      </c>
      <c r="Z231" s="7" t="str">
        <f>Tabla1[[#This Row],[Número de documento del contacto]]&amp;"_"&amp;Tabla1[[#This Row],[Número de resolución de archivo]]&amp;".pdf"</f>
        <v>6102742_7527.pdf</v>
      </c>
      <c r="AA231" s="7" t="s">
        <v>49</v>
      </c>
      <c r="AB231" s="7" t="str">
        <f>Tabla1[[#This Row],[Nombre PDF / cedula + num resolucion]]&amp;";"&amp;Tabla1[[#This Row],[instructivo]]</f>
        <v>6102742_7527.pdf;10. Instructivo_Radicar_Activación_Credencial_DIGITAL_SIRNA.pdf</v>
      </c>
      <c r="AC231" s="7" t="str">
        <f>Tabla1[[#This Row],[Número de resolución de archivo]]&amp;"_"&amp;Tabla1[[#This Row],[Número de documento del contacto]]</f>
        <v>7527_6102742</v>
      </c>
    </row>
    <row r="232" spans="1:29" x14ac:dyDescent="0.25">
      <c r="A232">
        <v>15076</v>
      </c>
      <c r="B232" t="s">
        <v>14</v>
      </c>
      <c r="C232" t="s">
        <v>15</v>
      </c>
      <c r="D232" t="s">
        <v>16</v>
      </c>
      <c r="E232" t="s">
        <v>17</v>
      </c>
      <c r="F232" s="14">
        <v>46120</v>
      </c>
      <c r="G232">
        <v>7179039</v>
      </c>
      <c r="H232" t="s">
        <v>510</v>
      </c>
      <c r="I232" t="s">
        <v>511</v>
      </c>
      <c r="J232" t="s">
        <v>20</v>
      </c>
      <c r="K232" t="s">
        <v>21</v>
      </c>
      <c r="L232" s="14">
        <v>46184</v>
      </c>
      <c r="M232">
        <v>64</v>
      </c>
      <c r="N232" t="s">
        <v>22</v>
      </c>
      <c r="O232" t="s">
        <v>22</v>
      </c>
      <c r="P232" s="14">
        <v>46091</v>
      </c>
      <c r="Q232" t="s">
        <v>23</v>
      </c>
      <c r="R232" s="7">
        <f>IFERROR(VLOOKUP(Tabla1[[#This Row],[Número de documento del contacto]],'Resoluciones 1 (Res)'!$A:$C,2,0),"")</f>
        <v>7434</v>
      </c>
      <c r="S232" s="11">
        <f>IFERROR(VLOOKUP(Tabla1[[#This Row],[Número de documento del contacto]],'Resoluciones 1 (Res)'!$A:$C,3,0),"")</f>
        <v>46184.606747685197</v>
      </c>
      <c r="T232" s="7" t="str">
        <f>IFERROR(VLOOKUP(Tabla1[[#This Row],[Número de documento del contacto]],'Resoluciones 2 (Req)'!$B:$E,3,0),"")</f>
        <v>12002</v>
      </c>
      <c r="U232" s="7" t="str">
        <f t="shared" si="12"/>
        <v>8 de abril de 2026</v>
      </c>
      <c r="V232" s="7" t="str">
        <f t="shared" si="13"/>
        <v>10 de marzo de 2026</v>
      </c>
      <c r="W232" s="8" t="str">
        <f>"1-" &amp; ROWS($W$2:W232) &amp; ".pdf"</f>
        <v>1-231.pdf</v>
      </c>
      <c r="X232" s="7" t="str">
        <f>Tabla1[[#This Row],[Número de documento del contacto]]&amp;"-"&amp;Tabla1[[#This Row],[Número de resolución de archivo]]&amp;".pdf"</f>
        <v>7179039-7434.pdf</v>
      </c>
      <c r="Y232" s="7" t="str">
        <f t="shared" si="14"/>
        <v>ren "1-231.pdf" "7179039-7434.pdf"</v>
      </c>
      <c r="Z232" s="7" t="str">
        <f>Tabla1[[#This Row],[Número de documento del contacto]]&amp;"_"&amp;Tabla1[[#This Row],[Número de resolución de archivo]]&amp;".pdf"</f>
        <v>7179039_7434.pdf</v>
      </c>
      <c r="AA232" s="7" t="s">
        <v>49</v>
      </c>
      <c r="AB232" s="7" t="str">
        <f>Tabla1[[#This Row],[Nombre PDF / cedula + num resolucion]]&amp;";"&amp;Tabla1[[#This Row],[instructivo]]</f>
        <v>7179039_7434.pdf;10. Instructivo_Radicar_Activación_Credencial_DIGITAL_SIRNA.pdf</v>
      </c>
      <c r="AC232" s="7" t="str">
        <f>Tabla1[[#This Row],[Número de resolución de archivo]]&amp;"_"&amp;Tabla1[[#This Row],[Número de documento del contacto]]</f>
        <v>7434_7179039</v>
      </c>
    </row>
    <row r="233" spans="1:29" x14ac:dyDescent="0.25">
      <c r="A233">
        <v>15206</v>
      </c>
      <c r="B233" t="s">
        <v>14</v>
      </c>
      <c r="C233" t="s">
        <v>15</v>
      </c>
      <c r="D233" t="s">
        <v>16</v>
      </c>
      <c r="E233" t="s">
        <v>17</v>
      </c>
      <c r="F233" s="14">
        <v>46120</v>
      </c>
      <c r="G233">
        <v>8432855</v>
      </c>
      <c r="H233" t="s">
        <v>512</v>
      </c>
      <c r="I233" t="s">
        <v>513</v>
      </c>
      <c r="J233" t="s">
        <v>20</v>
      </c>
      <c r="K233" t="s">
        <v>21</v>
      </c>
      <c r="L233" s="14">
        <v>46184</v>
      </c>
      <c r="M233">
        <v>64</v>
      </c>
      <c r="N233" t="s">
        <v>22</v>
      </c>
      <c r="O233" t="s">
        <v>22</v>
      </c>
      <c r="P233" s="14">
        <v>46091</v>
      </c>
      <c r="Q233" t="s">
        <v>23</v>
      </c>
      <c r="R233" s="7">
        <f>IFERROR(VLOOKUP(Tabla1[[#This Row],[Número de documento del contacto]],'Resoluciones 1 (Res)'!$A:$C,2,0),"")</f>
        <v>7674</v>
      </c>
      <c r="S233" s="11">
        <f>IFERROR(VLOOKUP(Tabla1[[#This Row],[Número de documento del contacto]],'Resoluciones 1 (Res)'!$A:$C,3,0),"")</f>
        <v>46184.606747685197</v>
      </c>
      <c r="T233" s="7" t="str">
        <f>IFERROR(VLOOKUP(Tabla1[[#This Row],[Número de documento del contacto]],'Resoluciones 2 (Req)'!$B:$E,3,0),"")</f>
        <v>12003</v>
      </c>
      <c r="U233" s="7" t="str">
        <f t="shared" si="12"/>
        <v>8 de abril de 2026</v>
      </c>
      <c r="V233" s="7" t="str">
        <f t="shared" si="13"/>
        <v>10 de marzo de 2026</v>
      </c>
      <c r="W233" s="8" t="str">
        <f>"1-" &amp; ROWS($W$2:W233) &amp; ".pdf"</f>
        <v>1-232.pdf</v>
      </c>
      <c r="X233" s="7" t="str">
        <f>Tabla1[[#This Row],[Número de documento del contacto]]&amp;"-"&amp;Tabla1[[#This Row],[Número de resolución de archivo]]&amp;".pdf"</f>
        <v>8432855-7674.pdf</v>
      </c>
      <c r="Y233" s="7" t="str">
        <f t="shared" si="14"/>
        <v>ren "1-232.pdf" "8432855-7674.pdf"</v>
      </c>
      <c r="Z233" s="7" t="str">
        <f>Tabla1[[#This Row],[Número de documento del contacto]]&amp;"_"&amp;Tabla1[[#This Row],[Número de resolución de archivo]]&amp;".pdf"</f>
        <v>8432855_7674.pdf</v>
      </c>
      <c r="AA233" s="7" t="s">
        <v>49</v>
      </c>
      <c r="AB233" s="7" t="str">
        <f>Tabla1[[#This Row],[Nombre PDF / cedula + num resolucion]]&amp;";"&amp;Tabla1[[#This Row],[instructivo]]</f>
        <v>8432855_7674.pdf;10. Instructivo_Radicar_Activación_Credencial_DIGITAL_SIRNA.pdf</v>
      </c>
      <c r="AC233" s="7" t="str">
        <f>Tabla1[[#This Row],[Número de resolución de archivo]]&amp;"_"&amp;Tabla1[[#This Row],[Número de documento del contacto]]</f>
        <v>7674_8432855</v>
      </c>
    </row>
    <row r="234" spans="1:29" x14ac:dyDescent="0.25">
      <c r="A234">
        <v>14800</v>
      </c>
      <c r="B234" t="s">
        <v>14</v>
      </c>
      <c r="C234" t="s">
        <v>15</v>
      </c>
      <c r="D234" t="s">
        <v>16</v>
      </c>
      <c r="E234" t="s">
        <v>17</v>
      </c>
      <c r="F234" s="14">
        <v>46120</v>
      </c>
      <c r="G234">
        <v>8787731</v>
      </c>
      <c r="H234" t="s">
        <v>514</v>
      </c>
      <c r="I234" t="s">
        <v>515</v>
      </c>
      <c r="J234" t="s">
        <v>20</v>
      </c>
      <c r="K234" t="s">
        <v>21</v>
      </c>
      <c r="L234" s="14">
        <v>46184</v>
      </c>
      <c r="M234">
        <v>64</v>
      </c>
      <c r="N234" t="s">
        <v>22</v>
      </c>
      <c r="O234" t="s">
        <v>22</v>
      </c>
      <c r="P234" s="14">
        <v>46090</v>
      </c>
      <c r="Q234" t="s">
        <v>23</v>
      </c>
      <c r="R234" s="7">
        <f>IFERROR(VLOOKUP(Tabla1[[#This Row],[Número de documento del contacto]],'Resoluciones 1 (Res)'!$A:$C,2,0),"")</f>
        <v>7493</v>
      </c>
      <c r="S234" s="11">
        <f>IFERROR(VLOOKUP(Tabla1[[#This Row],[Número de documento del contacto]],'Resoluciones 1 (Res)'!$A:$C,3,0),"")</f>
        <v>46184.606747685197</v>
      </c>
      <c r="T234" s="7" t="str">
        <f>IFERROR(VLOOKUP(Tabla1[[#This Row],[Número de documento del contacto]],'Resoluciones 2 (Req)'!$B:$E,3,0),"")</f>
        <v>12004</v>
      </c>
      <c r="U234" s="7" t="str">
        <f t="shared" si="12"/>
        <v>8 de abril de 2026</v>
      </c>
      <c r="V234" s="7" t="str">
        <f t="shared" si="13"/>
        <v>9 de marzo de 2026</v>
      </c>
      <c r="W234" s="8" t="str">
        <f>"1-" &amp; ROWS($W$2:W234) &amp; ".pdf"</f>
        <v>1-233.pdf</v>
      </c>
      <c r="X234" s="7" t="str">
        <f>Tabla1[[#This Row],[Número de documento del contacto]]&amp;"-"&amp;Tabla1[[#This Row],[Número de resolución de archivo]]&amp;".pdf"</f>
        <v>8787731-7493.pdf</v>
      </c>
      <c r="Y234" s="7" t="str">
        <f t="shared" si="14"/>
        <v>ren "1-233.pdf" "8787731-7493.pdf"</v>
      </c>
      <c r="Z234" s="7" t="str">
        <f>Tabla1[[#This Row],[Número de documento del contacto]]&amp;"_"&amp;Tabla1[[#This Row],[Número de resolución de archivo]]&amp;".pdf"</f>
        <v>8787731_7493.pdf</v>
      </c>
      <c r="AA234" s="7" t="s">
        <v>49</v>
      </c>
      <c r="AB234" s="7" t="str">
        <f>Tabla1[[#This Row],[Nombre PDF / cedula + num resolucion]]&amp;";"&amp;Tabla1[[#This Row],[instructivo]]</f>
        <v>8787731_7493.pdf;10. Instructivo_Radicar_Activación_Credencial_DIGITAL_SIRNA.pdf</v>
      </c>
      <c r="AC234" s="7" t="str">
        <f>Tabla1[[#This Row],[Número de resolución de archivo]]&amp;"_"&amp;Tabla1[[#This Row],[Número de documento del contacto]]</f>
        <v>7493_8787731</v>
      </c>
    </row>
    <row r="235" spans="1:29" x14ac:dyDescent="0.25">
      <c r="A235">
        <v>14793</v>
      </c>
      <c r="B235" t="s">
        <v>14</v>
      </c>
      <c r="C235" t="s">
        <v>15</v>
      </c>
      <c r="D235" t="s">
        <v>16</v>
      </c>
      <c r="E235" t="s">
        <v>17</v>
      </c>
      <c r="F235" s="14">
        <v>46120</v>
      </c>
      <c r="G235">
        <v>11035837</v>
      </c>
      <c r="H235" t="s">
        <v>516</v>
      </c>
      <c r="I235" t="s">
        <v>517</v>
      </c>
      <c r="J235" t="s">
        <v>20</v>
      </c>
      <c r="K235" t="s">
        <v>21</v>
      </c>
      <c r="L235" s="14">
        <v>46184</v>
      </c>
      <c r="M235">
        <v>64</v>
      </c>
      <c r="N235" t="s">
        <v>22</v>
      </c>
      <c r="O235" t="s">
        <v>22</v>
      </c>
      <c r="P235" s="14">
        <v>46090</v>
      </c>
      <c r="Q235" t="s">
        <v>23</v>
      </c>
      <c r="R235" s="7">
        <f>IFERROR(VLOOKUP(Tabla1[[#This Row],[Número de documento del contacto]],'Resoluciones 1 (Res)'!$A:$C,2,0),"")</f>
        <v>7605</v>
      </c>
      <c r="S235" s="11">
        <f>IFERROR(VLOOKUP(Tabla1[[#This Row],[Número de documento del contacto]],'Resoluciones 1 (Res)'!$A:$C,3,0),"")</f>
        <v>46184.606747685197</v>
      </c>
      <c r="T235" s="7" t="str">
        <f>IFERROR(VLOOKUP(Tabla1[[#This Row],[Número de documento del contacto]],'Resoluciones 2 (Req)'!$B:$E,3,0),"")</f>
        <v>12010</v>
      </c>
      <c r="U235" s="7" t="str">
        <f t="shared" si="12"/>
        <v>8 de abril de 2026</v>
      </c>
      <c r="V235" s="7" t="str">
        <f t="shared" si="13"/>
        <v>9 de marzo de 2026</v>
      </c>
      <c r="W235" s="8" t="str">
        <f>"1-" &amp; ROWS($W$2:W235) &amp; ".pdf"</f>
        <v>1-234.pdf</v>
      </c>
      <c r="X235" s="7" t="str">
        <f>Tabla1[[#This Row],[Número de documento del contacto]]&amp;"-"&amp;Tabla1[[#This Row],[Número de resolución de archivo]]&amp;".pdf"</f>
        <v>11035837-7605.pdf</v>
      </c>
      <c r="Y235" s="7" t="str">
        <f t="shared" si="14"/>
        <v>ren "1-234.pdf" "11035837-7605.pdf"</v>
      </c>
      <c r="Z235" s="7" t="str">
        <f>Tabla1[[#This Row],[Número de documento del contacto]]&amp;"_"&amp;Tabla1[[#This Row],[Número de resolución de archivo]]&amp;".pdf"</f>
        <v>11035837_7605.pdf</v>
      </c>
      <c r="AA235" s="7" t="s">
        <v>49</v>
      </c>
      <c r="AB235" s="7" t="str">
        <f>Tabla1[[#This Row],[Nombre PDF / cedula + num resolucion]]&amp;";"&amp;Tabla1[[#This Row],[instructivo]]</f>
        <v>11035837_7605.pdf;10. Instructivo_Radicar_Activación_Credencial_DIGITAL_SIRNA.pdf</v>
      </c>
      <c r="AC235" s="7" t="str">
        <f>Tabla1[[#This Row],[Número de resolución de archivo]]&amp;"_"&amp;Tabla1[[#This Row],[Número de documento del contacto]]</f>
        <v>7605_11035837</v>
      </c>
    </row>
    <row r="236" spans="1:29" x14ac:dyDescent="0.25">
      <c r="A236">
        <v>14811</v>
      </c>
      <c r="B236" t="s">
        <v>14</v>
      </c>
      <c r="C236" t="s">
        <v>15</v>
      </c>
      <c r="D236" t="s">
        <v>16</v>
      </c>
      <c r="E236" t="s">
        <v>17</v>
      </c>
      <c r="F236" s="14">
        <v>46120</v>
      </c>
      <c r="G236">
        <v>12180407</v>
      </c>
      <c r="H236" t="s">
        <v>518</v>
      </c>
      <c r="I236" t="s">
        <v>519</v>
      </c>
      <c r="J236" t="s">
        <v>20</v>
      </c>
      <c r="K236" t="s">
        <v>21</v>
      </c>
      <c r="L236" s="14">
        <v>46184</v>
      </c>
      <c r="M236">
        <v>64</v>
      </c>
      <c r="N236" t="s">
        <v>22</v>
      </c>
      <c r="O236" t="s">
        <v>22</v>
      </c>
      <c r="P236" s="14">
        <v>46090</v>
      </c>
      <c r="Q236" t="s">
        <v>23</v>
      </c>
      <c r="R236" s="7">
        <f>IFERROR(VLOOKUP(Tabla1[[#This Row],[Número de documento del contacto]],'Resoluciones 1 (Res)'!$A:$C,2,0),"")</f>
        <v>7695</v>
      </c>
      <c r="S236" s="11">
        <f>IFERROR(VLOOKUP(Tabla1[[#This Row],[Número de documento del contacto]],'Resoluciones 1 (Res)'!$A:$C,3,0),"")</f>
        <v>46184.606747685197</v>
      </c>
      <c r="T236" s="7" t="str">
        <f>IFERROR(VLOOKUP(Tabla1[[#This Row],[Número de documento del contacto]],'Resoluciones 2 (Req)'!$B:$E,3,0),"")</f>
        <v>12012</v>
      </c>
      <c r="U236" s="7" t="str">
        <f t="shared" si="12"/>
        <v>8 de abril de 2026</v>
      </c>
      <c r="V236" s="7" t="str">
        <f t="shared" si="13"/>
        <v>9 de marzo de 2026</v>
      </c>
      <c r="W236" s="8" t="str">
        <f>"1-" &amp; ROWS($W$2:W236) &amp; ".pdf"</f>
        <v>1-235.pdf</v>
      </c>
      <c r="X236" s="7" t="str">
        <f>Tabla1[[#This Row],[Número de documento del contacto]]&amp;"-"&amp;Tabla1[[#This Row],[Número de resolución de archivo]]&amp;".pdf"</f>
        <v>12180407-7695.pdf</v>
      </c>
      <c r="Y236" s="7" t="str">
        <f t="shared" si="14"/>
        <v>ren "1-235.pdf" "12180407-7695.pdf"</v>
      </c>
      <c r="Z236" s="7" t="str">
        <f>Tabla1[[#This Row],[Número de documento del contacto]]&amp;"_"&amp;Tabla1[[#This Row],[Número de resolución de archivo]]&amp;".pdf"</f>
        <v>12180407_7695.pdf</v>
      </c>
      <c r="AA236" s="7" t="s">
        <v>49</v>
      </c>
      <c r="AB236" s="7" t="str">
        <f>Tabla1[[#This Row],[Nombre PDF / cedula + num resolucion]]&amp;";"&amp;Tabla1[[#This Row],[instructivo]]</f>
        <v>12180407_7695.pdf;10. Instructivo_Radicar_Activación_Credencial_DIGITAL_SIRNA.pdf</v>
      </c>
      <c r="AC236" s="7" t="str">
        <f>Tabla1[[#This Row],[Número de resolución de archivo]]&amp;"_"&amp;Tabla1[[#This Row],[Número de documento del contacto]]</f>
        <v>7695_12180407</v>
      </c>
    </row>
    <row r="237" spans="1:29" x14ac:dyDescent="0.25">
      <c r="A237">
        <v>15452</v>
      </c>
      <c r="B237" t="s">
        <v>14</v>
      </c>
      <c r="C237" t="s">
        <v>15</v>
      </c>
      <c r="D237" t="s">
        <v>16</v>
      </c>
      <c r="E237" t="s">
        <v>17</v>
      </c>
      <c r="F237" s="14">
        <v>46120</v>
      </c>
      <c r="G237">
        <v>13458633</v>
      </c>
      <c r="H237" t="s">
        <v>520</v>
      </c>
      <c r="I237" t="s">
        <v>521</v>
      </c>
      <c r="J237" t="s">
        <v>20</v>
      </c>
      <c r="K237" t="s">
        <v>21</v>
      </c>
      <c r="L237" s="14">
        <v>46184</v>
      </c>
      <c r="M237">
        <v>64</v>
      </c>
      <c r="N237" t="s">
        <v>22</v>
      </c>
      <c r="O237" t="s">
        <v>22</v>
      </c>
      <c r="P237" s="14">
        <v>46093</v>
      </c>
      <c r="Q237" t="s">
        <v>23</v>
      </c>
      <c r="R237" s="7">
        <f>IFERROR(VLOOKUP(Tabla1[[#This Row],[Número de documento del contacto]],'Resoluciones 1 (Res)'!$A:$C,2,0),"")</f>
        <v>7686</v>
      </c>
      <c r="S237" s="11">
        <f>IFERROR(VLOOKUP(Tabla1[[#This Row],[Número de documento del contacto]],'Resoluciones 1 (Res)'!$A:$C,3,0),"")</f>
        <v>46184.606747685197</v>
      </c>
      <c r="T237" s="7" t="str">
        <f>IFERROR(VLOOKUP(Tabla1[[#This Row],[Número de documento del contacto]],'Resoluciones 2 (Req)'!$B:$E,3,0),"")</f>
        <v>12013</v>
      </c>
      <c r="U237" s="7" t="str">
        <f t="shared" si="12"/>
        <v>8 de abril de 2026</v>
      </c>
      <c r="V237" s="7" t="str">
        <f t="shared" si="13"/>
        <v>12 de marzo de 2026</v>
      </c>
      <c r="W237" s="8" t="str">
        <f>"1-" &amp; ROWS($W$2:W237) &amp; ".pdf"</f>
        <v>1-236.pdf</v>
      </c>
      <c r="X237" s="7" t="str">
        <f>Tabla1[[#This Row],[Número de documento del contacto]]&amp;"-"&amp;Tabla1[[#This Row],[Número de resolución de archivo]]&amp;".pdf"</f>
        <v>13458633-7686.pdf</v>
      </c>
      <c r="Y237" s="7" t="str">
        <f t="shared" si="14"/>
        <v>ren "1-236.pdf" "13458633-7686.pdf"</v>
      </c>
      <c r="Z237" s="7" t="str">
        <f>Tabla1[[#This Row],[Número de documento del contacto]]&amp;"_"&amp;Tabla1[[#This Row],[Número de resolución de archivo]]&amp;".pdf"</f>
        <v>13458633_7686.pdf</v>
      </c>
      <c r="AA237" s="7" t="s">
        <v>49</v>
      </c>
      <c r="AB237" s="7" t="str">
        <f>Tabla1[[#This Row],[Nombre PDF / cedula + num resolucion]]&amp;";"&amp;Tabla1[[#This Row],[instructivo]]</f>
        <v>13458633_7686.pdf;10. Instructivo_Radicar_Activación_Credencial_DIGITAL_SIRNA.pdf</v>
      </c>
      <c r="AC237" s="7" t="str">
        <f>Tabla1[[#This Row],[Número de resolución de archivo]]&amp;"_"&amp;Tabla1[[#This Row],[Número de documento del contacto]]</f>
        <v>7686_13458633</v>
      </c>
    </row>
    <row r="238" spans="1:29" x14ac:dyDescent="0.25">
      <c r="A238">
        <v>15250</v>
      </c>
      <c r="B238" t="s">
        <v>14</v>
      </c>
      <c r="C238" t="s">
        <v>15</v>
      </c>
      <c r="D238" t="s">
        <v>16</v>
      </c>
      <c r="E238" t="s">
        <v>17</v>
      </c>
      <c r="F238" s="14">
        <v>46120</v>
      </c>
      <c r="G238">
        <v>15515098</v>
      </c>
      <c r="H238" t="s">
        <v>522</v>
      </c>
      <c r="I238" t="s">
        <v>523</v>
      </c>
      <c r="J238" t="s">
        <v>20</v>
      </c>
      <c r="K238" t="s">
        <v>21</v>
      </c>
      <c r="L238" s="14">
        <v>46184</v>
      </c>
      <c r="M238">
        <v>64</v>
      </c>
      <c r="N238" t="s">
        <v>22</v>
      </c>
      <c r="O238" t="s">
        <v>22</v>
      </c>
      <c r="P238" s="14">
        <v>46092</v>
      </c>
      <c r="Q238" t="s">
        <v>23</v>
      </c>
      <c r="R238" s="7">
        <f>IFERROR(VLOOKUP(Tabla1[[#This Row],[Número de documento del contacto]],'Resoluciones 1 (Res)'!$A:$C,2,0),"")</f>
        <v>7546</v>
      </c>
      <c r="S238" s="11">
        <f>IFERROR(VLOOKUP(Tabla1[[#This Row],[Número de documento del contacto]],'Resoluciones 1 (Res)'!$A:$C,3,0),"")</f>
        <v>46184.606747685197</v>
      </c>
      <c r="T238" s="7" t="str">
        <f>IFERROR(VLOOKUP(Tabla1[[#This Row],[Número de documento del contacto]],'Resoluciones 2 (Req)'!$B:$E,3,0),"")</f>
        <v>12014</v>
      </c>
      <c r="U238" s="7" t="str">
        <f t="shared" si="12"/>
        <v>8 de abril de 2026</v>
      </c>
      <c r="V238" s="7" t="str">
        <f t="shared" si="13"/>
        <v>11 de marzo de 2026</v>
      </c>
      <c r="W238" s="8" t="str">
        <f>"1-" &amp; ROWS($W$2:W238) &amp; ".pdf"</f>
        <v>1-237.pdf</v>
      </c>
      <c r="X238" s="7" t="str">
        <f>Tabla1[[#This Row],[Número de documento del contacto]]&amp;"-"&amp;Tabla1[[#This Row],[Número de resolución de archivo]]&amp;".pdf"</f>
        <v>15515098-7546.pdf</v>
      </c>
      <c r="Y238" s="7" t="str">
        <f t="shared" si="14"/>
        <v>ren "1-237.pdf" "15515098-7546.pdf"</v>
      </c>
      <c r="Z238" s="7" t="str">
        <f>Tabla1[[#This Row],[Número de documento del contacto]]&amp;"_"&amp;Tabla1[[#This Row],[Número de resolución de archivo]]&amp;".pdf"</f>
        <v>15515098_7546.pdf</v>
      </c>
      <c r="AA238" s="7" t="s">
        <v>49</v>
      </c>
      <c r="AB238" s="7" t="str">
        <f>Tabla1[[#This Row],[Nombre PDF / cedula + num resolucion]]&amp;";"&amp;Tabla1[[#This Row],[instructivo]]</f>
        <v>15515098_7546.pdf;10. Instructivo_Radicar_Activación_Credencial_DIGITAL_SIRNA.pdf</v>
      </c>
      <c r="AC238" s="7" t="str">
        <f>Tabla1[[#This Row],[Número de resolución de archivo]]&amp;"_"&amp;Tabla1[[#This Row],[Número de documento del contacto]]</f>
        <v>7546_15515098</v>
      </c>
    </row>
    <row r="239" spans="1:29" x14ac:dyDescent="0.25">
      <c r="A239">
        <v>15382</v>
      </c>
      <c r="B239" t="s">
        <v>14</v>
      </c>
      <c r="C239" t="s">
        <v>15</v>
      </c>
      <c r="D239" t="s">
        <v>16</v>
      </c>
      <c r="E239" t="s">
        <v>17</v>
      </c>
      <c r="F239" s="14">
        <v>46120</v>
      </c>
      <c r="G239">
        <v>16677472</v>
      </c>
      <c r="H239" t="s">
        <v>524</v>
      </c>
      <c r="I239" t="s">
        <v>525</v>
      </c>
      <c r="J239" t="s">
        <v>20</v>
      </c>
      <c r="K239" t="s">
        <v>21</v>
      </c>
      <c r="L239" s="14">
        <v>46184</v>
      </c>
      <c r="M239">
        <v>64</v>
      </c>
      <c r="N239" t="s">
        <v>22</v>
      </c>
      <c r="O239" t="s">
        <v>22</v>
      </c>
      <c r="P239" s="14">
        <v>46092</v>
      </c>
      <c r="Q239" t="s">
        <v>23</v>
      </c>
      <c r="R239" s="7">
        <f>IFERROR(VLOOKUP(Tabla1[[#This Row],[Número de documento del contacto]],'Resoluciones 1 (Res)'!$A:$C,2,0),"")</f>
        <v>7660</v>
      </c>
      <c r="S239" s="11">
        <f>IFERROR(VLOOKUP(Tabla1[[#This Row],[Número de documento del contacto]],'Resoluciones 1 (Res)'!$A:$C,3,0),"")</f>
        <v>46184.606747685197</v>
      </c>
      <c r="T239" s="7" t="str">
        <f>IFERROR(VLOOKUP(Tabla1[[#This Row],[Número de documento del contacto]],'Resoluciones 2 (Req)'!$B:$E,3,0),"")</f>
        <v>12015</v>
      </c>
      <c r="U239" s="7" t="str">
        <f t="shared" si="12"/>
        <v>8 de abril de 2026</v>
      </c>
      <c r="V239" s="7" t="str">
        <f t="shared" si="13"/>
        <v>11 de marzo de 2026</v>
      </c>
      <c r="W239" s="8" t="str">
        <f>"1-" &amp; ROWS($W$2:W239) &amp; ".pdf"</f>
        <v>1-238.pdf</v>
      </c>
      <c r="X239" s="7" t="str">
        <f>Tabla1[[#This Row],[Número de documento del contacto]]&amp;"-"&amp;Tabla1[[#This Row],[Número de resolución de archivo]]&amp;".pdf"</f>
        <v>16677472-7660.pdf</v>
      </c>
      <c r="Y239" s="7" t="str">
        <f t="shared" si="14"/>
        <v>ren "1-238.pdf" "16677472-7660.pdf"</v>
      </c>
      <c r="Z239" s="7" t="str">
        <f>Tabla1[[#This Row],[Número de documento del contacto]]&amp;"_"&amp;Tabla1[[#This Row],[Número de resolución de archivo]]&amp;".pdf"</f>
        <v>16677472_7660.pdf</v>
      </c>
      <c r="AA239" s="7" t="s">
        <v>49</v>
      </c>
      <c r="AB239" s="7" t="str">
        <f>Tabla1[[#This Row],[Nombre PDF / cedula + num resolucion]]&amp;";"&amp;Tabla1[[#This Row],[instructivo]]</f>
        <v>16677472_7660.pdf;10. Instructivo_Radicar_Activación_Credencial_DIGITAL_SIRNA.pdf</v>
      </c>
      <c r="AC239" s="7" t="str">
        <f>Tabla1[[#This Row],[Número de resolución de archivo]]&amp;"_"&amp;Tabla1[[#This Row],[Número de documento del contacto]]</f>
        <v>7660_16677472</v>
      </c>
    </row>
    <row r="240" spans="1:29" x14ac:dyDescent="0.25">
      <c r="A240">
        <v>14905</v>
      </c>
      <c r="B240" t="s">
        <v>14</v>
      </c>
      <c r="C240" t="s">
        <v>15</v>
      </c>
      <c r="D240" t="s">
        <v>16</v>
      </c>
      <c r="E240" t="s">
        <v>17</v>
      </c>
      <c r="F240" s="14">
        <v>46120</v>
      </c>
      <c r="G240">
        <v>18463533</v>
      </c>
      <c r="H240" t="s">
        <v>526</v>
      </c>
      <c r="I240" t="s">
        <v>527</v>
      </c>
      <c r="J240" t="s">
        <v>20</v>
      </c>
      <c r="K240" t="s">
        <v>21</v>
      </c>
      <c r="L240" s="14">
        <v>46184</v>
      </c>
      <c r="M240">
        <v>64</v>
      </c>
      <c r="N240" t="s">
        <v>22</v>
      </c>
      <c r="O240" t="s">
        <v>22</v>
      </c>
      <c r="P240" s="14">
        <v>46090</v>
      </c>
      <c r="Q240" t="s">
        <v>23</v>
      </c>
      <c r="R240" s="7">
        <f>IFERROR(VLOOKUP(Tabla1[[#This Row],[Número de documento del contacto]],'Resoluciones 1 (Res)'!$A:$C,2,0),"")</f>
        <v>7720</v>
      </c>
      <c r="S240" s="11">
        <f>IFERROR(VLOOKUP(Tabla1[[#This Row],[Número de documento del contacto]],'Resoluciones 1 (Res)'!$A:$C,3,0),"")</f>
        <v>46184.606747685197</v>
      </c>
      <c r="T240" s="7" t="str">
        <f>IFERROR(VLOOKUP(Tabla1[[#This Row],[Número de documento del contacto]],'Resoluciones 2 (Req)'!$B:$E,3,0),"")</f>
        <v>12016</v>
      </c>
      <c r="U240" s="7" t="str">
        <f t="shared" si="12"/>
        <v>8 de abril de 2026</v>
      </c>
      <c r="V240" s="7" t="str">
        <f t="shared" si="13"/>
        <v>9 de marzo de 2026</v>
      </c>
      <c r="W240" s="8" t="str">
        <f>"1-" &amp; ROWS($W$2:W240) &amp; ".pdf"</f>
        <v>1-239.pdf</v>
      </c>
      <c r="X240" s="7" t="str">
        <f>Tabla1[[#This Row],[Número de documento del contacto]]&amp;"-"&amp;Tabla1[[#This Row],[Número de resolución de archivo]]&amp;".pdf"</f>
        <v>18463533-7720.pdf</v>
      </c>
      <c r="Y240" s="7" t="str">
        <f t="shared" si="14"/>
        <v>ren "1-239.pdf" "18463533-7720.pdf"</v>
      </c>
      <c r="Z240" s="7" t="str">
        <f>Tabla1[[#This Row],[Número de documento del contacto]]&amp;"_"&amp;Tabla1[[#This Row],[Número de resolución de archivo]]&amp;".pdf"</f>
        <v>18463533_7720.pdf</v>
      </c>
      <c r="AA240" s="7" t="s">
        <v>49</v>
      </c>
      <c r="AB240" s="7" t="str">
        <f>Tabla1[[#This Row],[Nombre PDF / cedula + num resolucion]]&amp;";"&amp;Tabla1[[#This Row],[instructivo]]</f>
        <v>18463533_7720.pdf;10. Instructivo_Radicar_Activación_Credencial_DIGITAL_SIRNA.pdf</v>
      </c>
      <c r="AC240" s="7" t="str">
        <f>Tabla1[[#This Row],[Número de resolución de archivo]]&amp;"_"&amp;Tabla1[[#This Row],[Número de documento del contacto]]</f>
        <v>7720_18463533</v>
      </c>
    </row>
    <row r="241" spans="1:29" x14ac:dyDescent="0.25">
      <c r="A241">
        <v>14648</v>
      </c>
      <c r="B241" t="s">
        <v>14</v>
      </c>
      <c r="C241" t="s">
        <v>15</v>
      </c>
      <c r="D241" t="s">
        <v>16</v>
      </c>
      <c r="E241" t="s">
        <v>17</v>
      </c>
      <c r="F241" s="14">
        <v>46120</v>
      </c>
      <c r="G241">
        <v>19255661</v>
      </c>
      <c r="H241" t="s">
        <v>528</v>
      </c>
      <c r="I241" t="s">
        <v>529</v>
      </c>
      <c r="J241" t="s">
        <v>20</v>
      </c>
      <c r="K241" t="s">
        <v>21</v>
      </c>
      <c r="L241" s="14">
        <v>46184</v>
      </c>
      <c r="M241">
        <v>64</v>
      </c>
      <c r="N241" t="s">
        <v>22</v>
      </c>
      <c r="O241" t="s">
        <v>22</v>
      </c>
      <c r="P241" s="14">
        <v>46088</v>
      </c>
      <c r="Q241" t="s">
        <v>23</v>
      </c>
      <c r="R241" s="7">
        <f>IFERROR(VLOOKUP(Tabla1[[#This Row],[Número de documento del contacto]],'Resoluciones 1 (Res)'!$A:$C,2,0),"")</f>
        <v>7648</v>
      </c>
      <c r="S241" s="11">
        <f>IFERROR(VLOOKUP(Tabla1[[#This Row],[Número de documento del contacto]],'Resoluciones 1 (Res)'!$A:$C,3,0),"")</f>
        <v>46184.606747685197</v>
      </c>
      <c r="T241" s="7" t="str">
        <f>IFERROR(VLOOKUP(Tabla1[[#This Row],[Número de documento del contacto]],'Resoluciones 2 (Req)'!$B:$E,3,0),"")</f>
        <v>11967</v>
      </c>
      <c r="U241" s="7" t="str">
        <f t="shared" si="12"/>
        <v>8 de abril de 2026</v>
      </c>
      <c r="V241" s="7" t="str">
        <f t="shared" si="13"/>
        <v>7 de marzo de 2026</v>
      </c>
      <c r="W241" s="8" t="str">
        <f>"1-" &amp; ROWS($W$2:W241) &amp; ".pdf"</f>
        <v>1-240.pdf</v>
      </c>
      <c r="X241" s="7" t="str">
        <f>Tabla1[[#This Row],[Número de documento del contacto]]&amp;"-"&amp;Tabla1[[#This Row],[Número de resolución de archivo]]&amp;".pdf"</f>
        <v>19255661-7648.pdf</v>
      </c>
      <c r="Y241" s="7" t="str">
        <f t="shared" si="14"/>
        <v>ren "1-240.pdf" "19255661-7648.pdf"</v>
      </c>
      <c r="Z241" s="7" t="str">
        <f>Tabla1[[#This Row],[Número de documento del contacto]]&amp;"_"&amp;Tabla1[[#This Row],[Número de resolución de archivo]]&amp;".pdf"</f>
        <v>19255661_7648.pdf</v>
      </c>
      <c r="AA241" s="7" t="s">
        <v>49</v>
      </c>
      <c r="AB241" s="7" t="str">
        <f>Tabla1[[#This Row],[Nombre PDF / cedula + num resolucion]]&amp;";"&amp;Tabla1[[#This Row],[instructivo]]</f>
        <v>19255661_7648.pdf;10. Instructivo_Radicar_Activación_Credencial_DIGITAL_SIRNA.pdf</v>
      </c>
      <c r="AC241" s="7" t="str">
        <f>Tabla1[[#This Row],[Número de resolución de archivo]]&amp;"_"&amp;Tabla1[[#This Row],[Número de documento del contacto]]</f>
        <v>7648_19255661</v>
      </c>
    </row>
    <row r="242" spans="1:29" x14ac:dyDescent="0.25">
      <c r="A242">
        <v>15398</v>
      </c>
      <c r="B242" t="s">
        <v>14</v>
      </c>
      <c r="C242" t="s">
        <v>15</v>
      </c>
      <c r="D242" t="s">
        <v>16</v>
      </c>
      <c r="E242" t="s">
        <v>17</v>
      </c>
      <c r="F242" s="14">
        <v>46120</v>
      </c>
      <c r="G242">
        <v>21872564</v>
      </c>
      <c r="H242" t="s">
        <v>530</v>
      </c>
      <c r="I242" t="s">
        <v>531</v>
      </c>
      <c r="J242" t="s">
        <v>20</v>
      </c>
      <c r="K242" t="s">
        <v>21</v>
      </c>
      <c r="L242" s="14">
        <v>46184</v>
      </c>
      <c r="M242">
        <v>64</v>
      </c>
      <c r="N242" t="s">
        <v>22</v>
      </c>
      <c r="O242" t="s">
        <v>22</v>
      </c>
      <c r="P242" s="14">
        <v>46092</v>
      </c>
      <c r="Q242" t="s">
        <v>23</v>
      </c>
      <c r="R242" s="7">
        <f>IFERROR(VLOOKUP(Tabla1[[#This Row],[Número de documento del contacto]],'Resoluciones 1 (Res)'!$A:$C,2,0),"")</f>
        <v>7654</v>
      </c>
      <c r="S242" s="11">
        <f>IFERROR(VLOOKUP(Tabla1[[#This Row],[Número de documento del contacto]],'Resoluciones 1 (Res)'!$A:$C,3,0),"")</f>
        <v>46184.606747685197</v>
      </c>
      <c r="T242" s="7" t="str">
        <f>IFERROR(VLOOKUP(Tabla1[[#This Row],[Número de documento del contacto]],'Resoluciones 2 (Req)'!$B:$E,3,0),"")</f>
        <v>12017</v>
      </c>
      <c r="U242" s="7" t="str">
        <f t="shared" si="12"/>
        <v>8 de abril de 2026</v>
      </c>
      <c r="V242" s="7" t="str">
        <f t="shared" si="13"/>
        <v>11 de marzo de 2026</v>
      </c>
      <c r="W242" s="8" t="str">
        <f>"1-" &amp; ROWS($W$2:W242) &amp; ".pdf"</f>
        <v>1-241.pdf</v>
      </c>
      <c r="X242" s="7" t="str">
        <f>Tabla1[[#This Row],[Número de documento del contacto]]&amp;"-"&amp;Tabla1[[#This Row],[Número de resolución de archivo]]&amp;".pdf"</f>
        <v>21872564-7654.pdf</v>
      </c>
      <c r="Y242" s="7" t="str">
        <f t="shared" si="14"/>
        <v>ren "1-241.pdf" "21872564-7654.pdf"</v>
      </c>
      <c r="Z242" s="7" t="str">
        <f>Tabla1[[#This Row],[Número de documento del contacto]]&amp;"_"&amp;Tabla1[[#This Row],[Número de resolución de archivo]]&amp;".pdf"</f>
        <v>21872564_7654.pdf</v>
      </c>
      <c r="AA242" s="7" t="s">
        <v>49</v>
      </c>
      <c r="AB242" s="7" t="str">
        <f>Tabla1[[#This Row],[Nombre PDF / cedula + num resolucion]]&amp;";"&amp;Tabla1[[#This Row],[instructivo]]</f>
        <v>21872564_7654.pdf;10. Instructivo_Radicar_Activación_Credencial_DIGITAL_SIRNA.pdf</v>
      </c>
      <c r="AC242" s="7" t="str">
        <f>Tabla1[[#This Row],[Número de resolución de archivo]]&amp;"_"&amp;Tabla1[[#This Row],[Número de documento del contacto]]</f>
        <v>7654_21872564</v>
      </c>
    </row>
    <row r="243" spans="1:29" x14ac:dyDescent="0.25">
      <c r="A243">
        <v>14838</v>
      </c>
      <c r="B243" t="s">
        <v>14</v>
      </c>
      <c r="C243" t="s">
        <v>15</v>
      </c>
      <c r="D243" t="s">
        <v>16</v>
      </c>
      <c r="E243" t="s">
        <v>17</v>
      </c>
      <c r="F243" s="14">
        <v>46120</v>
      </c>
      <c r="G243">
        <v>31912811</v>
      </c>
      <c r="H243" t="s">
        <v>532</v>
      </c>
      <c r="I243" t="s">
        <v>533</v>
      </c>
      <c r="J243" t="s">
        <v>20</v>
      </c>
      <c r="K243" t="s">
        <v>21</v>
      </c>
      <c r="L243" s="14">
        <v>46184</v>
      </c>
      <c r="M243">
        <v>64</v>
      </c>
      <c r="N243" t="s">
        <v>22</v>
      </c>
      <c r="O243" t="s">
        <v>22</v>
      </c>
      <c r="P243" s="14">
        <v>46090</v>
      </c>
      <c r="Q243" t="s">
        <v>23</v>
      </c>
      <c r="R243" s="7">
        <f>IFERROR(VLOOKUP(Tabla1[[#This Row],[Número de documento del contacto]],'Resoluciones 1 (Res)'!$A:$C,2,0),"")</f>
        <v>7649</v>
      </c>
      <c r="S243" s="11">
        <f>IFERROR(VLOOKUP(Tabla1[[#This Row],[Número de documento del contacto]],'Resoluciones 1 (Res)'!$A:$C,3,0),"")</f>
        <v>46184.606747685197</v>
      </c>
      <c r="T243" s="7" t="str">
        <f>IFERROR(VLOOKUP(Tabla1[[#This Row],[Número de documento del contacto]],'Resoluciones 2 (Req)'!$B:$E,3,0),"")</f>
        <v>12018</v>
      </c>
      <c r="U243" s="7" t="str">
        <f t="shared" si="12"/>
        <v>8 de abril de 2026</v>
      </c>
      <c r="V243" s="7" t="str">
        <f t="shared" si="13"/>
        <v>9 de marzo de 2026</v>
      </c>
      <c r="W243" s="8" t="str">
        <f>"1-" &amp; ROWS($W$2:W243) &amp; ".pdf"</f>
        <v>1-242.pdf</v>
      </c>
      <c r="X243" s="7" t="str">
        <f>Tabla1[[#This Row],[Número de documento del contacto]]&amp;"-"&amp;Tabla1[[#This Row],[Número de resolución de archivo]]&amp;".pdf"</f>
        <v>31912811-7649.pdf</v>
      </c>
      <c r="Y243" s="7" t="str">
        <f t="shared" si="14"/>
        <v>ren "1-242.pdf" "31912811-7649.pdf"</v>
      </c>
      <c r="Z243" s="7" t="str">
        <f>Tabla1[[#This Row],[Número de documento del contacto]]&amp;"_"&amp;Tabla1[[#This Row],[Número de resolución de archivo]]&amp;".pdf"</f>
        <v>31912811_7649.pdf</v>
      </c>
      <c r="AA243" s="7" t="s">
        <v>49</v>
      </c>
      <c r="AB243" s="7" t="str">
        <f>Tabla1[[#This Row],[Nombre PDF / cedula + num resolucion]]&amp;";"&amp;Tabla1[[#This Row],[instructivo]]</f>
        <v>31912811_7649.pdf;10. Instructivo_Radicar_Activación_Credencial_DIGITAL_SIRNA.pdf</v>
      </c>
      <c r="AC243" s="7" t="str">
        <f>Tabla1[[#This Row],[Número de resolución de archivo]]&amp;"_"&amp;Tabla1[[#This Row],[Número de documento del contacto]]</f>
        <v>7649_31912811</v>
      </c>
    </row>
    <row r="244" spans="1:29" x14ac:dyDescent="0.25">
      <c r="A244">
        <v>14299</v>
      </c>
      <c r="B244" t="s">
        <v>14</v>
      </c>
      <c r="C244" t="s">
        <v>15</v>
      </c>
      <c r="D244" t="s">
        <v>16</v>
      </c>
      <c r="E244" t="s">
        <v>17</v>
      </c>
      <c r="F244" s="14">
        <v>46120</v>
      </c>
      <c r="G244">
        <v>37229945</v>
      </c>
      <c r="H244" t="s">
        <v>534</v>
      </c>
      <c r="I244" t="s">
        <v>535</v>
      </c>
      <c r="J244" t="s">
        <v>20</v>
      </c>
      <c r="K244" t="s">
        <v>21</v>
      </c>
      <c r="L244" s="14">
        <v>46184</v>
      </c>
      <c r="M244">
        <v>64</v>
      </c>
      <c r="N244" t="s">
        <v>22</v>
      </c>
      <c r="O244" t="s">
        <v>22</v>
      </c>
      <c r="P244" s="14">
        <v>46086</v>
      </c>
      <c r="Q244" t="s">
        <v>23</v>
      </c>
      <c r="R244" s="7">
        <f>IFERROR(VLOOKUP(Tabla1[[#This Row],[Número de documento del contacto]],'Resoluciones 1 (Res)'!$A:$C,2,0),"")</f>
        <v>7684</v>
      </c>
      <c r="S244" s="11">
        <f>IFERROR(VLOOKUP(Tabla1[[#This Row],[Número de documento del contacto]],'Resoluciones 1 (Res)'!$A:$C,3,0),"")</f>
        <v>46184.606747685197</v>
      </c>
      <c r="T244" s="7" t="str">
        <f>IFERROR(VLOOKUP(Tabla1[[#This Row],[Número de documento del contacto]],'Resoluciones 2 (Req)'!$B:$E,3,0),"")</f>
        <v>11968</v>
      </c>
      <c r="U244" s="7" t="str">
        <f t="shared" si="12"/>
        <v>8 de abril de 2026</v>
      </c>
      <c r="V244" s="7" t="str">
        <f t="shared" si="13"/>
        <v>5 de marzo de 2026</v>
      </c>
      <c r="W244" s="8" t="str">
        <f>"1-" &amp; ROWS($W$2:W244) &amp; ".pdf"</f>
        <v>1-243.pdf</v>
      </c>
      <c r="X244" s="7" t="str">
        <f>Tabla1[[#This Row],[Número de documento del contacto]]&amp;"-"&amp;Tabla1[[#This Row],[Número de resolución de archivo]]&amp;".pdf"</f>
        <v>37229945-7684.pdf</v>
      </c>
      <c r="Y244" s="7" t="str">
        <f t="shared" si="14"/>
        <v>ren "1-243.pdf" "37229945-7684.pdf"</v>
      </c>
      <c r="Z244" s="7" t="str">
        <f>Tabla1[[#This Row],[Número de documento del contacto]]&amp;"_"&amp;Tabla1[[#This Row],[Número de resolución de archivo]]&amp;".pdf"</f>
        <v>37229945_7684.pdf</v>
      </c>
      <c r="AA244" s="7" t="s">
        <v>49</v>
      </c>
      <c r="AB244" s="7" t="str">
        <f>Tabla1[[#This Row],[Nombre PDF / cedula + num resolucion]]&amp;";"&amp;Tabla1[[#This Row],[instructivo]]</f>
        <v>37229945_7684.pdf;10. Instructivo_Radicar_Activación_Credencial_DIGITAL_SIRNA.pdf</v>
      </c>
      <c r="AC244" s="7" t="str">
        <f>Tabla1[[#This Row],[Número de resolución de archivo]]&amp;"_"&amp;Tabla1[[#This Row],[Número de documento del contacto]]</f>
        <v>7684_37229945</v>
      </c>
    </row>
    <row r="245" spans="1:29" x14ac:dyDescent="0.25">
      <c r="A245">
        <v>15035</v>
      </c>
      <c r="B245" t="s">
        <v>14</v>
      </c>
      <c r="C245" t="s">
        <v>15</v>
      </c>
      <c r="D245" t="s">
        <v>16</v>
      </c>
      <c r="E245" t="s">
        <v>17</v>
      </c>
      <c r="F245" s="14">
        <v>46120</v>
      </c>
      <c r="G245">
        <v>38251970</v>
      </c>
      <c r="H245" t="s">
        <v>536</v>
      </c>
      <c r="I245" t="s">
        <v>537</v>
      </c>
      <c r="J245" t="s">
        <v>20</v>
      </c>
      <c r="K245" t="s">
        <v>21</v>
      </c>
      <c r="L245" s="14">
        <v>46184</v>
      </c>
      <c r="M245">
        <v>64</v>
      </c>
      <c r="N245" t="s">
        <v>22</v>
      </c>
      <c r="O245" t="s">
        <v>22</v>
      </c>
      <c r="P245" s="14">
        <v>46091</v>
      </c>
      <c r="Q245" t="s">
        <v>23</v>
      </c>
      <c r="R245" s="7">
        <f>IFERROR(VLOOKUP(Tabla1[[#This Row],[Número de documento del contacto]],'Resoluciones 1 (Res)'!$A:$C,2,0),"")</f>
        <v>7580</v>
      </c>
      <c r="S245" s="11">
        <f>IFERROR(VLOOKUP(Tabla1[[#This Row],[Número de documento del contacto]],'Resoluciones 1 (Res)'!$A:$C,3,0),"")</f>
        <v>46184.606747685197</v>
      </c>
      <c r="T245" s="7" t="str">
        <f>IFERROR(VLOOKUP(Tabla1[[#This Row],[Número de documento del contacto]],'Resoluciones 2 (Req)'!$B:$E,3,0),"")</f>
        <v>12019</v>
      </c>
      <c r="U245" s="7" t="str">
        <f t="shared" si="12"/>
        <v>8 de abril de 2026</v>
      </c>
      <c r="V245" s="7" t="str">
        <f t="shared" si="13"/>
        <v>10 de marzo de 2026</v>
      </c>
      <c r="W245" s="8" t="str">
        <f>"1-" &amp; ROWS($W$2:W245) &amp; ".pdf"</f>
        <v>1-244.pdf</v>
      </c>
      <c r="X245" s="7" t="str">
        <f>Tabla1[[#This Row],[Número de documento del contacto]]&amp;"-"&amp;Tabla1[[#This Row],[Número de resolución de archivo]]&amp;".pdf"</f>
        <v>38251970-7580.pdf</v>
      </c>
      <c r="Y245" s="7" t="str">
        <f t="shared" si="14"/>
        <v>ren "1-244.pdf" "38251970-7580.pdf"</v>
      </c>
      <c r="Z245" s="7" t="str">
        <f>Tabla1[[#This Row],[Número de documento del contacto]]&amp;"_"&amp;Tabla1[[#This Row],[Número de resolución de archivo]]&amp;".pdf"</f>
        <v>38251970_7580.pdf</v>
      </c>
      <c r="AA245" s="7" t="s">
        <v>49</v>
      </c>
      <c r="AB245" s="7" t="str">
        <f>Tabla1[[#This Row],[Nombre PDF / cedula + num resolucion]]&amp;";"&amp;Tabla1[[#This Row],[instructivo]]</f>
        <v>38251970_7580.pdf;10. Instructivo_Radicar_Activación_Credencial_DIGITAL_SIRNA.pdf</v>
      </c>
      <c r="AC245" s="7" t="str">
        <f>Tabla1[[#This Row],[Número de resolución de archivo]]&amp;"_"&amp;Tabla1[[#This Row],[Número de documento del contacto]]</f>
        <v>7580_38251970</v>
      </c>
    </row>
    <row r="246" spans="1:29" x14ac:dyDescent="0.25">
      <c r="A246">
        <v>14323</v>
      </c>
      <c r="B246" t="s">
        <v>14</v>
      </c>
      <c r="C246" t="s">
        <v>15</v>
      </c>
      <c r="D246" t="s">
        <v>16</v>
      </c>
      <c r="E246" t="s">
        <v>17</v>
      </c>
      <c r="F246" s="14">
        <v>46120</v>
      </c>
      <c r="G246">
        <v>51816157</v>
      </c>
      <c r="H246" t="s">
        <v>538</v>
      </c>
      <c r="I246" t="s">
        <v>539</v>
      </c>
      <c r="J246" t="s">
        <v>20</v>
      </c>
      <c r="K246" t="s">
        <v>21</v>
      </c>
      <c r="L246" s="14">
        <v>46184</v>
      </c>
      <c r="M246">
        <v>64</v>
      </c>
      <c r="N246" t="s">
        <v>22</v>
      </c>
      <c r="O246" t="s">
        <v>22</v>
      </c>
      <c r="P246" s="14">
        <v>46086</v>
      </c>
      <c r="Q246" t="s">
        <v>23</v>
      </c>
      <c r="R246" s="7">
        <f>IFERROR(VLOOKUP(Tabla1[[#This Row],[Número de documento del contacto]],'Resoluciones 1 (Res)'!$A:$C,2,0),"")</f>
        <v>7476</v>
      </c>
      <c r="S246" s="11">
        <f>IFERROR(VLOOKUP(Tabla1[[#This Row],[Número de documento del contacto]],'Resoluciones 1 (Res)'!$A:$C,3,0),"")</f>
        <v>46184.606747685197</v>
      </c>
      <c r="T246" s="7" t="str">
        <f>IFERROR(VLOOKUP(Tabla1[[#This Row],[Número de documento del contacto]],'Resoluciones 2 (Req)'!$B:$E,3,0),"")</f>
        <v>11970</v>
      </c>
      <c r="U246" s="7" t="str">
        <f t="shared" si="12"/>
        <v>8 de abril de 2026</v>
      </c>
      <c r="V246" s="7" t="str">
        <f t="shared" si="13"/>
        <v>5 de marzo de 2026</v>
      </c>
      <c r="W246" s="8" t="str">
        <f>"1-" &amp; ROWS($W$2:W246) &amp; ".pdf"</f>
        <v>1-245.pdf</v>
      </c>
      <c r="X246" s="7" t="str">
        <f>Tabla1[[#This Row],[Número de documento del contacto]]&amp;"-"&amp;Tabla1[[#This Row],[Número de resolución de archivo]]&amp;".pdf"</f>
        <v>51816157-7476.pdf</v>
      </c>
      <c r="Y246" s="7" t="str">
        <f t="shared" si="14"/>
        <v>ren "1-245.pdf" "51816157-7476.pdf"</v>
      </c>
      <c r="Z246" s="7" t="str">
        <f>Tabla1[[#This Row],[Número de documento del contacto]]&amp;"_"&amp;Tabla1[[#This Row],[Número de resolución de archivo]]&amp;".pdf"</f>
        <v>51816157_7476.pdf</v>
      </c>
      <c r="AA246" s="7" t="s">
        <v>49</v>
      </c>
      <c r="AB246" s="7" t="str">
        <f>Tabla1[[#This Row],[Nombre PDF / cedula + num resolucion]]&amp;";"&amp;Tabla1[[#This Row],[instructivo]]</f>
        <v>51816157_7476.pdf;10. Instructivo_Radicar_Activación_Credencial_DIGITAL_SIRNA.pdf</v>
      </c>
      <c r="AC246" s="7" t="str">
        <f>Tabla1[[#This Row],[Número de resolución de archivo]]&amp;"_"&amp;Tabla1[[#This Row],[Número de documento del contacto]]</f>
        <v>7476_51816157</v>
      </c>
    </row>
    <row r="247" spans="1:29" x14ac:dyDescent="0.25">
      <c r="A247">
        <v>14312</v>
      </c>
      <c r="B247" t="s">
        <v>14</v>
      </c>
      <c r="C247" t="s">
        <v>15</v>
      </c>
      <c r="D247" t="s">
        <v>16</v>
      </c>
      <c r="E247" t="s">
        <v>17</v>
      </c>
      <c r="F247" s="14">
        <v>46120</v>
      </c>
      <c r="G247">
        <v>52204835</v>
      </c>
      <c r="H247" t="s">
        <v>540</v>
      </c>
      <c r="I247" t="s">
        <v>541</v>
      </c>
      <c r="J247" t="s">
        <v>20</v>
      </c>
      <c r="K247" t="s">
        <v>21</v>
      </c>
      <c r="L247" s="14">
        <v>46184</v>
      </c>
      <c r="M247">
        <v>64</v>
      </c>
      <c r="N247" t="s">
        <v>22</v>
      </c>
      <c r="O247" t="s">
        <v>22</v>
      </c>
      <c r="P247" s="14">
        <v>46086</v>
      </c>
      <c r="Q247" t="s">
        <v>23</v>
      </c>
      <c r="R247" s="7">
        <f>IFERROR(VLOOKUP(Tabla1[[#This Row],[Número de documento del contacto]],'Resoluciones 1 (Res)'!$A:$C,2,0),"")</f>
        <v>7669</v>
      </c>
      <c r="S247" s="11">
        <f>IFERROR(VLOOKUP(Tabla1[[#This Row],[Número de documento del contacto]],'Resoluciones 1 (Res)'!$A:$C,3,0),"")</f>
        <v>46184.606747685197</v>
      </c>
      <c r="T247" s="7" t="str">
        <f>IFERROR(VLOOKUP(Tabla1[[#This Row],[Número de documento del contacto]],'Resoluciones 2 (Req)'!$B:$E,3,0),"")</f>
        <v>11971</v>
      </c>
      <c r="U247" s="7" t="str">
        <f t="shared" si="12"/>
        <v>8 de abril de 2026</v>
      </c>
      <c r="V247" s="7" t="str">
        <f t="shared" si="13"/>
        <v>5 de marzo de 2026</v>
      </c>
      <c r="W247" s="8" t="str">
        <f>"1-" &amp; ROWS($W$2:W247) &amp; ".pdf"</f>
        <v>1-246.pdf</v>
      </c>
      <c r="X247" s="7" t="str">
        <f>Tabla1[[#This Row],[Número de documento del contacto]]&amp;"-"&amp;Tabla1[[#This Row],[Número de resolución de archivo]]&amp;".pdf"</f>
        <v>52204835-7669.pdf</v>
      </c>
      <c r="Y247" s="7" t="str">
        <f t="shared" si="14"/>
        <v>ren "1-246.pdf" "52204835-7669.pdf"</v>
      </c>
      <c r="Z247" s="7" t="str">
        <f>Tabla1[[#This Row],[Número de documento del contacto]]&amp;"_"&amp;Tabla1[[#This Row],[Número de resolución de archivo]]&amp;".pdf"</f>
        <v>52204835_7669.pdf</v>
      </c>
      <c r="AA247" s="7" t="s">
        <v>49</v>
      </c>
      <c r="AB247" s="7" t="str">
        <f>Tabla1[[#This Row],[Nombre PDF / cedula + num resolucion]]&amp;";"&amp;Tabla1[[#This Row],[instructivo]]</f>
        <v>52204835_7669.pdf;10. Instructivo_Radicar_Activación_Credencial_DIGITAL_SIRNA.pdf</v>
      </c>
      <c r="AC247" s="7" t="str">
        <f>Tabla1[[#This Row],[Número de resolución de archivo]]&amp;"_"&amp;Tabla1[[#This Row],[Número de documento del contacto]]</f>
        <v>7669_52204835</v>
      </c>
    </row>
    <row r="248" spans="1:29" x14ac:dyDescent="0.25">
      <c r="A248">
        <v>15473</v>
      </c>
      <c r="B248" t="s">
        <v>14</v>
      </c>
      <c r="C248" t="s">
        <v>15</v>
      </c>
      <c r="D248" t="s">
        <v>16</v>
      </c>
      <c r="E248" t="s">
        <v>17</v>
      </c>
      <c r="F248" s="14">
        <v>46120</v>
      </c>
      <c r="G248">
        <v>52698656</v>
      </c>
      <c r="H248" t="s">
        <v>542</v>
      </c>
      <c r="I248" t="s">
        <v>543</v>
      </c>
      <c r="J248" t="s">
        <v>20</v>
      </c>
      <c r="K248" t="s">
        <v>21</v>
      </c>
      <c r="L248" s="14">
        <v>46184</v>
      </c>
      <c r="M248">
        <v>64</v>
      </c>
      <c r="N248" t="s">
        <v>22</v>
      </c>
      <c r="O248" t="s">
        <v>22</v>
      </c>
      <c r="P248" s="14">
        <v>46093</v>
      </c>
      <c r="Q248" t="s">
        <v>23</v>
      </c>
      <c r="R248" s="7">
        <f>IFERROR(VLOOKUP(Tabla1[[#This Row],[Número de documento del contacto]],'Resoluciones 1 (Res)'!$A:$C,2,0),"")</f>
        <v>7731</v>
      </c>
      <c r="S248" s="11">
        <f>IFERROR(VLOOKUP(Tabla1[[#This Row],[Número de documento del contacto]],'Resoluciones 1 (Res)'!$A:$C,3,0),"")</f>
        <v>46184.606747685197</v>
      </c>
      <c r="T248" s="7" t="str">
        <f>IFERROR(VLOOKUP(Tabla1[[#This Row],[Número de documento del contacto]],'Resoluciones 2 (Req)'!$B:$E,3,0),"")</f>
        <v>12021</v>
      </c>
      <c r="U248" s="7" t="str">
        <f t="shared" si="12"/>
        <v>8 de abril de 2026</v>
      </c>
      <c r="V248" s="7" t="str">
        <f t="shared" si="13"/>
        <v>12 de marzo de 2026</v>
      </c>
      <c r="W248" s="8" t="str">
        <f>"1-" &amp; ROWS($W$2:W248) &amp; ".pdf"</f>
        <v>1-247.pdf</v>
      </c>
      <c r="X248" s="7" t="str">
        <f>Tabla1[[#This Row],[Número de documento del contacto]]&amp;"-"&amp;Tabla1[[#This Row],[Número de resolución de archivo]]&amp;".pdf"</f>
        <v>52698656-7731.pdf</v>
      </c>
      <c r="Y248" s="7" t="str">
        <f t="shared" si="14"/>
        <v>ren "1-247.pdf" "52698656-7731.pdf"</v>
      </c>
      <c r="Z248" s="7" t="str">
        <f>Tabla1[[#This Row],[Número de documento del contacto]]&amp;"_"&amp;Tabla1[[#This Row],[Número de resolución de archivo]]&amp;".pdf"</f>
        <v>52698656_7731.pdf</v>
      </c>
      <c r="AA248" s="7" t="s">
        <v>49</v>
      </c>
      <c r="AB248" s="7" t="str">
        <f>Tabla1[[#This Row],[Nombre PDF / cedula + num resolucion]]&amp;";"&amp;Tabla1[[#This Row],[instructivo]]</f>
        <v>52698656_7731.pdf;10. Instructivo_Radicar_Activación_Credencial_DIGITAL_SIRNA.pdf</v>
      </c>
      <c r="AC248" s="7" t="str">
        <f>Tabla1[[#This Row],[Número de resolución de archivo]]&amp;"_"&amp;Tabla1[[#This Row],[Número de documento del contacto]]</f>
        <v>7731_52698656</v>
      </c>
    </row>
    <row r="249" spans="1:29" x14ac:dyDescent="0.25">
      <c r="A249">
        <v>14780</v>
      </c>
      <c r="B249" t="s">
        <v>14</v>
      </c>
      <c r="C249" t="s">
        <v>15</v>
      </c>
      <c r="D249" t="s">
        <v>16</v>
      </c>
      <c r="E249" t="s">
        <v>17</v>
      </c>
      <c r="F249" s="14">
        <v>46120</v>
      </c>
      <c r="G249">
        <v>52887271</v>
      </c>
      <c r="H249" t="s">
        <v>544</v>
      </c>
      <c r="I249" t="s">
        <v>545</v>
      </c>
      <c r="J249" t="s">
        <v>20</v>
      </c>
      <c r="K249" t="s">
        <v>21</v>
      </c>
      <c r="L249" s="14">
        <v>46184</v>
      </c>
      <c r="M249">
        <v>64</v>
      </c>
      <c r="N249" t="s">
        <v>22</v>
      </c>
      <c r="O249" t="s">
        <v>22</v>
      </c>
      <c r="P249" s="14">
        <v>46090</v>
      </c>
      <c r="Q249" t="s">
        <v>23</v>
      </c>
      <c r="R249" s="7">
        <f>IFERROR(VLOOKUP(Tabla1[[#This Row],[Número de documento del contacto]],'Resoluciones 1 (Res)'!$A:$C,2,0),"")</f>
        <v>7570</v>
      </c>
      <c r="S249" s="11">
        <f>IFERROR(VLOOKUP(Tabla1[[#This Row],[Número de documento del contacto]],'Resoluciones 1 (Res)'!$A:$C,3,0),"")</f>
        <v>46184.606747685197</v>
      </c>
      <c r="T249" s="7" t="str">
        <f>IFERROR(VLOOKUP(Tabla1[[#This Row],[Número de documento del contacto]],'Resoluciones 2 (Req)'!$B:$E,3,0),"")</f>
        <v>12022</v>
      </c>
      <c r="U249" s="7" t="str">
        <f t="shared" si="12"/>
        <v>8 de abril de 2026</v>
      </c>
      <c r="V249" s="7" t="str">
        <f t="shared" si="13"/>
        <v>9 de marzo de 2026</v>
      </c>
      <c r="W249" s="8" t="str">
        <f>"1-" &amp; ROWS($W$2:W249) &amp; ".pdf"</f>
        <v>1-248.pdf</v>
      </c>
      <c r="X249" s="7" t="str">
        <f>Tabla1[[#This Row],[Número de documento del contacto]]&amp;"-"&amp;Tabla1[[#This Row],[Número de resolución de archivo]]&amp;".pdf"</f>
        <v>52887271-7570.pdf</v>
      </c>
      <c r="Y249" s="7" t="str">
        <f t="shared" si="14"/>
        <v>ren "1-248.pdf" "52887271-7570.pdf"</v>
      </c>
      <c r="Z249" s="7" t="str">
        <f>Tabla1[[#This Row],[Número de documento del contacto]]&amp;"_"&amp;Tabla1[[#This Row],[Número de resolución de archivo]]&amp;".pdf"</f>
        <v>52887271_7570.pdf</v>
      </c>
      <c r="AA249" s="7" t="s">
        <v>49</v>
      </c>
      <c r="AB249" s="7" t="str">
        <f>Tabla1[[#This Row],[Nombre PDF / cedula + num resolucion]]&amp;";"&amp;Tabla1[[#This Row],[instructivo]]</f>
        <v>52887271_7570.pdf;10. Instructivo_Radicar_Activación_Credencial_DIGITAL_SIRNA.pdf</v>
      </c>
      <c r="AC249" s="7" t="str">
        <f>Tabla1[[#This Row],[Número de resolución de archivo]]&amp;"_"&amp;Tabla1[[#This Row],[Número de documento del contacto]]</f>
        <v>7570_52887271</v>
      </c>
    </row>
    <row r="250" spans="1:29" x14ac:dyDescent="0.25">
      <c r="A250">
        <v>15239</v>
      </c>
      <c r="B250" t="s">
        <v>14</v>
      </c>
      <c r="C250" t="s">
        <v>15</v>
      </c>
      <c r="D250" t="s">
        <v>16</v>
      </c>
      <c r="E250" t="s">
        <v>17</v>
      </c>
      <c r="F250" s="14">
        <v>46120</v>
      </c>
      <c r="G250">
        <v>52998490</v>
      </c>
      <c r="H250" t="s">
        <v>546</v>
      </c>
      <c r="I250" t="s">
        <v>547</v>
      </c>
      <c r="J250" t="s">
        <v>20</v>
      </c>
      <c r="K250" t="s">
        <v>21</v>
      </c>
      <c r="L250" s="14">
        <v>46184</v>
      </c>
      <c r="M250">
        <v>64</v>
      </c>
      <c r="N250" t="s">
        <v>22</v>
      </c>
      <c r="O250" t="s">
        <v>22</v>
      </c>
      <c r="P250" s="14">
        <v>46092</v>
      </c>
      <c r="Q250" t="s">
        <v>23</v>
      </c>
      <c r="R250" s="7">
        <f>IFERROR(VLOOKUP(Tabla1[[#This Row],[Número de documento del contacto]],'Resoluciones 1 (Res)'!$A:$C,2,0),"")</f>
        <v>7581</v>
      </c>
      <c r="S250" s="11">
        <f>IFERROR(VLOOKUP(Tabla1[[#This Row],[Número de documento del contacto]],'Resoluciones 1 (Res)'!$A:$C,3,0),"")</f>
        <v>46184.606747685197</v>
      </c>
      <c r="T250" s="7" t="str">
        <f>IFERROR(VLOOKUP(Tabla1[[#This Row],[Número de documento del contacto]],'Resoluciones 2 (Req)'!$B:$E,3,0),"")</f>
        <v>12023</v>
      </c>
      <c r="U250" s="7" t="str">
        <f t="shared" si="12"/>
        <v>8 de abril de 2026</v>
      </c>
      <c r="V250" s="7" t="str">
        <f t="shared" si="13"/>
        <v>11 de marzo de 2026</v>
      </c>
      <c r="W250" s="8" t="str">
        <f>"1-" &amp; ROWS($W$2:W250) &amp; ".pdf"</f>
        <v>1-249.pdf</v>
      </c>
      <c r="X250" s="7" t="str">
        <f>Tabla1[[#This Row],[Número de documento del contacto]]&amp;"-"&amp;Tabla1[[#This Row],[Número de resolución de archivo]]&amp;".pdf"</f>
        <v>52998490-7581.pdf</v>
      </c>
      <c r="Y250" s="7" t="str">
        <f t="shared" si="14"/>
        <v>ren "1-249.pdf" "52998490-7581.pdf"</v>
      </c>
      <c r="Z250" s="7" t="str">
        <f>Tabla1[[#This Row],[Número de documento del contacto]]&amp;"_"&amp;Tabla1[[#This Row],[Número de resolución de archivo]]&amp;".pdf"</f>
        <v>52998490_7581.pdf</v>
      </c>
      <c r="AA250" s="7" t="s">
        <v>49</v>
      </c>
      <c r="AB250" s="7" t="str">
        <f>Tabla1[[#This Row],[Nombre PDF / cedula + num resolucion]]&amp;";"&amp;Tabla1[[#This Row],[instructivo]]</f>
        <v>52998490_7581.pdf;10. Instructivo_Radicar_Activación_Credencial_DIGITAL_SIRNA.pdf</v>
      </c>
      <c r="AC250" s="7" t="str">
        <f>Tabla1[[#This Row],[Número de resolución de archivo]]&amp;"_"&amp;Tabla1[[#This Row],[Número de documento del contacto]]</f>
        <v>7581_52998490</v>
      </c>
    </row>
    <row r="251" spans="1:29" x14ac:dyDescent="0.25">
      <c r="A251">
        <v>15461</v>
      </c>
      <c r="B251" t="s">
        <v>14</v>
      </c>
      <c r="C251" t="s">
        <v>15</v>
      </c>
      <c r="D251" t="s">
        <v>16</v>
      </c>
      <c r="E251" t="s">
        <v>17</v>
      </c>
      <c r="F251" s="14">
        <v>46120</v>
      </c>
      <c r="G251">
        <v>53107105</v>
      </c>
      <c r="H251" t="s">
        <v>548</v>
      </c>
      <c r="I251" t="s">
        <v>549</v>
      </c>
      <c r="J251" t="s">
        <v>20</v>
      </c>
      <c r="K251" t="s">
        <v>21</v>
      </c>
      <c r="L251" s="14">
        <v>46184</v>
      </c>
      <c r="M251">
        <v>64</v>
      </c>
      <c r="N251" t="s">
        <v>22</v>
      </c>
      <c r="O251" t="s">
        <v>22</v>
      </c>
      <c r="P251" s="14">
        <v>46093</v>
      </c>
      <c r="Q251" t="s">
        <v>23</v>
      </c>
      <c r="R251" s="7">
        <f>IFERROR(VLOOKUP(Tabla1[[#This Row],[Número de documento del contacto]],'Resoluciones 1 (Res)'!$A:$C,2,0),"")</f>
        <v>7567</v>
      </c>
      <c r="S251" s="11">
        <f>IFERROR(VLOOKUP(Tabla1[[#This Row],[Número de documento del contacto]],'Resoluciones 1 (Res)'!$A:$C,3,0),"")</f>
        <v>46184.606747685197</v>
      </c>
      <c r="T251" s="7" t="str">
        <f>IFERROR(VLOOKUP(Tabla1[[#This Row],[Número de documento del contacto]],'Resoluciones 2 (Req)'!$B:$E,3,0),"")</f>
        <v>12024</v>
      </c>
      <c r="U251" s="7" t="str">
        <f t="shared" si="12"/>
        <v>8 de abril de 2026</v>
      </c>
      <c r="V251" s="7" t="str">
        <f t="shared" si="13"/>
        <v>12 de marzo de 2026</v>
      </c>
      <c r="W251" s="8" t="str">
        <f>"1-" &amp; ROWS($W$2:W251) &amp; ".pdf"</f>
        <v>1-250.pdf</v>
      </c>
      <c r="X251" s="7" t="str">
        <f>Tabla1[[#This Row],[Número de documento del contacto]]&amp;"-"&amp;Tabla1[[#This Row],[Número de resolución de archivo]]&amp;".pdf"</f>
        <v>53107105-7567.pdf</v>
      </c>
      <c r="Y251" s="7" t="str">
        <f t="shared" si="14"/>
        <v>ren "1-250.pdf" "53107105-7567.pdf"</v>
      </c>
      <c r="Z251" s="7" t="str">
        <f>Tabla1[[#This Row],[Número de documento del contacto]]&amp;"_"&amp;Tabla1[[#This Row],[Número de resolución de archivo]]&amp;".pdf"</f>
        <v>53107105_7567.pdf</v>
      </c>
      <c r="AA251" s="7" t="s">
        <v>49</v>
      </c>
      <c r="AB251" s="7" t="str">
        <f>Tabla1[[#This Row],[Nombre PDF / cedula + num resolucion]]&amp;";"&amp;Tabla1[[#This Row],[instructivo]]</f>
        <v>53107105_7567.pdf;10. Instructivo_Radicar_Activación_Credencial_DIGITAL_SIRNA.pdf</v>
      </c>
      <c r="AC251" s="7" t="str">
        <f>Tabla1[[#This Row],[Número de resolución de archivo]]&amp;"_"&amp;Tabla1[[#This Row],[Número de documento del contacto]]</f>
        <v>7567_53107105</v>
      </c>
    </row>
    <row r="252" spans="1:29" x14ac:dyDescent="0.25">
      <c r="A252">
        <v>15105</v>
      </c>
      <c r="B252" t="s">
        <v>14</v>
      </c>
      <c r="C252" t="s">
        <v>15</v>
      </c>
      <c r="D252" t="s">
        <v>16</v>
      </c>
      <c r="E252" t="s">
        <v>17</v>
      </c>
      <c r="F252" s="14">
        <v>46120</v>
      </c>
      <c r="G252">
        <v>66832939</v>
      </c>
      <c r="H252" t="s">
        <v>550</v>
      </c>
      <c r="I252" t="s">
        <v>551</v>
      </c>
      <c r="J252" t="s">
        <v>20</v>
      </c>
      <c r="K252" t="s">
        <v>21</v>
      </c>
      <c r="L252" s="14">
        <v>46184</v>
      </c>
      <c r="M252">
        <v>64</v>
      </c>
      <c r="N252" t="s">
        <v>22</v>
      </c>
      <c r="O252" t="s">
        <v>22</v>
      </c>
      <c r="P252" s="14">
        <v>46091</v>
      </c>
      <c r="Q252" t="s">
        <v>23</v>
      </c>
      <c r="R252" s="7">
        <f>IFERROR(VLOOKUP(Tabla1[[#This Row],[Número de documento del contacto]],'Resoluciones 1 (Res)'!$A:$C,2,0),"")</f>
        <v>7515</v>
      </c>
      <c r="S252" s="11">
        <f>IFERROR(VLOOKUP(Tabla1[[#This Row],[Número de documento del contacto]],'Resoluciones 1 (Res)'!$A:$C,3,0),"")</f>
        <v>46184.606747685197</v>
      </c>
      <c r="T252" s="7" t="str">
        <f>IFERROR(VLOOKUP(Tabla1[[#This Row],[Número de documento del contacto]],'Resoluciones 2 (Req)'!$B:$E,3,0),"")</f>
        <v>12026</v>
      </c>
      <c r="U252" s="7" t="str">
        <f t="shared" si="12"/>
        <v>8 de abril de 2026</v>
      </c>
      <c r="V252" s="7" t="str">
        <f t="shared" si="13"/>
        <v>10 de marzo de 2026</v>
      </c>
      <c r="W252" s="8" t="str">
        <f>"1-" &amp; ROWS($W$2:W252) &amp; ".pdf"</f>
        <v>1-251.pdf</v>
      </c>
      <c r="X252" s="7" t="str">
        <f>Tabla1[[#This Row],[Número de documento del contacto]]&amp;"-"&amp;Tabla1[[#This Row],[Número de resolución de archivo]]&amp;".pdf"</f>
        <v>66832939-7515.pdf</v>
      </c>
      <c r="Y252" s="7" t="str">
        <f t="shared" si="14"/>
        <v>ren "1-251.pdf" "66832939-7515.pdf"</v>
      </c>
      <c r="Z252" s="7" t="str">
        <f>Tabla1[[#This Row],[Número de documento del contacto]]&amp;"_"&amp;Tabla1[[#This Row],[Número de resolución de archivo]]&amp;".pdf"</f>
        <v>66832939_7515.pdf</v>
      </c>
      <c r="AA252" s="7" t="s">
        <v>49</v>
      </c>
      <c r="AB252" s="7" t="str">
        <f>Tabla1[[#This Row],[Nombre PDF / cedula + num resolucion]]&amp;";"&amp;Tabla1[[#This Row],[instructivo]]</f>
        <v>66832939_7515.pdf;10. Instructivo_Radicar_Activación_Credencial_DIGITAL_SIRNA.pdf</v>
      </c>
      <c r="AC252" s="7" t="str">
        <f>Tabla1[[#This Row],[Número de resolución de archivo]]&amp;"_"&amp;Tabla1[[#This Row],[Número de documento del contacto]]</f>
        <v>7515_66832939</v>
      </c>
    </row>
    <row r="253" spans="1:29" x14ac:dyDescent="0.25">
      <c r="A253">
        <v>14445</v>
      </c>
      <c r="B253" t="s">
        <v>14</v>
      </c>
      <c r="C253" t="s">
        <v>15</v>
      </c>
      <c r="D253" t="s">
        <v>16</v>
      </c>
      <c r="E253" t="s">
        <v>17</v>
      </c>
      <c r="F253" s="14">
        <v>46120</v>
      </c>
      <c r="G253">
        <v>71394549</v>
      </c>
      <c r="H253" t="s">
        <v>552</v>
      </c>
      <c r="I253" t="s">
        <v>553</v>
      </c>
      <c r="J253" t="s">
        <v>20</v>
      </c>
      <c r="K253" t="s">
        <v>21</v>
      </c>
      <c r="L253" s="14">
        <v>46184</v>
      </c>
      <c r="M253">
        <v>64</v>
      </c>
      <c r="N253" t="s">
        <v>22</v>
      </c>
      <c r="O253" t="s">
        <v>22</v>
      </c>
      <c r="P253" s="14">
        <v>46087</v>
      </c>
      <c r="Q253" t="s">
        <v>23</v>
      </c>
      <c r="R253" s="7">
        <f>IFERROR(VLOOKUP(Tabla1[[#This Row],[Número de documento del contacto]],'Resoluciones 1 (Res)'!$A:$C,2,0),"")</f>
        <v>7623</v>
      </c>
      <c r="S253" s="11">
        <f>IFERROR(VLOOKUP(Tabla1[[#This Row],[Número de documento del contacto]],'Resoluciones 1 (Res)'!$A:$C,3,0),"")</f>
        <v>46184.606747685197</v>
      </c>
      <c r="T253" s="7" t="str">
        <f>IFERROR(VLOOKUP(Tabla1[[#This Row],[Número de documento del contacto]],'Resoluciones 2 (Req)'!$B:$E,3,0),"")</f>
        <v>11974</v>
      </c>
      <c r="U253" s="7" t="str">
        <f t="shared" si="12"/>
        <v>8 de abril de 2026</v>
      </c>
      <c r="V253" s="7" t="str">
        <f t="shared" si="13"/>
        <v>6 de marzo de 2026</v>
      </c>
      <c r="W253" s="8" t="str">
        <f>"1-" &amp; ROWS($W$2:W253) &amp; ".pdf"</f>
        <v>1-252.pdf</v>
      </c>
      <c r="X253" s="7" t="str">
        <f>Tabla1[[#This Row],[Número de documento del contacto]]&amp;"-"&amp;Tabla1[[#This Row],[Número de resolución de archivo]]&amp;".pdf"</f>
        <v>71394549-7623.pdf</v>
      </c>
      <c r="Y253" s="7" t="str">
        <f t="shared" si="14"/>
        <v>ren "1-252.pdf" "71394549-7623.pdf"</v>
      </c>
      <c r="Z253" s="7" t="str">
        <f>Tabla1[[#This Row],[Número de documento del contacto]]&amp;"_"&amp;Tabla1[[#This Row],[Número de resolución de archivo]]&amp;".pdf"</f>
        <v>71394549_7623.pdf</v>
      </c>
      <c r="AA253" s="7" t="s">
        <v>49</v>
      </c>
      <c r="AB253" s="7" t="str">
        <f>Tabla1[[#This Row],[Nombre PDF / cedula + num resolucion]]&amp;";"&amp;Tabla1[[#This Row],[instructivo]]</f>
        <v>71394549_7623.pdf;10. Instructivo_Radicar_Activación_Credencial_DIGITAL_SIRNA.pdf</v>
      </c>
      <c r="AC253" s="7" t="str">
        <f>Tabla1[[#This Row],[Número de resolución de archivo]]&amp;"_"&amp;Tabla1[[#This Row],[Número de documento del contacto]]</f>
        <v>7623_71394549</v>
      </c>
    </row>
    <row r="254" spans="1:29" x14ac:dyDescent="0.25">
      <c r="A254">
        <v>15403</v>
      </c>
      <c r="B254" t="s">
        <v>14</v>
      </c>
      <c r="C254" t="s">
        <v>15</v>
      </c>
      <c r="D254" t="s">
        <v>16</v>
      </c>
      <c r="E254" t="s">
        <v>17</v>
      </c>
      <c r="F254" s="14">
        <v>46120</v>
      </c>
      <c r="G254">
        <v>72043549</v>
      </c>
      <c r="H254" t="s">
        <v>554</v>
      </c>
      <c r="I254" t="s">
        <v>555</v>
      </c>
      <c r="J254" t="s">
        <v>20</v>
      </c>
      <c r="K254" t="s">
        <v>21</v>
      </c>
      <c r="L254" s="14">
        <v>46184</v>
      </c>
      <c r="M254">
        <v>64</v>
      </c>
      <c r="N254" t="s">
        <v>22</v>
      </c>
      <c r="O254" t="s">
        <v>22</v>
      </c>
      <c r="P254" s="14">
        <v>46092</v>
      </c>
      <c r="Q254" t="s">
        <v>23</v>
      </c>
      <c r="R254" s="7">
        <f>IFERROR(VLOOKUP(Tabla1[[#This Row],[Número de documento del contacto]],'Resoluciones 1 (Res)'!$A:$C,2,0),"")</f>
        <v>7537</v>
      </c>
      <c r="S254" s="11">
        <f>IFERROR(VLOOKUP(Tabla1[[#This Row],[Número de documento del contacto]],'Resoluciones 1 (Res)'!$A:$C,3,0),"")</f>
        <v>46184.606747685197</v>
      </c>
      <c r="T254" s="7" t="str">
        <f>IFERROR(VLOOKUP(Tabla1[[#This Row],[Número de documento del contacto]],'Resoluciones 2 (Req)'!$B:$E,3,0),"")</f>
        <v>12028</v>
      </c>
      <c r="U254" s="7" t="str">
        <f t="shared" si="12"/>
        <v>8 de abril de 2026</v>
      </c>
      <c r="V254" s="7" t="str">
        <f t="shared" si="13"/>
        <v>11 de marzo de 2026</v>
      </c>
      <c r="W254" s="8" t="str">
        <f>"1-" &amp; ROWS($W$2:W254) &amp; ".pdf"</f>
        <v>1-253.pdf</v>
      </c>
      <c r="X254" s="7" t="str">
        <f>Tabla1[[#This Row],[Número de documento del contacto]]&amp;"-"&amp;Tabla1[[#This Row],[Número de resolución de archivo]]&amp;".pdf"</f>
        <v>72043549-7537.pdf</v>
      </c>
      <c r="Y254" s="7" t="str">
        <f t="shared" si="14"/>
        <v>ren "1-253.pdf" "72043549-7537.pdf"</v>
      </c>
      <c r="Z254" s="7" t="str">
        <f>Tabla1[[#This Row],[Número de documento del contacto]]&amp;"_"&amp;Tabla1[[#This Row],[Número de resolución de archivo]]&amp;".pdf"</f>
        <v>72043549_7537.pdf</v>
      </c>
      <c r="AA254" s="7" t="s">
        <v>49</v>
      </c>
      <c r="AB254" s="7" t="str">
        <f>Tabla1[[#This Row],[Nombre PDF / cedula + num resolucion]]&amp;";"&amp;Tabla1[[#This Row],[instructivo]]</f>
        <v>72043549_7537.pdf;10. Instructivo_Radicar_Activación_Credencial_DIGITAL_SIRNA.pdf</v>
      </c>
      <c r="AC254" s="7" t="str">
        <f>Tabla1[[#This Row],[Número de resolución de archivo]]&amp;"_"&amp;Tabla1[[#This Row],[Número de documento del contacto]]</f>
        <v>7537_72043549</v>
      </c>
    </row>
    <row r="255" spans="1:29" x14ac:dyDescent="0.25">
      <c r="A255">
        <v>15063</v>
      </c>
      <c r="B255" t="s">
        <v>14</v>
      </c>
      <c r="C255" t="s">
        <v>15</v>
      </c>
      <c r="D255" t="s">
        <v>16</v>
      </c>
      <c r="E255" t="s">
        <v>17</v>
      </c>
      <c r="F255" s="14">
        <v>46120</v>
      </c>
      <c r="G255">
        <v>72221615</v>
      </c>
      <c r="H255" t="s">
        <v>556</v>
      </c>
      <c r="I255" t="s">
        <v>557</v>
      </c>
      <c r="J255" t="s">
        <v>20</v>
      </c>
      <c r="K255" t="s">
        <v>21</v>
      </c>
      <c r="L255" s="14">
        <v>46184</v>
      </c>
      <c r="M255">
        <v>64</v>
      </c>
      <c r="N255" t="s">
        <v>22</v>
      </c>
      <c r="O255" t="s">
        <v>22</v>
      </c>
      <c r="P255" s="14">
        <v>46091</v>
      </c>
      <c r="Q255" t="s">
        <v>23</v>
      </c>
      <c r="R255" s="7">
        <f>IFERROR(VLOOKUP(Tabla1[[#This Row],[Número de documento del contacto]],'Resoluciones 1 (Res)'!$A:$C,2,0),"")</f>
        <v>7494</v>
      </c>
      <c r="S255" s="11">
        <f>IFERROR(VLOOKUP(Tabla1[[#This Row],[Número de documento del contacto]],'Resoluciones 1 (Res)'!$A:$C,3,0),"")</f>
        <v>46184.606747685197</v>
      </c>
      <c r="T255" s="7" t="str">
        <f>IFERROR(VLOOKUP(Tabla1[[#This Row],[Número de documento del contacto]],'Resoluciones 2 (Req)'!$B:$E,3,0),"")</f>
        <v>12038</v>
      </c>
      <c r="U255" s="7" t="str">
        <f t="shared" si="12"/>
        <v>8 de abril de 2026</v>
      </c>
      <c r="V255" s="7" t="str">
        <f t="shared" si="13"/>
        <v>10 de marzo de 2026</v>
      </c>
      <c r="W255" s="8" t="str">
        <f>"1-" &amp; ROWS($W$2:W255) &amp; ".pdf"</f>
        <v>1-254.pdf</v>
      </c>
      <c r="X255" s="7" t="str">
        <f>Tabla1[[#This Row],[Número de documento del contacto]]&amp;"-"&amp;Tabla1[[#This Row],[Número de resolución de archivo]]&amp;".pdf"</f>
        <v>72221615-7494.pdf</v>
      </c>
      <c r="Y255" s="7" t="str">
        <f t="shared" si="14"/>
        <v>ren "1-254.pdf" "72221615-7494.pdf"</v>
      </c>
      <c r="Z255" s="7" t="str">
        <f>Tabla1[[#This Row],[Número de documento del contacto]]&amp;"_"&amp;Tabla1[[#This Row],[Número de resolución de archivo]]&amp;".pdf"</f>
        <v>72221615_7494.pdf</v>
      </c>
      <c r="AA255" s="7" t="s">
        <v>49</v>
      </c>
      <c r="AB255" s="7" t="str">
        <f>Tabla1[[#This Row],[Nombre PDF / cedula + num resolucion]]&amp;";"&amp;Tabla1[[#This Row],[instructivo]]</f>
        <v>72221615_7494.pdf;10. Instructivo_Radicar_Activación_Credencial_DIGITAL_SIRNA.pdf</v>
      </c>
      <c r="AC255" s="7" t="str">
        <f>Tabla1[[#This Row],[Número de resolución de archivo]]&amp;"_"&amp;Tabla1[[#This Row],[Número de documento del contacto]]</f>
        <v>7494_72221615</v>
      </c>
    </row>
    <row r="256" spans="1:29" x14ac:dyDescent="0.25">
      <c r="A256">
        <v>15036</v>
      </c>
      <c r="B256" t="s">
        <v>14</v>
      </c>
      <c r="C256" t="s">
        <v>15</v>
      </c>
      <c r="D256" t="s">
        <v>16</v>
      </c>
      <c r="E256" t="s">
        <v>17</v>
      </c>
      <c r="F256" s="14">
        <v>46120</v>
      </c>
      <c r="G256">
        <v>73155325</v>
      </c>
      <c r="H256" t="s">
        <v>558</v>
      </c>
      <c r="I256" t="s">
        <v>559</v>
      </c>
      <c r="J256" t="s">
        <v>20</v>
      </c>
      <c r="K256" t="s">
        <v>21</v>
      </c>
      <c r="L256" s="14">
        <v>46184</v>
      </c>
      <c r="M256">
        <v>64</v>
      </c>
      <c r="N256" t="s">
        <v>22</v>
      </c>
      <c r="O256" t="s">
        <v>22</v>
      </c>
      <c r="P256" s="14">
        <v>46091</v>
      </c>
      <c r="Q256" t="s">
        <v>23</v>
      </c>
      <c r="R256" s="7">
        <f>IFERROR(VLOOKUP(Tabla1[[#This Row],[Número de documento del contacto]],'Resoluciones 1 (Res)'!$A:$C,2,0),"")</f>
        <v>7523</v>
      </c>
      <c r="S256" s="11">
        <f>IFERROR(VLOOKUP(Tabla1[[#This Row],[Número de documento del contacto]],'Resoluciones 1 (Res)'!$A:$C,3,0),"")</f>
        <v>46184.606747685197</v>
      </c>
      <c r="T256" s="7" t="str">
        <f>IFERROR(VLOOKUP(Tabla1[[#This Row],[Número de documento del contacto]],'Resoluciones 2 (Req)'!$B:$E,3,0),"")</f>
        <v>12040</v>
      </c>
      <c r="U256" s="7" t="str">
        <f t="shared" si="12"/>
        <v>8 de abril de 2026</v>
      </c>
      <c r="V256" s="7" t="str">
        <f t="shared" si="13"/>
        <v>10 de marzo de 2026</v>
      </c>
      <c r="W256" s="8" t="str">
        <f>"1-" &amp; ROWS($W$2:W256) &amp; ".pdf"</f>
        <v>1-255.pdf</v>
      </c>
      <c r="X256" s="7" t="str">
        <f>Tabla1[[#This Row],[Número de documento del contacto]]&amp;"-"&amp;Tabla1[[#This Row],[Número de resolución de archivo]]&amp;".pdf"</f>
        <v>73155325-7523.pdf</v>
      </c>
      <c r="Y256" s="7" t="str">
        <f t="shared" si="14"/>
        <v>ren "1-255.pdf" "73155325-7523.pdf"</v>
      </c>
      <c r="Z256" s="7" t="str">
        <f>Tabla1[[#This Row],[Número de documento del contacto]]&amp;"_"&amp;Tabla1[[#This Row],[Número de resolución de archivo]]&amp;".pdf"</f>
        <v>73155325_7523.pdf</v>
      </c>
      <c r="AA256" s="7" t="s">
        <v>49</v>
      </c>
      <c r="AB256" s="7" t="str">
        <f>Tabla1[[#This Row],[Nombre PDF / cedula + num resolucion]]&amp;";"&amp;Tabla1[[#This Row],[instructivo]]</f>
        <v>73155325_7523.pdf;10. Instructivo_Radicar_Activación_Credencial_DIGITAL_SIRNA.pdf</v>
      </c>
      <c r="AC256" s="7" t="str">
        <f>Tabla1[[#This Row],[Número de resolución de archivo]]&amp;"_"&amp;Tabla1[[#This Row],[Número de documento del contacto]]</f>
        <v>7523_73155325</v>
      </c>
    </row>
    <row r="257" spans="1:29" x14ac:dyDescent="0.25">
      <c r="A257">
        <v>14963</v>
      </c>
      <c r="B257" t="s">
        <v>14</v>
      </c>
      <c r="C257" t="s">
        <v>15</v>
      </c>
      <c r="D257" t="s">
        <v>16</v>
      </c>
      <c r="E257" t="s">
        <v>17</v>
      </c>
      <c r="F257" s="14">
        <v>46120</v>
      </c>
      <c r="G257">
        <v>73161974</v>
      </c>
      <c r="H257" t="s">
        <v>560</v>
      </c>
      <c r="I257" t="s">
        <v>561</v>
      </c>
      <c r="J257" t="s">
        <v>20</v>
      </c>
      <c r="K257" t="s">
        <v>21</v>
      </c>
      <c r="L257" s="14">
        <v>46184</v>
      </c>
      <c r="M257">
        <v>64</v>
      </c>
      <c r="N257" t="s">
        <v>22</v>
      </c>
      <c r="O257" t="s">
        <v>22</v>
      </c>
      <c r="P257" s="14">
        <v>46090</v>
      </c>
      <c r="Q257" t="s">
        <v>23</v>
      </c>
      <c r="R257" s="7">
        <f>IFERROR(VLOOKUP(Tabla1[[#This Row],[Número de documento del contacto]],'Resoluciones 1 (Res)'!$A:$C,2,0),"")</f>
        <v>7626</v>
      </c>
      <c r="S257" s="11">
        <f>IFERROR(VLOOKUP(Tabla1[[#This Row],[Número de documento del contacto]],'Resoluciones 1 (Res)'!$A:$C,3,0),"")</f>
        <v>46184.606747685197</v>
      </c>
      <c r="T257" s="7" t="str">
        <f>IFERROR(VLOOKUP(Tabla1[[#This Row],[Número de documento del contacto]],'Resoluciones 2 (Req)'!$B:$E,3,0),"")</f>
        <v>12041</v>
      </c>
      <c r="U257" s="7" t="str">
        <f t="shared" si="12"/>
        <v>8 de abril de 2026</v>
      </c>
      <c r="V257" s="7" t="str">
        <f t="shared" si="13"/>
        <v>9 de marzo de 2026</v>
      </c>
      <c r="W257" s="8" t="str">
        <f>"1-" &amp; ROWS($W$2:W257) &amp; ".pdf"</f>
        <v>1-256.pdf</v>
      </c>
      <c r="X257" s="7" t="str">
        <f>Tabla1[[#This Row],[Número de documento del contacto]]&amp;"-"&amp;Tabla1[[#This Row],[Número de resolución de archivo]]&amp;".pdf"</f>
        <v>73161974-7626.pdf</v>
      </c>
      <c r="Y257" s="7" t="str">
        <f t="shared" si="14"/>
        <v>ren "1-256.pdf" "73161974-7626.pdf"</v>
      </c>
      <c r="Z257" s="7" t="str">
        <f>Tabla1[[#This Row],[Número de documento del contacto]]&amp;"_"&amp;Tabla1[[#This Row],[Número de resolución de archivo]]&amp;".pdf"</f>
        <v>73161974_7626.pdf</v>
      </c>
      <c r="AA257" s="7" t="s">
        <v>49</v>
      </c>
      <c r="AB257" s="7" t="str">
        <f>Tabla1[[#This Row],[Nombre PDF / cedula + num resolucion]]&amp;";"&amp;Tabla1[[#This Row],[instructivo]]</f>
        <v>73161974_7626.pdf;10. Instructivo_Radicar_Activación_Credencial_DIGITAL_SIRNA.pdf</v>
      </c>
      <c r="AC257" s="7" t="str">
        <f>Tabla1[[#This Row],[Número de resolución de archivo]]&amp;"_"&amp;Tabla1[[#This Row],[Número de documento del contacto]]</f>
        <v>7626_73161974</v>
      </c>
    </row>
    <row r="258" spans="1:29" x14ac:dyDescent="0.25">
      <c r="A258">
        <v>15198</v>
      </c>
      <c r="B258" t="s">
        <v>14</v>
      </c>
      <c r="C258" t="s">
        <v>15</v>
      </c>
      <c r="D258" t="s">
        <v>16</v>
      </c>
      <c r="E258" t="s">
        <v>17</v>
      </c>
      <c r="F258" s="14">
        <v>46120</v>
      </c>
      <c r="G258">
        <v>74186873</v>
      </c>
      <c r="H258" t="s">
        <v>562</v>
      </c>
      <c r="I258" t="s">
        <v>563</v>
      </c>
      <c r="J258" t="s">
        <v>20</v>
      </c>
      <c r="K258" t="s">
        <v>21</v>
      </c>
      <c r="L258" s="14">
        <v>46184</v>
      </c>
      <c r="M258">
        <v>64</v>
      </c>
      <c r="N258" t="s">
        <v>22</v>
      </c>
      <c r="O258" t="s">
        <v>22</v>
      </c>
      <c r="P258" s="14">
        <v>46091</v>
      </c>
      <c r="Q258" t="s">
        <v>23</v>
      </c>
      <c r="R258" s="7">
        <f>IFERROR(VLOOKUP(Tabla1[[#This Row],[Número de documento del contacto]],'Resoluciones 1 (Res)'!$A:$C,2,0),"")</f>
        <v>7749</v>
      </c>
      <c r="S258" s="11">
        <f>IFERROR(VLOOKUP(Tabla1[[#This Row],[Número de documento del contacto]],'Resoluciones 1 (Res)'!$A:$C,3,0),"")</f>
        <v>46184.606747685197</v>
      </c>
      <c r="T258" s="7" t="str">
        <f>IFERROR(VLOOKUP(Tabla1[[#This Row],[Número de documento del contacto]],'Resoluciones 2 (Req)'!$B:$E,3,0),"")</f>
        <v>12043</v>
      </c>
      <c r="U258" s="7" t="str">
        <f t="shared" si="12"/>
        <v>8 de abril de 2026</v>
      </c>
      <c r="V258" s="7" t="str">
        <f t="shared" si="13"/>
        <v>10 de marzo de 2026</v>
      </c>
      <c r="W258" s="8" t="str">
        <f>"1-" &amp; ROWS($W$2:W258) &amp; ".pdf"</f>
        <v>1-257.pdf</v>
      </c>
      <c r="X258" s="7" t="str">
        <f>Tabla1[[#This Row],[Número de documento del contacto]]&amp;"-"&amp;Tabla1[[#This Row],[Número de resolución de archivo]]&amp;".pdf"</f>
        <v>74186873-7749.pdf</v>
      </c>
      <c r="Y258" s="7" t="str">
        <f t="shared" si="14"/>
        <v>ren "1-257.pdf" "74186873-7749.pdf"</v>
      </c>
      <c r="Z258" s="7" t="str">
        <f>Tabla1[[#This Row],[Número de documento del contacto]]&amp;"_"&amp;Tabla1[[#This Row],[Número de resolución de archivo]]&amp;".pdf"</f>
        <v>74186873_7749.pdf</v>
      </c>
      <c r="AA258" s="7" t="s">
        <v>49</v>
      </c>
      <c r="AB258" s="7" t="str">
        <f>Tabla1[[#This Row],[Nombre PDF / cedula + num resolucion]]&amp;";"&amp;Tabla1[[#This Row],[instructivo]]</f>
        <v>74186873_7749.pdf;10. Instructivo_Radicar_Activación_Credencial_DIGITAL_SIRNA.pdf</v>
      </c>
      <c r="AC258" s="7" t="str">
        <f>Tabla1[[#This Row],[Número de resolución de archivo]]&amp;"_"&amp;Tabla1[[#This Row],[Número de documento del contacto]]</f>
        <v>7749_74186873</v>
      </c>
    </row>
    <row r="259" spans="1:29" x14ac:dyDescent="0.25">
      <c r="A259">
        <v>15202</v>
      </c>
      <c r="B259" t="s">
        <v>14</v>
      </c>
      <c r="C259" t="s">
        <v>15</v>
      </c>
      <c r="D259" t="s">
        <v>16</v>
      </c>
      <c r="E259" t="s">
        <v>17</v>
      </c>
      <c r="F259" s="14">
        <v>46120</v>
      </c>
      <c r="G259">
        <v>79904263</v>
      </c>
      <c r="H259" t="s">
        <v>564</v>
      </c>
      <c r="I259" t="s">
        <v>565</v>
      </c>
      <c r="J259" t="s">
        <v>20</v>
      </c>
      <c r="K259" t="s">
        <v>21</v>
      </c>
      <c r="L259" s="14">
        <v>46184</v>
      </c>
      <c r="M259">
        <v>64</v>
      </c>
      <c r="N259" t="s">
        <v>22</v>
      </c>
      <c r="O259" t="s">
        <v>22</v>
      </c>
      <c r="P259" s="14">
        <v>46091</v>
      </c>
      <c r="Q259" t="s">
        <v>23</v>
      </c>
      <c r="R259" s="7">
        <f>IFERROR(VLOOKUP(Tabla1[[#This Row],[Número de documento del contacto]],'Resoluciones 1 (Res)'!$A:$C,2,0),"")</f>
        <v>7524</v>
      </c>
      <c r="S259" s="11">
        <f>IFERROR(VLOOKUP(Tabla1[[#This Row],[Número de documento del contacto]],'Resoluciones 1 (Res)'!$A:$C,3,0),"")</f>
        <v>46184.606747685197</v>
      </c>
      <c r="T259" s="7" t="str">
        <f>IFERROR(VLOOKUP(Tabla1[[#This Row],[Número de documento del contacto]],'Resoluciones 2 (Req)'!$B:$E,3,0),"")</f>
        <v>12044</v>
      </c>
      <c r="U259" s="7" t="str">
        <f t="shared" si="12"/>
        <v>8 de abril de 2026</v>
      </c>
      <c r="V259" s="7" t="str">
        <f t="shared" si="13"/>
        <v>10 de marzo de 2026</v>
      </c>
      <c r="W259" s="8" t="str">
        <f>"1-" &amp; ROWS($W$2:W259) &amp; ".pdf"</f>
        <v>1-258.pdf</v>
      </c>
      <c r="X259" s="7" t="str">
        <f>Tabla1[[#This Row],[Número de documento del contacto]]&amp;"-"&amp;Tabla1[[#This Row],[Número de resolución de archivo]]&amp;".pdf"</f>
        <v>79904263-7524.pdf</v>
      </c>
      <c r="Y259" s="7" t="str">
        <f t="shared" si="14"/>
        <v>ren "1-258.pdf" "79904263-7524.pdf"</v>
      </c>
      <c r="Z259" s="7" t="str">
        <f>Tabla1[[#This Row],[Número de documento del contacto]]&amp;"_"&amp;Tabla1[[#This Row],[Número de resolución de archivo]]&amp;".pdf"</f>
        <v>79904263_7524.pdf</v>
      </c>
      <c r="AA259" s="7" t="s">
        <v>49</v>
      </c>
      <c r="AB259" s="7" t="str">
        <f>Tabla1[[#This Row],[Nombre PDF / cedula + num resolucion]]&amp;";"&amp;Tabla1[[#This Row],[instructivo]]</f>
        <v>79904263_7524.pdf;10. Instructivo_Radicar_Activación_Credencial_DIGITAL_SIRNA.pdf</v>
      </c>
      <c r="AC259" s="7" t="str">
        <f>Tabla1[[#This Row],[Número de resolución de archivo]]&amp;"_"&amp;Tabla1[[#This Row],[Número de documento del contacto]]</f>
        <v>7524_79904263</v>
      </c>
    </row>
    <row r="260" spans="1:29" x14ac:dyDescent="0.25">
      <c r="A260">
        <v>14694</v>
      </c>
      <c r="B260" t="s">
        <v>14</v>
      </c>
      <c r="C260" t="s">
        <v>15</v>
      </c>
      <c r="D260" t="s">
        <v>16</v>
      </c>
      <c r="E260" t="s">
        <v>17</v>
      </c>
      <c r="F260" s="14">
        <v>46120</v>
      </c>
      <c r="G260">
        <v>79961501</v>
      </c>
      <c r="H260" t="s">
        <v>566</v>
      </c>
      <c r="I260" t="s">
        <v>567</v>
      </c>
      <c r="J260" t="s">
        <v>20</v>
      </c>
      <c r="K260" t="s">
        <v>21</v>
      </c>
      <c r="L260" s="14">
        <v>46184</v>
      </c>
      <c r="M260">
        <v>64</v>
      </c>
      <c r="N260" t="s">
        <v>22</v>
      </c>
      <c r="O260" t="s">
        <v>22</v>
      </c>
      <c r="P260" s="14">
        <v>46089</v>
      </c>
      <c r="Q260" t="s">
        <v>23</v>
      </c>
      <c r="R260" s="7">
        <f>IFERROR(VLOOKUP(Tabla1[[#This Row],[Número de documento del contacto]],'Resoluciones 1 (Res)'!$A:$C,2,0),"")</f>
        <v>7594</v>
      </c>
      <c r="S260" s="11">
        <f>IFERROR(VLOOKUP(Tabla1[[#This Row],[Número de documento del contacto]],'Resoluciones 1 (Res)'!$A:$C,3,0),"")</f>
        <v>46184.606747685197</v>
      </c>
      <c r="T260" s="7" t="str">
        <f>IFERROR(VLOOKUP(Tabla1[[#This Row],[Número de documento del contacto]],'Resoluciones 2 (Req)'!$B:$E,3,0),"")</f>
        <v>11975</v>
      </c>
      <c r="U260" s="7" t="str">
        <f t="shared" si="12"/>
        <v>8 de abril de 2026</v>
      </c>
      <c r="V260" s="7" t="str">
        <f t="shared" si="13"/>
        <v>8 de marzo de 2026</v>
      </c>
      <c r="W260" s="8" t="str">
        <f>"1-" &amp; ROWS($W$2:W260) &amp; ".pdf"</f>
        <v>1-259.pdf</v>
      </c>
      <c r="X260" s="7" t="str">
        <f>Tabla1[[#This Row],[Número de documento del contacto]]&amp;"-"&amp;Tabla1[[#This Row],[Número de resolución de archivo]]&amp;".pdf"</f>
        <v>79961501-7594.pdf</v>
      </c>
      <c r="Y260" s="7" t="str">
        <f t="shared" si="14"/>
        <v>ren "1-259.pdf" "79961501-7594.pdf"</v>
      </c>
      <c r="Z260" s="7" t="str">
        <f>Tabla1[[#This Row],[Número de documento del contacto]]&amp;"_"&amp;Tabla1[[#This Row],[Número de resolución de archivo]]&amp;".pdf"</f>
        <v>79961501_7594.pdf</v>
      </c>
      <c r="AA260" s="7" t="s">
        <v>49</v>
      </c>
      <c r="AB260" s="7" t="str">
        <f>Tabla1[[#This Row],[Nombre PDF / cedula + num resolucion]]&amp;";"&amp;Tabla1[[#This Row],[instructivo]]</f>
        <v>79961501_7594.pdf;10. Instructivo_Radicar_Activación_Credencial_DIGITAL_SIRNA.pdf</v>
      </c>
      <c r="AC260" s="7" t="str">
        <f>Tabla1[[#This Row],[Número de resolución de archivo]]&amp;"_"&amp;Tabla1[[#This Row],[Número de documento del contacto]]</f>
        <v>7594_79961501</v>
      </c>
    </row>
    <row r="261" spans="1:29" x14ac:dyDescent="0.25">
      <c r="A261">
        <v>15418</v>
      </c>
      <c r="B261" t="s">
        <v>14</v>
      </c>
      <c r="C261" t="s">
        <v>15</v>
      </c>
      <c r="D261" t="s">
        <v>16</v>
      </c>
      <c r="E261" t="s">
        <v>17</v>
      </c>
      <c r="F261" s="14">
        <v>46120</v>
      </c>
      <c r="G261">
        <v>79963564</v>
      </c>
      <c r="H261" t="s">
        <v>568</v>
      </c>
      <c r="I261" t="s">
        <v>569</v>
      </c>
      <c r="J261" t="s">
        <v>20</v>
      </c>
      <c r="K261" t="s">
        <v>21</v>
      </c>
      <c r="L261" s="14">
        <v>46184</v>
      </c>
      <c r="M261">
        <v>64</v>
      </c>
      <c r="N261" t="s">
        <v>22</v>
      </c>
      <c r="O261" t="s">
        <v>22</v>
      </c>
      <c r="P261" s="14">
        <v>46092</v>
      </c>
      <c r="Q261" t="s">
        <v>23</v>
      </c>
      <c r="R261" s="7">
        <f>IFERROR(VLOOKUP(Tabla1[[#This Row],[Número de documento del contacto]],'Resoluciones 1 (Res)'!$A:$C,2,0),"")</f>
        <v>7435</v>
      </c>
      <c r="S261" s="11">
        <f>IFERROR(VLOOKUP(Tabla1[[#This Row],[Número de documento del contacto]],'Resoluciones 1 (Res)'!$A:$C,3,0),"")</f>
        <v>46184.606747685197</v>
      </c>
      <c r="T261" s="7" t="str">
        <f>IFERROR(VLOOKUP(Tabla1[[#This Row],[Número de documento del contacto]],'Resoluciones 2 (Req)'!$B:$E,3,0),"")</f>
        <v>12045</v>
      </c>
      <c r="U261" s="7" t="str">
        <f t="shared" si="12"/>
        <v>8 de abril de 2026</v>
      </c>
      <c r="V261" s="7" t="str">
        <f t="shared" si="13"/>
        <v>11 de marzo de 2026</v>
      </c>
      <c r="W261" s="8" t="str">
        <f>"1-" &amp; ROWS($W$2:W261) &amp; ".pdf"</f>
        <v>1-260.pdf</v>
      </c>
      <c r="X261" s="7" t="str">
        <f>Tabla1[[#This Row],[Número de documento del contacto]]&amp;"-"&amp;Tabla1[[#This Row],[Número de resolución de archivo]]&amp;".pdf"</f>
        <v>79963564-7435.pdf</v>
      </c>
      <c r="Y261" s="7" t="str">
        <f t="shared" si="14"/>
        <v>ren "1-260.pdf" "79963564-7435.pdf"</v>
      </c>
      <c r="Z261" s="7" t="str">
        <f>Tabla1[[#This Row],[Número de documento del contacto]]&amp;"_"&amp;Tabla1[[#This Row],[Número de resolución de archivo]]&amp;".pdf"</f>
        <v>79963564_7435.pdf</v>
      </c>
      <c r="AA261" s="7" t="s">
        <v>49</v>
      </c>
      <c r="AB261" s="7" t="str">
        <f>Tabla1[[#This Row],[Nombre PDF / cedula + num resolucion]]&amp;";"&amp;Tabla1[[#This Row],[instructivo]]</f>
        <v>79963564_7435.pdf;10. Instructivo_Radicar_Activación_Credencial_DIGITAL_SIRNA.pdf</v>
      </c>
      <c r="AC261" s="7" t="str">
        <f>Tabla1[[#This Row],[Número de resolución de archivo]]&amp;"_"&amp;Tabla1[[#This Row],[Número de documento del contacto]]</f>
        <v>7435_79963564</v>
      </c>
    </row>
    <row r="262" spans="1:29" x14ac:dyDescent="0.25">
      <c r="A262">
        <v>14388</v>
      </c>
      <c r="B262" t="s">
        <v>14</v>
      </c>
      <c r="C262" t="s">
        <v>15</v>
      </c>
      <c r="D262" t="s">
        <v>16</v>
      </c>
      <c r="E262" t="s">
        <v>17</v>
      </c>
      <c r="F262" s="14">
        <v>46120</v>
      </c>
      <c r="G262">
        <v>80766004</v>
      </c>
      <c r="H262" t="s">
        <v>570</v>
      </c>
      <c r="I262" t="s">
        <v>571</v>
      </c>
      <c r="J262" t="s">
        <v>20</v>
      </c>
      <c r="K262" t="s">
        <v>21</v>
      </c>
      <c r="L262" s="14">
        <v>46184</v>
      </c>
      <c r="M262">
        <v>64</v>
      </c>
      <c r="N262" t="s">
        <v>22</v>
      </c>
      <c r="O262" t="s">
        <v>22</v>
      </c>
      <c r="P262" s="14">
        <v>46086</v>
      </c>
      <c r="Q262" t="s">
        <v>23</v>
      </c>
      <c r="R262" s="7">
        <f>IFERROR(VLOOKUP(Tabla1[[#This Row],[Número de documento del contacto]],'Resoluciones 1 (Res)'!$A:$C,2,0),"")</f>
        <v>7514</v>
      </c>
      <c r="S262" s="11">
        <f>IFERROR(VLOOKUP(Tabla1[[#This Row],[Número de documento del contacto]],'Resoluciones 1 (Res)'!$A:$C,3,0),"")</f>
        <v>46184.606747685197</v>
      </c>
      <c r="T262" s="7" t="str">
        <f>IFERROR(VLOOKUP(Tabla1[[#This Row],[Número de documento del contacto]],'Resoluciones 2 (Req)'!$B:$E,3,0),"")</f>
        <v>11976</v>
      </c>
      <c r="U262" s="7" t="str">
        <f t="shared" si="12"/>
        <v>8 de abril de 2026</v>
      </c>
      <c r="V262" s="7" t="str">
        <f t="shared" si="13"/>
        <v>5 de marzo de 2026</v>
      </c>
      <c r="W262" s="8" t="str">
        <f>"1-" &amp; ROWS($W$2:W262) &amp; ".pdf"</f>
        <v>1-261.pdf</v>
      </c>
      <c r="X262" s="7" t="str">
        <f>Tabla1[[#This Row],[Número de documento del contacto]]&amp;"-"&amp;Tabla1[[#This Row],[Número de resolución de archivo]]&amp;".pdf"</f>
        <v>80766004-7514.pdf</v>
      </c>
      <c r="Y262" s="7" t="str">
        <f t="shared" si="14"/>
        <v>ren "1-261.pdf" "80766004-7514.pdf"</v>
      </c>
      <c r="Z262" s="7" t="str">
        <f>Tabla1[[#This Row],[Número de documento del contacto]]&amp;"_"&amp;Tabla1[[#This Row],[Número de resolución de archivo]]&amp;".pdf"</f>
        <v>80766004_7514.pdf</v>
      </c>
      <c r="AA262" s="7" t="s">
        <v>49</v>
      </c>
      <c r="AB262" s="7" t="str">
        <f>Tabla1[[#This Row],[Nombre PDF / cedula + num resolucion]]&amp;";"&amp;Tabla1[[#This Row],[instructivo]]</f>
        <v>80766004_7514.pdf;10. Instructivo_Radicar_Activación_Credencial_DIGITAL_SIRNA.pdf</v>
      </c>
      <c r="AC262" s="7" t="str">
        <f>Tabla1[[#This Row],[Número de resolución de archivo]]&amp;"_"&amp;Tabla1[[#This Row],[Número de documento del contacto]]</f>
        <v>7514_80766004</v>
      </c>
    </row>
    <row r="263" spans="1:29" x14ac:dyDescent="0.25">
      <c r="A263">
        <v>15384</v>
      </c>
      <c r="B263" t="s">
        <v>14</v>
      </c>
      <c r="C263" t="s">
        <v>15</v>
      </c>
      <c r="D263" t="s">
        <v>16</v>
      </c>
      <c r="E263" t="s">
        <v>17</v>
      </c>
      <c r="F263" s="14">
        <v>46120</v>
      </c>
      <c r="G263">
        <v>80897306</v>
      </c>
      <c r="H263" t="s">
        <v>572</v>
      </c>
      <c r="I263" t="s">
        <v>573</v>
      </c>
      <c r="J263" t="s">
        <v>20</v>
      </c>
      <c r="K263" t="s">
        <v>21</v>
      </c>
      <c r="L263" s="14">
        <v>46184</v>
      </c>
      <c r="M263">
        <v>64</v>
      </c>
      <c r="N263" t="s">
        <v>22</v>
      </c>
      <c r="O263" t="s">
        <v>22</v>
      </c>
      <c r="P263" s="14">
        <v>46092</v>
      </c>
      <c r="Q263" t="s">
        <v>23</v>
      </c>
      <c r="R263" s="7">
        <f>IFERROR(VLOOKUP(Tabla1[[#This Row],[Número de documento del contacto]],'Resoluciones 1 (Res)'!$A:$C,2,0),"")</f>
        <v>7627</v>
      </c>
      <c r="S263" s="11">
        <f>IFERROR(VLOOKUP(Tabla1[[#This Row],[Número de documento del contacto]],'Resoluciones 1 (Res)'!$A:$C,3,0),"")</f>
        <v>46184.606747685197</v>
      </c>
      <c r="T263" s="7" t="str">
        <f>IFERROR(VLOOKUP(Tabla1[[#This Row],[Número de documento del contacto]],'Resoluciones 2 (Req)'!$B:$E,3,0),"")</f>
        <v>12047</v>
      </c>
      <c r="U263" s="7" t="str">
        <f t="shared" si="12"/>
        <v>8 de abril de 2026</v>
      </c>
      <c r="V263" s="7" t="str">
        <f t="shared" si="13"/>
        <v>11 de marzo de 2026</v>
      </c>
      <c r="W263" s="8" t="str">
        <f>"1-" &amp; ROWS($W$2:W263) &amp; ".pdf"</f>
        <v>1-262.pdf</v>
      </c>
      <c r="X263" s="7" t="str">
        <f>Tabla1[[#This Row],[Número de documento del contacto]]&amp;"-"&amp;Tabla1[[#This Row],[Número de resolución de archivo]]&amp;".pdf"</f>
        <v>80897306-7627.pdf</v>
      </c>
      <c r="Y263" s="7" t="str">
        <f t="shared" si="14"/>
        <v>ren "1-262.pdf" "80897306-7627.pdf"</v>
      </c>
      <c r="Z263" s="7" t="str">
        <f>Tabla1[[#This Row],[Número de documento del contacto]]&amp;"_"&amp;Tabla1[[#This Row],[Número de resolución de archivo]]&amp;".pdf"</f>
        <v>80897306_7627.pdf</v>
      </c>
      <c r="AA263" s="7" t="s">
        <v>49</v>
      </c>
      <c r="AB263" s="7" t="str">
        <f>Tabla1[[#This Row],[Nombre PDF / cedula + num resolucion]]&amp;";"&amp;Tabla1[[#This Row],[instructivo]]</f>
        <v>80897306_7627.pdf;10. Instructivo_Radicar_Activación_Credencial_DIGITAL_SIRNA.pdf</v>
      </c>
      <c r="AC263" s="7" t="str">
        <f>Tabla1[[#This Row],[Número de resolución de archivo]]&amp;"_"&amp;Tabla1[[#This Row],[Número de documento del contacto]]</f>
        <v>7627_80897306</v>
      </c>
    </row>
    <row r="264" spans="1:29" x14ac:dyDescent="0.25">
      <c r="A264">
        <v>14969</v>
      </c>
      <c r="B264" t="s">
        <v>14</v>
      </c>
      <c r="C264" t="s">
        <v>15</v>
      </c>
      <c r="D264" t="s">
        <v>16</v>
      </c>
      <c r="E264" t="s">
        <v>17</v>
      </c>
      <c r="F264" s="14">
        <v>46120</v>
      </c>
      <c r="G264">
        <v>85472624</v>
      </c>
      <c r="H264" t="s">
        <v>574</v>
      </c>
      <c r="I264" t="s">
        <v>575</v>
      </c>
      <c r="J264" t="s">
        <v>20</v>
      </c>
      <c r="K264" t="s">
        <v>21</v>
      </c>
      <c r="L264" s="14">
        <v>46184</v>
      </c>
      <c r="M264">
        <v>64</v>
      </c>
      <c r="N264" t="s">
        <v>22</v>
      </c>
      <c r="O264" t="s">
        <v>22</v>
      </c>
      <c r="P264" s="14">
        <v>46091</v>
      </c>
      <c r="Q264" t="s">
        <v>23</v>
      </c>
      <c r="R264" s="7">
        <f>IFERROR(VLOOKUP(Tabla1[[#This Row],[Número de documento del contacto]],'Resoluciones 1 (Res)'!$A:$C,2,0),"")</f>
        <v>7593</v>
      </c>
      <c r="S264" s="11">
        <f>IFERROR(VLOOKUP(Tabla1[[#This Row],[Número de documento del contacto]],'Resoluciones 1 (Res)'!$A:$C,3,0),"")</f>
        <v>46184.606747685197</v>
      </c>
      <c r="T264" s="7" t="str">
        <f>IFERROR(VLOOKUP(Tabla1[[#This Row],[Número de documento del contacto]],'Resoluciones 2 (Req)'!$B:$E,3,0),"")</f>
        <v>12049</v>
      </c>
      <c r="U264" s="7" t="str">
        <f t="shared" si="12"/>
        <v>8 de abril de 2026</v>
      </c>
      <c r="V264" s="7" t="str">
        <f t="shared" si="13"/>
        <v>10 de marzo de 2026</v>
      </c>
      <c r="W264" s="8" t="str">
        <f>"1-" &amp; ROWS($W$2:W264) &amp; ".pdf"</f>
        <v>1-263.pdf</v>
      </c>
      <c r="X264" s="7" t="str">
        <f>Tabla1[[#This Row],[Número de documento del contacto]]&amp;"-"&amp;Tabla1[[#This Row],[Número de resolución de archivo]]&amp;".pdf"</f>
        <v>85472624-7593.pdf</v>
      </c>
      <c r="Y264" s="7" t="str">
        <f t="shared" si="14"/>
        <v>ren "1-263.pdf" "85472624-7593.pdf"</v>
      </c>
      <c r="Z264" s="7" t="str">
        <f>Tabla1[[#This Row],[Número de documento del contacto]]&amp;"_"&amp;Tabla1[[#This Row],[Número de resolución de archivo]]&amp;".pdf"</f>
        <v>85472624_7593.pdf</v>
      </c>
      <c r="AA264" s="7" t="s">
        <v>49</v>
      </c>
      <c r="AB264" s="7" t="str">
        <f>Tabla1[[#This Row],[Nombre PDF / cedula + num resolucion]]&amp;";"&amp;Tabla1[[#This Row],[instructivo]]</f>
        <v>85472624_7593.pdf;10. Instructivo_Radicar_Activación_Credencial_DIGITAL_SIRNA.pdf</v>
      </c>
      <c r="AC264" s="7" t="str">
        <f>Tabla1[[#This Row],[Número de resolución de archivo]]&amp;"_"&amp;Tabla1[[#This Row],[Número de documento del contacto]]</f>
        <v>7593_85472624</v>
      </c>
    </row>
    <row r="265" spans="1:29" x14ac:dyDescent="0.25">
      <c r="A265">
        <v>14254</v>
      </c>
      <c r="B265" t="s">
        <v>14</v>
      </c>
      <c r="C265" t="s">
        <v>15</v>
      </c>
      <c r="D265" t="s">
        <v>16</v>
      </c>
      <c r="E265" t="s">
        <v>17</v>
      </c>
      <c r="F265" s="14">
        <v>46120</v>
      </c>
      <c r="G265">
        <v>87714039</v>
      </c>
      <c r="H265" t="s">
        <v>576</v>
      </c>
      <c r="I265" t="s">
        <v>577</v>
      </c>
      <c r="J265" t="s">
        <v>20</v>
      </c>
      <c r="K265" t="s">
        <v>21</v>
      </c>
      <c r="L265" s="14">
        <v>46184</v>
      </c>
      <c r="M265">
        <v>64</v>
      </c>
      <c r="N265" t="s">
        <v>22</v>
      </c>
      <c r="O265" t="s">
        <v>22</v>
      </c>
      <c r="P265" s="14">
        <v>46086</v>
      </c>
      <c r="Q265" t="s">
        <v>23</v>
      </c>
      <c r="R265" s="7">
        <f>IFERROR(VLOOKUP(Tabla1[[#This Row],[Número de documento del contacto]],'Resoluciones 1 (Res)'!$A:$C,2,0),"")</f>
        <v>7538</v>
      </c>
      <c r="S265" s="11">
        <f>IFERROR(VLOOKUP(Tabla1[[#This Row],[Número de documento del contacto]],'Resoluciones 1 (Res)'!$A:$C,3,0),"")</f>
        <v>46184.606747685197</v>
      </c>
      <c r="T265" s="7" t="str">
        <f>IFERROR(VLOOKUP(Tabla1[[#This Row],[Número de documento del contacto]],'Resoluciones 2 (Req)'!$B:$E,3,0),"")</f>
        <v>11977</v>
      </c>
      <c r="U265" s="7" t="str">
        <f t="shared" si="12"/>
        <v>8 de abril de 2026</v>
      </c>
      <c r="V265" s="7" t="str">
        <f t="shared" si="13"/>
        <v>5 de marzo de 2026</v>
      </c>
      <c r="W265" s="8" t="str">
        <f>"1-" &amp; ROWS($W$2:W265) &amp; ".pdf"</f>
        <v>1-264.pdf</v>
      </c>
      <c r="X265" s="7" t="str">
        <f>Tabla1[[#This Row],[Número de documento del contacto]]&amp;"-"&amp;Tabla1[[#This Row],[Número de resolución de archivo]]&amp;".pdf"</f>
        <v>87714039-7538.pdf</v>
      </c>
      <c r="Y265" s="7" t="str">
        <f t="shared" si="14"/>
        <v>ren "1-264.pdf" "87714039-7538.pdf"</v>
      </c>
      <c r="Z265" s="7" t="str">
        <f>Tabla1[[#This Row],[Número de documento del contacto]]&amp;"_"&amp;Tabla1[[#This Row],[Número de resolución de archivo]]&amp;".pdf"</f>
        <v>87714039_7538.pdf</v>
      </c>
      <c r="AA265" s="7" t="s">
        <v>49</v>
      </c>
      <c r="AB265" s="7" t="str">
        <f>Tabla1[[#This Row],[Nombre PDF / cedula + num resolucion]]&amp;";"&amp;Tabla1[[#This Row],[instructivo]]</f>
        <v>87714039_7538.pdf;10. Instructivo_Radicar_Activación_Credencial_DIGITAL_SIRNA.pdf</v>
      </c>
      <c r="AC265" s="7" t="str">
        <f>Tabla1[[#This Row],[Número de resolución de archivo]]&amp;"_"&amp;Tabla1[[#This Row],[Número de documento del contacto]]</f>
        <v>7538_87714039</v>
      </c>
    </row>
    <row r="266" spans="1:29" x14ac:dyDescent="0.25">
      <c r="A266">
        <v>15433</v>
      </c>
      <c r="B266" t="s">
        <v>14</v>
      </c>
      <c r="C266" t="s">
        <v>15</v>
      </c>
      <c r="D266" t="s">
        <v>16</v>
      </c>
      <c r="E266" t="s">
        <v>17</v>
      </c>
      <c r="F266" s="14">
        <v>46120</v>
      </c>
      <c r="G266">
        <v>91523563</v>
      </c>
      <c r="H266" t="s">
        <v>578</v>
      </c>
      <c r="I266" t="s">
        <v>579</v>
      </c>
      <c r="J266" t="s">
        <v>20</v>
      </c>
      <c r="K266" t="s">
        <v>21</v>
      </c>
      <c r="L266" s="14">
        <v>46184</v>
      </c>
      <c r="M266">
        <v>64</v>
      </c>
      <c r="N266" t="s">
        <v>22</v>
      </c>
      <c r="O266" t="s">
        <v>22</v>
      </c>
      <c r="P266" s="14">
        <v>46093</v>
      </c>
      <c r="Q266" t="s">
        <v>23</v>
      </c>
      <c r="R266" s="7">
        <f>IFERROR(VLOOKUP(Tabla1[[#This Row],[Número de documento del contacto]],'Resoluciones 1 (Res)'!$A:$C,2,0),"")</f>
        <v>7504</v>
      </c>
      <c r="S266" s="11">
        <f>IFERROR(VLOOKUP(Tabla1[[#This Row],[Número de documento del contacto]],'Resoluciones 1 (Res)'!$A:$C,3,0),"")</f>
        <v>46184.606747685197</v>
      </c>
      <c r="T266" s="7" t="str">
        <f>IFERROR(VLOOKUP(Tabla1[[#This Row],[Número de documento del contacto]],'Resoluciones 2 (Req)'!$B:$E,3,0),"")</f>
        <v>12050</v>
      </c>
      <c r="U266" s="7" t="str">
        <f t="shared" ref="U266:U320" si="15">TEXT(F266, "d ""de"" mmmm ""de"" yyyy")</f>
        <v>8 de abril de 2026</v>
      </c>
      <c r="V266" s="7" t="str">
        <f t="shared" ref="V266:V320" si="16">TEXT(P266, "d ""de"" mmmm ""de"" yyyy")</f>
        <v>12 de marzo de 2026</v>
      </c>
      <c r="W266" s="8" t="str">
        <f>"1-" &amp; ROWS($W$2:W266) &amp; ".pdf"</f>
        <v>1-265.pdf</v>
      </c>
      <c r="X266" s="7" t="str">
        <f>Tabla1[[#This Row],[Número de documento del contacto]]&amp;"-"&amp;Tabla1[[#This Row],[Número de resolución de archivo]]&amp;".pdf"</f>
        <v>91523563-7504.pdf</v>
      </c>
      <c r="Y266" s="7" t="str">
        <f t="shared" ref="Y266:Y320" si="17">"ren """ &amp; W266 &amp; """ """ &amp; X266 &amp; """"</f>
        <v>ren "1-265.pdf" "91523563-7504.pdf"</v>
      </c>
      <c r="Z266" s="7" t="str">
        <f>Tabla1[[#This Row],[Número de documento del contacto]]&amp;"_"&amp;Tabla1[[#This Row],[Número de resolución de archivo]]&amp;".pdf"</f>
        <v>91523563_7504.pdf</v>
      </c>
      <c r="AA266" s="7" t="s">
        <v>49</v>
      </c>
      <c r="AB266" s="7" t="str">
        <f>Tabla1[[#This Row],[Nombre PDF / cedula + num resolucion]]&amp;";"&amp;Tabla1[[#This Row],[instructivo]]</f>
        <v>91523563_7504.pdf;10. Instructivo_Radicar_Activación_Credencial_DIGITAL_SIRNA.pdf</v>
      </c>
      <c r="AC266" s="7" t="str">
        <f>Tabla1[[#This Row],[Número de resolución de archivo]]&amp;"_"&amp;Tabla1[[#This Row],[Número de documento del contacto]]</f>
        <v>7504_91523563</v>
      </c>
    </row>
    <row r="267" spans="1:29" x14ac:dyDescent="0.25">
      <c r="A267">
        <v>15320</v>
      </c>
      <c r="B267" t="s">
        <v>14</v>
      </c>
      <c r="C267" t="s">
        <v>15</v>
      </c>
      <c r="D267" t="s">
        <v>16</v>
      </c>
      <c r="E267" t="s">
        <v>17</v>
      </c>
      <c r="F267" s="14">
        <v>46120</v>
      </c>
      <c r="G267">
        <v>91527008</v>
      </c>
      <c r="H267" t="s">
        <v>580</v>
      </c>
      <c r="I267" t="s">
        <v>581</v>
      </c>
      <c r="J267" t="s">
        <v>20</v>
      </c>
      <c r="K267" t="s">
        <v>21</v>
      </c>
      <c r="L267" s="14">
        <v>46184</v>
      </c>
      <c r="M267">
        <v>64</v>
      </c>
      <c r="N267" t="s">
        <v>22</v>
      </c>
      <c r="O267" t="s">
        <v>22</v>
      </c>
      <c r="P267" s="14">
        <v>46092</v>
      </c>
      <c r="Q267" t="s">
        <v>23</v>
      </c>
      <c r="R267" s="7">
        <f>IFERROR(VLOOKUP(Tabla1[[#This Row],[Número de documento del contacto]],'Resoluciones 1 (Res)'!$A:$C,2,0),"")</f>
        <v>7729</v>
      </c>
      <c r="S267" s="11">
        <f>IFERROR(VLOOKUP(Tabla1[[#This Row],[Número de documento del contacto]],'Resoluciones 1 (Res)'!$A:$C,3,0),"")</f>
        <v>46184.606747685197</v>
      </c>
      <c r="T267" s="7" t="str">
        <f>IFERROR(VLOOKUP(Tabla1[[#This Row],[Número de documento del contacto]],'Resoluciones 2 (Req)'!$B:$E,3,0),"")</f>
        <v>12052</v>
      </c>
      <c r="U267" s="7" t="str">
        <f t="shared" si="15"/>
        <v>8 de abril de 2026</v>
      </c>
      <c r="V267" s="7" t="str">
        <f t="shared" si="16"/>
        <v>11 de marzo de 2026</v>
      </c>
      <c r="W267" s="8" t="str">
        <f>"1-" &amp; ROWS($W$2:W267) &amp; ".pdf"</f>
        <v>1-266.pdf</v>
      </c>
      <c r="X267" s="7" t="str">
        <f>Tabla1[[#This Row],[Número de documento del contacto]]&amp;"-"&amp;Tabla1[[#This Row],[Número de resolución de archivo]]&amp;".pdf"</f>
        <v>91527008-7729.pdf</v>
      </c>
      <c r="Y267" s="7" t="str">
        <f t="shared" si="17"/>
        <v>ren "1-266.pdf" "91527008-7729.pdf"</v>
      </c>
      <c r="Z267" s="7" t="str">
        <f>Tabla1[[#This Row],[Número de documento del contacto]]&amp;"_"&amp;Tabla1[[#This Row],[Número de resolución de archivo]]&amp;".pdf"</f>
        <v>91527008_7729.pdf</v>
      </c>
      <c r="AA267" s="7" t="s">
        <v>49</v>
      </c>
      <c r="AB267" s="7" t="str">
        <f>Tabla1[[#This Row],[Nombre PDF / cedula + num resolucion]]&amp;";"&amp;Tabla1[[#This Row],[instructivo]]</f>
        <v>91527008_7729.pdf;10. Instructivo_Radicar_Activación_Credencial_DIGITAL_SIRNA.pdf</v>
      </c>
      <c r="AC267" s="7" t="str">
        <f>Tabla1[[#This Row],[Número de resolución de archivo]]&amp;"_"&amp;Tabla1[[#This Row],[Número de documento del contacto]]</f>
        <v>7729_91527008</v>
      </c>
    </row>
    <row r="268" spans="1:29" x14ac:dyDescent="0.25">
      <c r="A268">
        <v>14500</v>
      </c>
      <c r="B268" t="s">
        <v>14</v>
      </c>
      <c r="C268" t="s">
        <v>15</v>
      </c>
      <c r="D268" t="s">
        <v>16</v>
      </c>
      <c r="E268" t="s">
        <v>17</v>
      </c>
      <c r="F268" s="14">
        <v>46120</v>
      </c>
      <c r="G268">
        <v>93339137</v>
      </c>
      <c r="H268" t="s">
        <v>582</v>
      </c>
      <c r="I268" t="s">
        <v>583</v>
      </c>
      <c r="J268" t="s">
        <v>20</v>
      </c>
      <c r="K268" t="s">
        <v>21</v>
      </c>
      <c r="L268" s="14">
        <v>46184</v>
      </c>
      <c r="M268">
        <v>64</v>
      </c>
      <c r="N268" t="s">
        <v>22</v>
      </c>
      <c r="O268" t="s">
        <v>22</v>
      </c>
      <c r="P268" s="14">
        <v>46087</v>
      </c>
      <c r="Q268" t="s">
        <v>23</v>
      </c>
      <c r="R268" s="7">
        <f>IFERROR(VLOOKUP(Tabla1[[#This Row],[Número de documento del contacto]],'Resoluciones 1 (Res)'!$A:$C,2,0),"")</f>
        <v>7710</v>
      </c>
      <c r="S268" s="11">
        <f>IFERROR(VLOOKUP(Tabla1[[#This Row],[Número de documento del contacto]],'Resoluciones 1 (Res)'!$A:$C,3,0),"")</f>
        <v>46184.606747685197</v>
      </c>
      <c r="T268" s="7" t="str">
        <f>IFERROR(VLOOKUP(Tabla1[[#This Row],[Número de documento del contacto]],'Resoluciones 2 (Req)'!$B:$E,3,0),"")</f>
        <v>11978</v>
      </c>
      <c r="U268" s="7" t="str">
        <f t="shared" si="15"/>
        <v>8 de abril de 2026</v>
      </c>
      <c r="V268" s="7" t="str">
        <f t="shared" si="16"/>
        <v>6 de marzo de 2026</v>
      </c>
      <c r="W268" s="8" t="str">
        <f>"1-" &amp; ROWS($W$2:W268) &amp; ".pdf"</f>
        <v>1-267.pdf</v>
      </c>
      <c r="X268" s="7" t="str">
        <f>Tabla1[[#This Row],[Número de documento del contacto]]&amp;"-"&amp;Tabla1[[#This Row],[Número de resolución de archivo]]&amp;".pdf"</f>
        <v>93339137-7710.pdf</v>
      </c>
      <c r="Y268" s="7" t="str">
        <f t="shared" si="17"/>
        <v>ren "1-267.pdf" "93339137-7710.pdf"</v>
      </c>
      <c r="Z268" s="7" t="str">
        <f>Tabla1[[#This Row],[Número de documento del contacto]]&amp;"_"&amp;Tabla1[[#This Row],[Número de resolución de archivo]]&amp;".pdf"</f>
        <v>93339137_7710.pdf</v>
      </c>
      <c r="AA268" s="7" t="s">
        <v>49</v>
      </c>
      <c r="AB268" s="7" t="str">
        <f>Tabla1[[#This Row],[Nombre PDF / cedula + num resolucion]]&amp;";"&amp;Tabla1[[#This Row],[instructivo]]</f>
        <v>93339137_7710.pdf;10. Instructivo_Radicar_Activación_Credencial_DIGITAL_SIRNA.pdf</v>
      </c>
      <c r="AC268" s="7" t="str">
        <f>Tabla1[[#This Row],[Número de resolución de archivo]]&amp;"_"&amp;Tabla1[[#This Row],[Número de documento del contacto]]</f>
        <v>7710_93339137</v>
      </c>
    </row>
    <row r="269" spans="1:29" x14ac:dyDescent="0.25">
      <c r="A269">
        <v>14980</v>
      </c>
      <c r="B269" t="s">
        <v>14</v>
      </c>
      <c r="C269" t="s">
        <v>15</v>
      </c>
      <c r="D269" t="s">
        <v>16</v>
      </c>
      <c r="E269" t="s">
        <v>17</v>
      </c>
      <c r="F269" s="14">
        <v>46120</v>
      </c>
      <c r="G269">
        <v>94515940</v>
      </c>
      <c r="H269" t="s">
        <v>584</v>
      </c>
      <c r="I269" t="s">
        <v>585</v>
      </c>
      <c r="J269" t="s">
        <v>20</v>
      </c>
      <c r="K269" t="s">
        <v>21</v>
      </c>
      <c r="L269" s="14">
        <v>46184</v>
      </c>
      <c r="M269">
        <v>64</v>
      </c>
      <c r="N269" t="s">
        <v>22</v>
      </c>
      <c r="O269" t="s">
        <v>22</v>
      </c>
      <c r="P269" s="14">
        <v>46091</v>
      </c>
      <c r="Q269" t="s">
        <v>23</v>
      </c>
      <c r="R269" s="7">
        <f>IFERROR(VLOOKUP(Tabla1[[#This Row],[Número de documento del contacto]],'Resoluciones 1 (Res)'!$A:$C,2,0),"")</f>
        <v>7438</v>
      </c>
      <c r="S269" s="11">
        <f>IFERROR(VLOOKUP(Tabla1[[#This Row],[Número de documento del contacto]],'Resoluciones 1 (Res)'!$A:$C,3,0),"")</f>
        <v>46184.606747685197</v>
      </c>
      <c r="T269" s="7" t="str">
        <f>IFERROR(VLOOKUP(Tabla1[[#This Row],[Número de documento del contacto]],'Resoluciones 2 (Req)'!$B:$E,3,0),"")</f>
        <v>12053</v>
      </c>
      <c r="U269" s="7" t="str">
        <f t="shared" si="15"/>
        <v>8 de abril de 2026</v>
      </c>
      <c r="V269" s="7" t="str">
        <f t="shared" si="16"/>
        <v>10 de marzo de 2026</v>
      </c>
      <c r="W269" s="8" t="str">
        <f>"1-" &amp; ROWS($W$2:W269) &amp; ".pdf"</f>
        <v>1-268.pdf</v>
      </c>
      <c r="X269" s="7" t="str">
        <f>Tabla1[[#This Row],[Número de documento del contacto]]&amp;"-"&amp;Tabla1[[#This Row],[Número de resolución de archivo]]&amp;".pdf"</f>
        <v>94515940-7438.pdf</v>
      </c>
      <c r="Y269" s="7" t="str">
        <f t="shared" si="17"/>
        <v>ren "1-268.pdf" "94515940-7438.pdf"</v>
      </c>
      <c r="Z269" s="7" t="str">
        <f>Tabla1[[#This Row],[Número de documento del contacto]]&amp;"_"&amp;Tabla1[[#This Row],[Número de resolución de archivo]]&amp;".pdf"</f>
        <v>94515940_7438.pdf</v>
      </c>
      <c r="AA269" s="7" t="s">
        <v>49</v>
      </c>
      <c r="AB269" s="7" t="str">
        <f>Tabla1[[#This Row],[Nombre PDF / cedula + num resolucion]]&amp;";"&amp;Tabla1[[#This Row],[instructivo]]</f>
        <v>94515940_7438.pdf;10. Instructivo_Radicar_Activación_Credencial_DIGITAL_SIRNA.pdf</v>
      </c>
      <c r="AC269" s="7" t="str">
        <f>Tabla1[[#This Row],[Número de resolución de archivo]]&amp;"_"&amp;Tabla1[[#This Row],[Número de documento del contacto]]</f>
        <v>7438_94515940</v>
      </c>
    </row>
    <row r="270" spans="1:29" x14ac:dyDescent="0.25">
      <c r="A270">
        <v>14721</v>
      </c>
      <c r="B270" t="s">
        <v>14</v>
      </c>
      <c r="C270" t="s">
        <v>15</v>
      </c>
      <c r="D270" t="s">
        <v>16</v>
      </c>
      <c r="E270" t="s">
        <v>17</v>
      </c>
      <c r="F270" s="14">
        <v>46120</v>
      </c>
      <c r="G270">
        <v>1000613482</v>
      </c>
      <c r="H270" t="s">
        <v>586</v>
      </c>
      <c r="I270" t="s">
        <v>587</v>
      </c>
      <c r="J270" t="s">
        <v>20</v>
      </c>
      <c r="K270" t="s">
        <v>21</v>
      </c>
      <c r="L270" s="14">
        <v>46184</v>
      </c>
      <c r="M270">
        <v>64</v>
      </c>
      <c r="N270" t="s">
        <v>22</v>
      </c>
      <c r="O270" t="s">
        <v>22</v>
      </c>
      <c r="P270" s="14">
        <v>46089</v>
      </c>
      <c r="Q270" t="s">
        <v>23</v>
      </c>
      <c r="R270" s="7">
        <f>IFERROR(VLOOKUP(Tabla1[[#This Row],[Número de documento del contacto]],'Resoluciones 1 (Res)'!$A:$C,2,0),"")</f>
        <v>7705</v>
      </c>
      <c r="S270" s="11">
        <f>IFERROR(VLOOKUP(Tabla1[[#This Row],[Número de documento del contacto]],'Resoluciones 1 (Res)'!$A:$C,3,0),"")</f>
        <v>46184.606747685197</v>
      </c>
      <c r="T270" s="7" t="str">
        <f>IFERROR(VLOOKUP(Tabla1[[#This Row],[Número de documento del contacto]],'Resoluciones 2 (Req)'!$B:$E,3,0),"")</f>
        <v>11979</v>
      </c>
      <c r="U270" s="7" t="str">
        <f t="shared" si="15"/>
        <v>8 de abril de 2026</v>
      </c>
      <c r="V270" s="7" t="str">
        <f t="shared" si="16"/>
        <v>8 de marzo de 2026</v>
      </c>
      <c r="W270" s="8" t="str">
        <f>"1-" &amp; ROWS($W$2:W270) &amp; ".pdf"</f>
        <v>1-269.pdf</v>
      </c>
      <c r="X270" s="7" t="str">
        <f>Tabla1[[#This Row],[Número de documento del contacto]]&amp;"-"&amp;Tabla1[[#This Row],[Número de resolución de archivo]]&amp;".pdf"</f>
        <v>1000613482-7705.pdf</v>
      </c>
      <c r="Y270" s="7" t="str">
        <f t="shared" si="17"/>
        <v>ren "1-269.pdf" "1000613482-7705.pdf"</v>
      </c>
      <c r="Z270" s="7" t="str">
        <f>Tabla1[[#This Row],[Número de documento del contacto]]&amp;"_"&amp;Tabla1[[#This Row],[Número de resolución de archivo]]&amp;".pdf"</f>
        <v>1000613482_7705.pdf</v>
      </c>
      <c r="AA270" s="7" t="s">
        <v>49</v>
      </c>
      <c r="AB270" s="7" t="str">
        <f>Tabla1[[#This Row],[Nombre PDF / cedula + num resolucion]]&amp;";"&amp;Tabla1[[#This Row],[instructivo]]</f>
        <v>1000613482_7705.pdf;10. Instructivo_Radicar_Activación_Credencial_DIGITAL_SIRNA.pdf</v>
      </c>
      <c r="AC270" s="7" t="str">
        <f>Tabla1[[#This Row],[Número de resolución de archivo]]&amp;"_"&amp;Tabla1[[#This Row],[Número de documento del contacto]]</f>
        <v>7705_1000613482</v>
      </c>
    </row>
    <row r="271" spans="1:29" x14ac:dyDescent="0.25">
      <c r="A271">
        <v>14225</v>
      </c>
      <c r="B271" t="s">
        <v>14</v>
      </c>
      <c r="C271" t="s">
        <v>15</v>
      </c>
      <c r="D271" t="s">
        <v>16</v>
      </c>
      <c r="E271" t="s">
        <v>17</v>
      </c>
      <c r="F271" s="14">
        <v>46120</v>
      </c>
      <c r="G271">
        <v>1004345578</v>
      </c>
      <c r="H271" t="s">
        <v>588</v>
      </c>
      <c r="I271" t="s">
        <v>589</v>
      </c>
      <c r="J271" t="s">
        <v>20</v>
      </c>
      <c r="K271" t="s">
        <v>21</v>
      </c>
      <c r="L271" s="14">
        <v>46184</v>
      </c>
      <c r="M271">
        <v>64</v>
      </c>
      <c r="N271" t="s">
        <v>22</v>
      </c>
      <c r="O271" t="s">
        <v>22</v>
      </c>
      <c r="P271" s="14">
        <v>46086</v>
      </c>
      <c r="Q271" t="s">
        <v>23</v>
      </c>
      <c r="R271" s="7">
        <f>IFERROR(VLOOKUP(Tabla1[[#This Row],[Número de documento del contacto]],'Resoluciones 1 (Res)'!$A:$C,2,0),"")</f>
        <v>7556</v>
      </c>
      <c r="S271" s="11">
        <f>IFERROR(VLOOKUP(Tabla1[[#This Row],[Número de documento del contacto]],'Resoluciones 1 (Res)'!$A:$C,3,0),"")</f>
        <v>46184.606747685197</v>
      </c>
      <c r="T271" s="7" t="str">
        <f>IFERROR(VLOOKUP(Tabla1[[#This Row],[Número de documento del contacto]],'Resoluciones 2 (Req)'!$B:$E,3,0),"")</f>
        <v>11980</v>
      </c>
      <c r="U271" s="7" t="str">
        <f t="shared" si="15"/>
        <v>8 de abril de 2026</v>
      </c>
      <c r="V271" s="7" t="str">
        <f t="shared" si="16"/>
        <v>5 de marzo de 2026</v>
      </c>
      <c r="W271" s="8" t="str">
        <f>"1-" &amp; ROWS($W$2:W271) &amp; ".pdf"</f>
        <v>1-270.pdf</v>
      </c>
      <c r="X271" s="7" t="str">
        <f>Tabla1[[#This Row],[Número de documento del contacto]]&amp;"-"&amp;Tabla1[[#This Row],[Número de resolución de archivo]]&amp;".pdf"</f>
        <v>1004345578-7556.pdf</v>
      </c>
      <c r="Y271" s="7" t="str">
        <f t="shared" si="17"/>
        <v>ren "1-270.pdf" "1004345578-7556.pdf"</v>
      </c>
      <c r="Z271" s="7" t="str">
        <f>Tabla1[[#This Row],[Número de documento del contacto]]&amp;"_"&amp;Tabla1[[#This Row],[Número de resolución de archivo]]&amp;".pdf"</f>
        <v>1004345578_7556.pdf</v>
      </c>
      <c r="AA271" s="7" t="s">
        <v>49</v>
      </c>
      <c r="AB271" s="7" t="str">
        <f>Tabla1[[#This Row],[Nombre PDF / cedula + num resolucion]]&amp;";"&amp;Tabla1[[#This Row],[instructivo]]</f>
        <v>1004345578_7556.pdf;10. Instructivo_Radicar_Activación_Credencial_DIGITAL_SIRNA.pdf</v>
      </c>
      <c r="AC271" s="7" t="str">
        <f>Tabla1[[#This Row],[Número de resolución de archivo]]&amp;"_"&amp;Tabla1[[#This Row],[Número de documento del contacto]]</f>
        <v>7556_1004345578</v>
      </c>
    </row>
    <row r="272" spans="1:29" x14ac:dyDescent="0.25">
      <c r="A272">
        <v>14890</v>
      </c>
      <c r="B272" t="s">
        <v>14</v>
      </c>
      <c r="C272" t="s">
        <v>15</v>
      </c>
      <c r="D272" t="s">
        <v>16</v>
      </c>
      <c r="E272" t="s">
        <v>17</v>
      </c>
      <c r="F272" s="14">
        <v>46120</v>
      </c>
      <c r="G272">
        <v>1005565168</v>
      </c>
      <c r="H272" t="s">
        <v>590</v>
      </c>
      <c r="I272" t="s">
        <v>591</v>
      </c>
      <c r="J272" t="s">
        <v>20</v>
      </c>
      <c r="K272" t="s">
        <v>21</v>
      </c>
      <c r="L272" s="14">
        <v>46184</v>
      </c>
      <c r="M272">
        <v>64</v>
      </c>
      <c r="N272" t="s">
        <v>22</v>
      </c>
      <c r="O272" t="s">
        <v>22</v>
      </c>
      <c r="P272" s="14">
        <v>46090</v>
      </c>
      <c r="Q272" t="s">
        <v>23</v>
      </c>
      <c r="R272" s="7">
        <f>IFERROR(VLOOKUP(Tabla1[[#This Row],[Número de documento del contacto]],'Resoluciones 1 (Res)'!$A:$C,2,0),"")</f>
        <v>7441</v>
      </c>
      <c r="S272" s="11">
        <f>IFERROR(VLOOKUP(Tabla1[[#This Row],[Número de documento del contacto]],'Resoluciones 1 (Res)'!$A:$C,3,0),"")</f>
        <v>46184.606747685197</v>
      </c>
      <c r="T272" s="7" t="str">
        <f>IFERROR(VLOOKUP(Tabla1[[#This Row],[Número de documento del contacto]],'Resoluciones 2 (Req)'!$B:$E,3,0),"")</f>
        <v>12054</v>
      </c>
      <c r="U272" s="7" t="str">
        <f t="shared" si="15"/>
        <v>8 de abril de 2026</v>
      </c>
      <c r="V272" s="7" t="str">
        <f t="shared" si="16"/>
        <v>9 de marzo de 2026</v>
      </c>
      <c r="W272" s="8" t="str">
        <f>"1-" &amp; ROWS($W$2:W272) &amp; ".pdf"</f>
        <v>1-271.pdf</v>
      </c>
      <c r="X272" s="7" t="str">
        <f>Tabla1[[#This Row],[Número de documento del contacto]]&amp;"-"&amp;Tabla1[[#This Row],[Número de resolución de archivo]]&amp;".pdf"</f>
        <v>1005565168-7441.pdf</v>
      </c>
      <c r="Y272" s="7" t="str">
        <f t="shared" si="17"/>
        <v>ren "1-271.pdf" "1005565168-7441.pdf"</v>
      </c>
      <c r="Z272" s="7" t="str">
        <f>Tabla1[[#This Row],[Número de documento del contacto]]&amp;"_"&amp;Tabla1[[#This Row],[Número de resolución de archivo]]&amp;".pdf"</f>
        <v>1005565168_7441.pdf</v>
      </c>
      <c r="AA272" s="7" t="s">
        <v>49</v>
      </c>
      <c r="AB272" s="7" t="str">
        <f>Tabla1[[#This Row],[Nombre PDF / cedula + num resolucion]]&amp;";"&amp;Tabla1[[#This Row],[instructivo]]</f>
        <v>1005565168_7441.pdf;10. Instructivo_Radicar_Activación_Credencial_DIGITAL_SIRNA.pdf</v>
      </c>
      <c r="AC272" s="7" t="str">
        <f>Tabla1[[#This Row],[Número de resolución de archivo]]&amp;"_"&amp;Tabla1[[#This Row],[Número de documento del contacto]]</f>
        <v>7441_1005565168</v>
      </c>
    </row>
    <row r="273" spans="1:29" x14ac:dyDescent="0.25">
      <c r="A273">
        <v>14273</v>
      </c>
      <c r="B273" t="s">
        <v>14</v>
      </c>
      <c r="C273" t="s">
        <v>15</v>
      </c>
      <c r="D273" t="s">
        <v>16</v>
      </c>
      <c r="E273" t="s">
        <v>17</v>
      </c>
      <c r="F273" s="14">
        <v>46120</v>
      </c>
      <c r="G273">
        <v>1010205321</v>
      </c>
      <c r="H273" t="s">
        <v>592</v>
      </c>
      <c r="I273" t="s">
        <v>593</v>
      </c>
      <c r="J273" t="s">
        <v>20</v>
      </c>
      <c r="K273" t="s">
        <v>21</v>
      </c>
      <c r="L273" s="14">
        <v>46184</v>
      </c>
      <c r="M273">
        <v>64</v>
      </c>
      <c r="N273" t="s">
        <v>22</v>
      </c>
      <c r="O273" t="s">
        <v>22</v>
      </c>
      <c r="P273" s="14">
        <v>46086</v>
      </c>
      <c r="Q273" t="s">
        <v>23</v>
      </c>
      <c r="R273" s="7">
        <f>IFERROR(VLOOKUP(Tabla1[[#This Row],[Número de documento del contacto]],'Resoluciones 1 (Res)'!$A:$C,2,0),"")</f>
        <v>7723</v>
      </c>
      <c r="S273" s="11">
        <f>IFERROR(VLOOKUP(Tabla1[[#This Row],[Número de documento del contacto]],'Resoluciones 1 (Res)'!$A:$C,3,0),"")</f>
        <v>46184.606747685197</v>
      </c>
      <c r="T273" s="7" t="str">
        <f>IFERROR(VLOOKUP(Tabla1[[#This Row],[Número de documento del contacto]],'Resoluciones 2 (Req)'!$B:$E,3,0),"")</f>
        <v>11981</v>
      </c>
      <c r="U273" s="7" t="str">
        <f t="shared" si="15"/>
        <v>8 de abril de 2026</v>
      </c>
      <c r="V273" s="7" t="str">
        <f t="shared" si="16"/>
        <v>5 de marzo de 2026</v>
      </c>
      <c r="W273" s="8" t="str">
        <f>"1-" &amp; ROWS($W$2:W273) &amp; ".pdf"</f>
        <v>1-272.pdf</v>
      </c>
      <c r="X273" s="7" t="str">
        <f>Tabla1[[#This Row],[Número de documento del contacto]]&amp;"-"&amp;Tabla1[[#This Row],[Número de resolución de archivo]]&amp;".pdf"</f>
        <v>1010205321-7723.pdf</v>
      </c>
      <c r="Y273" s="7" t="str">
        <f t="shared" si="17"/>
        <v>ren "1-272.pdf" "1010205321-7723.pdf"</v>
      </c>
      <c r="Z273" s="7" t="str">
        <f>Tabla1[[#This Row],[Número de documento del contacto]]&amp;"_"&amp;Tabla1[[#This Row],[Número de resolución de archivo]]&amp;".pdf"</f>
        <v>1010205321_7723.pdf</v>
      </c>
      <c r="AA273" s="7" t="s">
        <v>49</v>
      </c>
      <c r="AB273" s="7" t="str">
        <f>Tabla1[[#This Row],[Nombre PDF / cedula + num resolucion]]&amp;";"&amp;Tabla1[[#This Row],[instructivo]]</f>
        <v>1010205321_7723.pdf;10. Instructivo_Radicar_Activación_Credencial_DIGITAL_SIRNA.pdf</v>
      </c>
      <c r="AC273" s="7" t="str">
        <f>Tabla1[[#This Row],[Número de resolución de archivo]]&amp;"_"&amp;Tabla1[[#This Row],[Número de documento del contacto]]</f>
        <v>7723_1010205321</v>
      </c>
    </row>
    <row r="274" spans="1:29" x14ac:dyDescent="0.25">
      <c r="A274">
        <v>15040</v>
      </c>
      <c r="B274" t="s">
        <v>14</v>
      </c>
      <c r="C274" t="s">
        <v>15</v>
      </c>
      <c r="D274" t="s">
        <v>16</v>
      </c>
      <c r="E274" t="s">
        <v>17</v>
      </c>
      <c r="F274" s="14">
        <v>46120</v>
      </c>
      <c r="G274">
        <v>1010216084</v>
      </c>
      <c r="H274" t="s">
        <v>594</v>
      </c>
      <c r="I274" t="s">
        <v>595</v>
      </c>
      <c r="J274" t="s">
        <v>20</v>
      </c>
      <c r="K274" t="s">
        <v>21</v>
      </c>
      <c r="L274" s="14">
        <v>46184</v>
      </c>
      <c r="M274">
        <v>64</v>
      </c>
      <c r="N274" t="s">
        <v>22</v>
      </c>
      <c r="O274" t="s">
        <v>22</v>
      </c>
      <c r="P274" s="14">
        <v>46091</v>
      </c>
      <c r="Q274" t="s">
        <v>23</v>
      </c>
      <c r="R274" s="7">
        <f>IFERROR(VLOOKUP(Tabla1[[#This Row],[Número de documento del contacto]],'Resoluciones 1 (Res)'!$A:$C,2,0),"")</f>
        <v>7620</v>
      </c>
      <c r="S274" s="11">
        <f>IFERROR(VLOOKUP(Tabla1[[#This Row],[Número de documento del contacto]],'Resoluciones 1 (Res)'!$A:$C,3,0),"")</f>
        <v>46184.606747685197</v>
      </c>
      <c r="T274" s="7" t="str">
        <f>IFERROR(VLOOKUP(Tabla1[[#This Row],[Número de documento del contacto]],'Resoluciones 2 (Req)'!$B:$E,3,0),"")</f>
        <v>12056</v>
      </c>
      <c r="U274" s="7" t="str">
        <f t="shared" si="15"/>
        <v>8 de abril de 2026</v>
      </c>
      <c r="V274" s="7" t="str">
        <f t="shared" si="16"/>
        <v>10 de marzo de 2026</v>
      </c>
      <c r="W274" s="8" t="str">
        <f>"1-" &amp; ROWS($W$2:W274) &amp; ".pdf"</f>
        <v>1-273.pdf</v>
      </c>
      <c r="X274" s="7" t="str">
        <f>Tabla1[[#This Row],[Número de documento del contacto]]&amp;"-"&amp;Tabla1[[#This Row],[Número de resolución de archivo]]&amp;".pdf"</f>
        <v>1010216084-7620.pdf</v>
      </c>
      <c r="Y274" s="7" t="str">
        <f t="shared" si="17"/>
        <v>ren "1-273.pdf" "1010216084-7620.pdf"</v>
      </c>
      <c r="Z274" s="7" t="str">
        <f>Tabla1[[#This Row],[Número de documento del contacto]]&amp;"_"&amp;Tabla1[[#This Row],[Número de resolución de archivo]]&amp;".pdf"</f>
        <v>1010216084_7620.pdf</v>
      </c>
      <c r="AA274" s="7" t="s">
        <v>49</v>
      </c>
      <c r="AB274" s="7" t="str">
        <f>Tabla1[[#This Row],[Nombre PDF / cedula + num resolucion]]&amp;";"&amp;Tabla1[[#This Row],[instructivo]]</f>
        <v>1010216084_7620.pdf;10. Instructivo_Radicar_Activación_Credencial_DIGITAL_SIRNA.pdf</v>
      </c>
      <c r="AC274" s="7" t="str">
        <f>Tabla1[[#This Row],[Número de resolución de archivo]]&amp;"_"&amp;Tabla1[[#This Row],[Número de documento del contacto]]</f>
        <v>7620_1010216084</v>
      </c>
    </row>
    <row r="275" spans="1:29" x14ac:dyDescent="0.25">
      <c r="A275">
        <v>14964</v>
      </c>
      <c r="B275" t="s">
        <v>14</v>
      </c>
      <c r="C275" t="s">
        <v>15</v>
      </c>
      <c r="D275" t="s">
        <v>16</v>
      </c>
      <c r="E275" t="s">
        <v>17</v>
      </c>
      <c r="F275" s="14">
        <v>46120</v>
      </c>
      <c r="G275">
        <v>1015436436</v>
      </c>
      <c r="H275" t="s">
        <v>596</v>
      </c>
      <c r="I275" t="s">
        <v>597</v>
      </c>
      <c r="J275" t="s">
        <v>20</v>
      </c>
      <c r="K275" t="s">
        <v>21</v>
      </c>
      <c r="L275" s="14">
        <v>46184</v>
      </c>
      <c r="M275">
        <v>64</v>
      </c>
      <c r="N275" t="s">
        <v>22</v>
      </c>
      <c r="O275" t="s">
        <v>22</v>
      </c>
      <c r="P275" s="14">
        <v>46090</v>
      </c>
      <c r="Q275" t="s">
        <v>23</v>
      </c>
      <c r="R275" s="7">
        <f>IFERROR(VLOOKUP(Tabla1[[#This Row],[Número de documento del contacto]],'Resoluciones 1 (Res)'!$A:$C,2,0),"")</f>
        <v>7628</v>
      </c>
      <c r="S275" s="11">
        <f>IFERROR(VLOOKUP(Tabla1[[#This Row],[Número de documento del contacto]],'Resoluciones 1 (Res)'!$A:$C,3,0),"")</f>
        <v>46184.606747685197</v>
      </c>
      <c r="T275" s="7" t="str">
        <f>IFERROR(VLOOKUP(Tabla1[[#This Row],[Número de documento del contacto]],'Resoluciones 2 (Req)'!$B:$E,3,0),"")</f>
        <v>12058</v>
      </c>
      <c r="U275" s="7" t="str">
        <f t="shared" si="15"/>
        <v>8 de abril de 2026</v>
      </c>
      <c r="V275" s="7" t="str">
        <f t="shared" si="16"/>
        <v>9 de marzo de 2026</v>
      </c>
      <c r="W275" s="8" t="str">
        <f>"1-" &amp; ROWS($W$2:W275) &amp; ".pdf"</f>
        <v>1-274.pdf</v>
      </c>
      <c r="X275" s="7" t="str">
        <f>Tabla1[[#This Row],[Número de documento del contacto]]&amp;"-"&amp;Tabla1[[#This Row],[Número de resolución de archivo]]&amp;".pdf"</f>
        <v>1015436436-7628.pdf</v>
      </c>
      <c r="Y275" s="7" t="str">
        <f t="shared" si="17"/>
        <v>ren "1-274.pdf" "1015436436-7628.pdf"</v>
      </c>
      <c r="Z275" s="7" t="str">
        <f>Tabla1[[#This Row],[Número de documento del contacto]]&amp;"_"&amp;Tabla1[[#This Row],[Número de resolución de archivo]]&amp;".pdf"</f>
        <v>1015436436_7628.pdf</v>
      </c>
      <c r="AA275" s="7" t="s">
        <v>49</v>
      </c>
      <c r="AB275" s="7" t="str">
        <f>Tabla1[[#This Row],[Nombre PDF / cedula + num resolucion]]&amp;";"&amp;Tabla1[[#This Row],[instructivo]]</f>
        <v>1015436436_7628.pdf;10. Instructivo_Radicar_Activación_Credencial_DIGITAL_SIRNA.pdf</v>
      </c>
      <c r="AC275" s="7" t="str">
        <f>Tabla1[[#This Row],[Número de resolución de archivo]]&amp;"_"&amp;Tabla1[[#This Row],[Número de documento del contacto]]</f>
        <v>7628_1015436436</v>
      </c>
    </row>
    <row r="276" spans="1:29" x14ac:dyDescent="0.25">
      <c r="A276">
        <v>14971</v>
      </c>
      <c r="B276" t="s">
        <v>14</v>
      </c>
      <c r="C276" t="s">
        <v>15</v>
      </c>
      <c r="D276" t="s">
        <v>16</v>
      </c>
      <c r="E276" t="s">
        <v>17</v>
      </c>
      <c r="F276" s="14">
        <v>46120</v>
      </c>
      <c r="G276">
        <v>1016035426</v>
      </c>
      <c r="H276" t="s">
        <v>598</v>
      </c>
      <c r="I276" t="s">
        <v>599</v>
      </c>
      <c r="J276" t="s">
        <v>20</v>
      </c>
      <c r="K276" t="s">
        <v>21</v>
      </c>
      <c r="L276" s="14">
        <v>46184</v>
      </c>
      <c r="M276">
        <v>64</v>
      </c>
      <c r="N276" t="s">
        <v>22</v>
      </c>
      <c r="O276" t="s">
        <v>22</v>
      </c>
      <c r="P276" s="14">
        <v>46091</v>
      </c>
      <c r="Q276" t="s">
        <v>23</v>
      </c>
      <c r="R276" s="7">
        <f>IFERROR(VLOOKUP(Tabla1[[#This Row],[Número de documento del contacto]],'Resoluciones 1 (Res)'!$A:$C,2,0),"")</f>
        <v>7708</v>
      </c>
      <c r="S276" s="11">
        <f>IFERROR(VLOOKUP(Tabla1[[#This Row],[Número de documento del contacto]],'Resoluciones 1 (Res)'!$A:$C,3,0),"")</f>
        <v>46184.606747685197</v>
      </c>
      <c r="T276" s="7" t="str">
        <f>IFERROR(VLOOKUP(Tabla1[[#This Row],[Número de documento del contacto]],'Resoluciones 2 (Req)'!$B:$E,3,0),"")</f>
        <v>12059</v>
      </c>
      <c r="U276" s="7" t="str">
        <f t="shared" si="15"/>
        <v>8 de abril de 2026</v>
      </c>
      <c r="V276" s="7" t="str">
        <f t="shared" si="16"/>
        <v>10 de marzo de 2026</v>
      </c>
      <c r="W276" s="8" t="str">
        <f>"1-" &amp; ROWS($W$2:W276) &amp; ".pdf"</f>
        <v>1-275.pdf</v>
      </c>
      <c r="X276" s="7" t="str">
        <f>Tabla1[[#This Row],[Número de documento del contacto]]&amp;"-"&amp;Tabla1[[#This Row],[Número de resolución de archivo]]&amp;".pdf"</f>
        <v>1016035426-7708.pdf</v>
      </c>
      <c r="Y276" s="7" t="str">
        <f t="shared" si="17"/>
        <v>ren "1-275.pdf" "1016035426-7708.pdf"</v>
      </c>
      <c r="Z276" s="7" t="str">
        <f>Tabla1[[#This Row],[Número de documento del contacto]]&amp;"_"&amp;Tabla1[[#This Row],[Número de resolución de archivo]]&amp;".pdf"</f>
        <v>1016035426_7708.pdf</v>
      </c>
      <c r="AA276" s="7" t="s">
        <v>49</v>
      </c>
      <c r="AB276" s="7" t="str">
        <f>Tabla1[[#This Row],[Nombre PDF / cedula + num resolucion]]&amp;";"&amp;Tabla1[[#This Row],[instructivo]]</f>
        <v>1016035426_7708.pdf;10. Instructivo_Radicar_Activación_Credencial_DIGITAL_SIRNA.pdf</v>
      </c>
      <c r="AC276" s="7" t="str">
        <f>Tabla1[[#This Row],[Número de resolución de archivo]]&amp;"_"&amp;Tabla1[[#This Row],[Número de documento del contacto]]</f>
        <v>7708_1016035426</v>
      </c>
    </row>
    <row r="277" spans="1:29" x14ac:dyDescent="0.25">
      <c r="A277">
        <v>14770</v>
      </c>
      <c r="B277" t="s">
        <v>14</v>
      </c>
      <c r="C277" t="s">
        <v>15</v>
      </c>
      <c r="D277" t="s">
        <v>16</v>
      </c>
      <c r="E277" t="s">
        <v>17</v>
      </c>
      <c r="F277" s="14">
        <v>46120</v>
      </c>
      <c r="G277">
        <v>1017159163</v>
      </c>
      <c r="H277" t="s">
        <v>600</v>
      </c>
      <c r="I277" t="s">
        <v>601</v>
      </c>
      <c r="J277" t="s">
        <v>20</v>
      </c>
      <c r="K277" t="s">
        <v>21</v>
      </c>
      <c r="L277" s="14">
        <v>46184</v>
      </c>
      <c r="M277">
        <v>64</v>
      </c>
      <c r="N277" t="s">
        <v>22</v>
      </c>
      <c r="O277" t="s">
        <v>22</v>
      </c>
      <c r="P277" s="14">
        <v>46090</v>
      </c>
      <c r="Q277" t="s">
        <v>23</v>
      </c>
      <c r="R277" s="7">
        <f>IFERROR(VLOOKUP(Tabla1[[#This Row],[Número de documento del contacto]],'Resoluciones 1 (Res)'!$A:$C,2,0),"")</f>
        <v>7656</v>
      </c>
      <c r="S277" s="11">
        <f>IFERROR(VLOOKUP(Tabla1[[#This Row],[Número de documento del contacto]],'Resoluciones 1 (Res)'!$A:$C,3,0),"")</f>
        <v>46184.606747685197</v>
      </c>
      <c r="T277" s="7" t="str">
        <f>IFERROR(VLOOKUP(Tabla1[[#This Row],[Número de documento del contacto]],'Resoluciones 2 (Req)'!$B:$E,3,0),"")</f>
        <v>12060</v>
      </c>
      <c r="U277" s="7" t="str">
        <f t="shared" si="15"/>
        <v>8 de abril de 2026</v>
      </c>
      <c r="V277" s="7" t="str">
        <f t="shared" si="16"/>
        <v>9 de marzo de 2026</v>
      </c>
      <c r="W277" s="8" t="str">
        <f>"1-" &amp; ROWS($W$2:W277) &amp; ".pdf"</f>
        <v>1-276.pdf</v>
      </c>
      <c r="X277" s="7" t="str">
        <f>Tabla1[[#This Row],[Número de documento del contacto]]&amp;"-"&amp;Tabla1[[#This Row],[Número de resolución de archivo]]&amp;".pdf"</f>
        <v>1017159163-7656.pdf</v>
      </c>
      <c r="Y277" s="7" t="str">
        <f t="shared" si="17"/>
        <v>ren "1-276.pdf" "1017159163-7656.pdf"</v>
      </c>
      <c r="Z277" s="7" t="str">
        <f>Tabla1[[#This Row],[Número de documento del contacto]]&amp;"_"&amp;Tabla1[[#This Row],[Número de resolución de archivo]]&amp;".pdf"</f>
        <v>1017159163_7656.pdf</v>
      </c>
      <c r="AA277" s="7" t="s">
        <v>49</v>
      </c>
      <c r="AB277" s="7" t="str">
        <f>Tabla1[[#This Row],[Nombre PDF / cedula + num resolucion]]&amp;";"&amp;Tabla1[[#This Row],[instructivo]]</f>
        <v>1017159163_7656.pdf;10. Instructivo_Radicar_Activación_Credencial_DIGITAL_SIRNA.pdf</v>
      </c>
      <c r="AC277" s="7" t="str">
        <f>Tabla1[[#This Row],[Número de resolución de archivo]]&amp;"_"&amp;Tabla1[[#This Row],[Número de documento del contacto]]</f>
        <v>7656_1017159163</v>
      </c>
    </row>
    <row r="278" spans="1:29" x14ac:dyDescent="0.25">
      <c r="A278">
        <v>15235</v>
      </c>
      <c r="B278" t="s">
        <v>14</v>
      </c>
      <c r="C278" t="s">
        <v>15</v>
      </c>
      <c r="D278" t="s">
        <v>16</v>
      </c>
      <c r="E278" t="s">
        <v>17</v>
      </c>
      <c r="F278" s="14">
        <v>46120</v>
      </c>
      <c r="G278">
        <v>1017245718</v>
      </c>
      <c r="H278" t="s">
        <v>602</v>
      </c>
      <c r="I278" t="s">
        <v>603</v>
      </c>
      <c r="J278" t="s">
        <v>20</v>
      </c>
      <c r="K278" t="s">
        <v>21</v>
      </c>
      <c r="L278" s="14">
        <v>46184</v>
      </c>
      <c r="M278">
        <v>64</v>
      </c>
      <c r="N278" t="s">
        <v>22</v>
      </c>
      <c r="O278" t="s">
        <v>22</v>
      </c>
      <c r="P278" s="14">
        <v>46092</v>
      </c>
      <c r="Q278" t="s">
        <v>23</v>
      </c>
      <c r="R278" s="7">
        <f>IFERROR(VLOOKUP(Tabla1[[#This Row],[Número de documento del contacto]],'Resoluciones 1 (Res)'!$A:$C,2,0),"")</f>
        <v>7629</v>
      </c>
      <c r="S278" s="11">
        <f>IFERROR(VLOOKUP(Tabla1[[#This Row],[Número de documento del contacto]],'Resoluciones 1 (Res)'!$A:$C,3,0),"")</f>
        <v>46184.606747685197</v>
      </c>
      <c r="T278" s="7" t="str">
        <f>IFERROR(VLOOKUP(Tabla1[[#This Row],[Número de documento del contacto]],'Resoluciones 2 (Req)'!$B:$E,3,0),"")</f>
        <v>12061</v>
      </c>
      <c r="U278" s="7" t="str">
        <f t="shared" si="15"/>
        <v>8 de abril de 2026</v>
      </c>
      <c r="V278" s="7" t="str">
        <f t="shared" si="16"/>
        <v>11 de marzo de 2026</v>
      </c>
      <c r="W278" s="8" t="str">
        <f>"1-" &amp; ROWS($W$2:W278) &amp; ".pdf"</f>
        <v>1-277.pdf</v>
      </c>
      <c r="X278" s="7" t="str">
        <f>Tabla1[[#This Row],[Número de documento del contacto]]&amp;"-"&amp;Tabla1[[#This Row],[Número de resolución de archivo]]&amp;".pdf"</f>
        <v>1017245718-7629.pdf</v>
      </c>
      <c r="Y278" s="7" t="str">
        <f t="shared" si="17"/>
        <v>ren "1-277.pdf" "1017245718-7629.pdf"</v>
      </c>
      <c r="Z278" s="7" t="str">
        <f>Tabla1[[#This Row],[Número de documento del contacto]]&amp;"_"&amp;Tabla1[[#This Row],[Número de resolución de archivo]]&amp;".pdf"</f>
        <v>1017245718_7629.pdf</v>
      </c>
      <c r="AA278" s="7" t="s">
        <v>49</v>
      </c>
      <c r="AB278" s="7" t="str">
        <f>Tabla1[[#This Row],[Nombre PDF / cedula + num resolucion]]&amp;";"&amp;Tabla1[[#This Row],[instructivo]]</f>
        <v>1017245718_7629.pdf;10. Instructivo_Radicar_Activación_Credencial_DIGITAL_SIRNA.pdf</v>
      </c>
      <c r="AC278" s="7" t="str">
        <f>Tabla1[[#This Row],[Número de resolución de archivo]]&amp;"_"&amp;Tabla1[[#This Row],[Número de documento del contacto]]</f>
        <v>7629_1017245718</v>
      </c>
    </row>
    <row r="279" spans="1:29" x14ac:dyDescent="0.25">
      <c r="A279">
        <v>14736</v>
      </c>
      <c r="B279" t="s">
        <v>14</v>
      </c>
      <c r="C279" t="s">
        <v>15</v>
      </c>
      <c r="D279" t="s">
        <v>16</v>
      </c>
      <c r="E279" t="s">
        <v>17</v>
      </c>
      <c r="F279" s="14">
        <v>46120</v>
      </c>
      <c r="G279">
        <v>1017262283</v>
      </c>
      <c r="H279" t="s">
        <v>604</v>
      </c>
      <c r="I279" t="s">
        <v>605</v>
      </c>
      <c r="J279" t="s">
        <v>20</v>
      </c>
      <c r="K279" t="s">
        <v>21</v>
      </c>
      <c r="L279" s="14">
        <v>46184</v>
      </c>
      <c r="M279">
        <v>64</v>
      </c>
      <c r="N279" t="s">
        <v>22</v>
      </c>
      <c r="O279" t="s">
        <v>22</v>
      </c>
      <c r="P279" s="14">
        <v>46090</v>
      </c>
      <c r="Q279" t="s">
        <v>23</v>
      </c>
      <c r="R279" s="7">
        <f>IFERROR(VLOOKUP(Tabla1[[#This Row],[Número de documento del contacto]],'Resoluciones 1 (Res)'!$A:$C,2,0),"")</f>
        <v>7471</v>
      </c>
      <c r="S279" s="11">
        <f>IFERROR(VLOOKUP(Tabla1[[#This Row],[Número de documento del contacto]],'Resoluciones 1 (Res)'!$A:$C,3,0),"")</f>
        <v>46184.606747685197</v>
      </c>
      <c r="T279" s="7" t="str">
        <f>IFERROR(VLOOKUP(Tabla1[[#This Row],[Número de documento del contacto]],'Resoluciones 2 (Req)'!$B:$E,3,0),"")</f>
        <v>12062</v>
      </c>
      <c r="U279" s="7" t="str">
        <f t="shared" si="15"/>
        <v>8 de abril de 2026</v>
      </c>
      <c r="V279" s="7" t="str">
        <f t="shared" si="16"/>
        <v>9 de marzo de 2026</v>
      </c>
      <c r="W279" s="8" t="str">
        <f>"1-" &amp; ROWS($W$2:W279) &amp; ".pdf"</f>
        <v>1-278.pdf</v>
      </c>
      <c r="X279" s="7" t="str">
        <f>Tabla1[[#This Row],[Número de documento del contacto]]&amp;"-"&amp;Tabla1[[#This Row],[Número de resolución de archivo]]&amp;".pdf"</f>
        <v>1017262283-7471.pdf</v>
      </c>
      <c r="Y279" s="7" t="str">
        <f t="shared" si="17"/>
        <v>ren "1-278.pdf" "1017262283-7471.pdf"</v>
      </c>
      <c r="Z279" s="7" t="str">
        <f>Tabla1[[#This Row],[Número de documento del contacto]]&amp;"_"&amp;Tabla1[[#This Row],[Número de resolución de archivo]]&amp;".pdf"</f>
        <v>1017262283_7471.pdf</v>
      </c>
      <c r="AA279" s="7" t="s">
        <v>49</v>
      </c>
      <c r="AB279" s="7" t="str">
        <f>Tabla1[[#This Row],[Nombre PDF / cedula + num resolucion]]&amp;";"&amp;Tabla1[[#This Row],[instructivo]]</f>
        <v>1017262283_7471.pdf;10. Instructivo_Radicar_Activación_Credencial_DIGITAL_SIRNA.pdf</v>
      </c>
      <c r="AC279" s="7" t="str">
        <f>Tabla1[[#This Row],[Número de resolución de archivo]]&amp;"_"&amp;Tabla1[[#This Row],[Número de documento del contacto]]</f>
        <v>7471_1017262283</v>
      </c>
    </row>
    <row r="280" spans="1:29" x14ac:dyDescent="0.25">
      <c r="A280">
        <v>15014</v>
      </c>
      <c r="B280" t="s">
        <v>14</v>
      </c>
      <c r="C280" t="s">
        <v>15</v>
      </c>
      <c r="D280" t="s">
        <v>16</v>
      </c>
      <c r="E280" t="s">
        <v>17</v>
      </c>
      <c r="F280" s="14">
        <v>46120</v>
      </c>
      <c r="G280">
        <v>1019133523</v>
      </c>
      <c r="H280" t="s">
        <v>606</v>
      </c>
      <c r="I280" t="s">
        <v>607</v>
      </c>
      <c r="J280" t="s">
        <v>20</v>
      </c>
      <c r="K280" t="s">
        <v>21</v>
      </c>
      <c r="L280" s="14">
        <v>46184</v>
      </c>
      <c r="M280">
        <v>64</v>
      </c>
      <c r="N280" t="s">
        <v>22</v>
      </c>
      <c r="O280" t="s">
        <v>22</v>
      </c>
      <c r="P280" s="14">
        <v>46091</v>
      </c>
      <c r="Q280" t="s">
        <v>23</v>
      </c>
      <c r="R280" s="7">
        <f>IFERROR(VLOOKUP(Tabla1[[#This Row],[Número de documento del contacto]],'Resoluciones 1 (Res)'!$A:$C,2,0),"")</f>
        <v>7601</v>
      </c>
      <c r="S280" s="11">
        <f>IFERROR(VLOOKUP(Tabla1[[#This Row],[Número de documento del contacto]],'Resoluciones 1 (Res)'!$A:$C,3,0),"")</f>
        <v>46184.606747685197</v>
      </c>
      <c r="T280" s="7" t="str">
        <f>IFERROR(VLOOKUP(Tabla1[[#This Row],[Número de documento del contacto]],'Resoluciones 2 (Req)'!$B:$E,3,0),"")</f>
        <v>12063</v>
      </c>
      <c r="U280" s="7" t="str">
        <f t="shared" si="15"/>
        <v>8 de abril de 2026</v>
      </c>
      <c r="V280" s="7" t="str">
        <f t="shared" si="16"/>
        <v>10 de marzo de 2026</v>
      </c>
      <c r="W280" s="8" t="str">
        <f>"1-" &amp; ROWS($W$2:W280) &amp; ".pdf"</f>
        <v>1-279.pdf</v>
      </c>
      <c r="X280" s="7" t="str">
        <f>Tabla1[[#This Row],[Número de documento del contacto]]&amp;"-"&amp;Tabla1[[#This Row],[Número de resolución de archivo]]&amp;".pdf"</f>
        <v>1019133523-7601.pdf</v>
      </c>
      <c r="Y280" s="7" t="str">
        <f t="shared" si="17"/>
        <v>ren "1-279.pdf" "1019133523-7601.pdf"</v>
      </c>
      <c r="Z280" s="7" t="str">
        <f>Tabla1[[#This Row],[Número de documento del contacto]]&amp;"_"&amp;Tabla1[[#This Row],[Número de resolución de archivo]]&amp;".pdf"</f>
        <v>1019133523_7601.pdf</v>
      </c>
      <c r="AA280" s="7" t="s">
        <v>49</v>
      </c>
      <c r="AB280" s="7" t="str">
        <f>Tabla1[[#This Row],[Nombre PDF / cedula + num resolucion]]&amp;";"&amp;Tabla1[[#This Row],[instructivo]]</f>
        <v>1019133523_7601.pdf;10. Instructivo_Radicar_Activación_Credencial_DIGITAL_SIRNA.pdf</v>
      </c>
      <c r="AC280" s="7" t="str">
        <f>Tabla1[[#This Row],[Número de resolución de archivo]]&amp;"_"&amp;Tabla1[[#This Row],[Número de documento del contacto]]</f>
        <v>7601_1019133523</v>
      </c>
    </row>
    <row r="281" spans="1:29" x14ac:dyDescent="0.25">
      <c r="A281">
        <v>15030</v>
      </c>
      <c r="B281" t="s">
        <v>14</v>
      </c>
      <c r="C281" t="s">
        <v>15</v>
      </c>
      <c r="D281" t="s">
        <v>16</v>
      </c>
      <c r="E281" t="s">
        <v>17</v>
      </c>
      <c r="F281" s="14">
        <v>46120</v>
      </c>
      <c r="G281">
        <v>1020810434</v>
      </c>
      <c r="H281" t="s">
        <v>608</v>
      </c>
      <c r="I281" t="s">
        <v>609</v>
      </c>
      <c r="J281" t="s">
        <v>20</v>
      </c>
      <c r="K281" t="s">
        <v>21</v>
      </c>
      <c r="L281" s="14">
        <v>46184</v>
      </c>
      <c r="M281">
        <v>64</v>
      </c>
      <c r="N281" t="s">
        <v>22</v>
      </c>
      <c r="O281" t="s">
        <v>22</v>
      </c>
      <c r="P281" s="14">
        <v>46091</v>
      </c>
      <c r="Q281" t="s">
        <v>23</v>
      </c>
      <c r="R281" s="7">
        <f>IFERROR(VLOOKUP(Tabla1[[#This Row],[Número de documento del contacto]],'Resoluciones 1 (Res)'!$A:$C,2,0),"")</f>
        <v>7445</v>
      </c>
      <c r="S281" s="11">
        <f>IFERROR(VLOOKUP(Tabla1[[#This Row],[Número de documento del contacto]],'Resoluciones 1 (Res)'!$A:$C,3,0),"")</f>
        <v>46184.606747685197</v>
      </c>
      <c r="T281" s="7" t="str">
        <f>IFERROR(VLOOKUP(Tabla1[[#This Row],[Número de documento del contacto]],'Resoluciones 2 (Req)'!$B:$E,3,0),"")</f>
        <v>12103</v>
      </c>
      <c r="U281" s="7" t="str">
        <f t="shared" si="15"/>
        <v>8 de abril de 2026</v>
      </c>
      <c r="V281" s="7" t="str">
        <f t="shared" si="16"/>
        <v>10 de marzo de 2026</v>
      </c>
      <c r="W281" s="8" t="str">
        <f>"1-" &amp; ROWS($W$2:W281) &amp; ".pdf"</f>
        <v>1-280.pdf</v>
      </c>
      <c r="X281" s="7" t="str">
        <f>Tabla1[[#This Row],[Número de documento del contacto]]&amp;"-"&amp;Tabla1[[#This Row],[Número de resolución de archivo]]&amp;".pdf"</f>
        <v>1020810434-7445.pdf</v>
      </c>
      <c r="Y281" s="7" t="str">
        <f t="shared" si="17"/>
        <v>ren "1-280.pdf" "1020810434-7445.pdf"</v>
      </c>
      <c r="Z281" s="7" t="str">
        <f>Tabla1[[#This Row],[Número de documento del contacto]]&amp;"_"&amp;Tabla1[[#This Row],[Número de resolución de archivo]]&amp;".pdf"</f>
        <v>1020810434_7445.pdf</v>
      </c>
      <c r="AA281" s="7" t="s">
        <v>49</v>
      </c>
      <c r="AB281" s="7" t="str">
        <f>Tabla1[[#This Row],[Nombre PDF / cedula + num resolucion]]&amp;";"&amp;Tabla1[[#This Row],[instructivo]]</f>
        <v>1020810434_7445.pdf;10. Instructivo_Radicar_Activación_Credencial_DIGITAL_SIRNA.pdf</v>
      </c>
      <c r="AC281" s="7" t="str">
        <f>Tabla1[[#This Row],[Número de resolución de archivo]]&amp;"_"&amp;Tabla1[[#This Row],[Número de documento del contacto]]</f>
        <v>7445_1020810434</v>
      </c>
    </row>
    <row r="282" spans="1:29" x14ac:dyDescent="0.25">
      <c r="A282">
        <v>14595</v>
      </c>
      <c r="B282" t="s">
        <v>14</v>
      </c>
      <c r="C282" t="s">
        <v>15</v>
      </c>
      <c r="D282" t="s">
        <v>16</v>
      </c>
      <c r="E282" t="s">
        <v>17</v>
      </c>
      <c r="F282" s="14">
        <v>46120</v>
      </c>
      <c r="G282">
        <v>1022361627</v>
      </c>
      <c r="H282" t="s">
        <v>610</v>
      </c>
      <c r="I282" t="s">
        <v>611</v>
      </c>
      <c r="J282" t="s">
        <v>20</v>
      </c>
      <c r="K282" t="s">
        <v>21</v>
      </c>
      <c r="L282" s="14">
        <v>46184</v>
      </c>
      <c r="M282">
        <v>64</v>
      </c>
      <c r="N282" t="s">
        <v>22</v>
      </c>
      <c r="O282" t="s">
        <v>22</v>
      </c>
      <c r="P282" s="14">
        <v>46087</v>
      </c>
      <c r="Q282" t="s">
        <v>23</v>
      </c>
      <c r="R282" s="7">
        <f>IFERROR(VLOOKUP(Tabla1[[#This Row],[Número de documento del contacto]],'Resoluciones 1 (Res)'!$A:$C,2,0),"")</f>
        <v>7505</v>
      </c>
      <c r="S282" s="11">
        <f>IFERROR(VLOOKUP(Tabla1[[#This Row],[Número de documento del contacto]],'Resoluciones 1 (Res)'!$A:$C,3,0),"")</f>
        <v>46184.606747685197</v>
      </c>
      <c r="T282" s="7" t="str">
        <f>IFERROR(VLOOKUP(Tabla1[[#This Row],[Número de documento del contacto]],'Resoluciones 2 (Req)'!$B:$E,3,0),"")</f>
        <v>11983</v>
      </c>
      <c r="U282" s="7" t="str">
        <f t="shared" si="15"/>
        <v>8 de abril de 2026</v>
      </c>
      <c r="V282" s="7" t="str">
        <f t="shared" si="16"/>
        <v>6 de marzo de 2026</v>
      </c>
      <c r="W282" s="8" t="str">
        <f>"1-" &amp; ROWS($W$2:W282) &amp; ".pdf"</f>
        <v>1-281.pdf</v>
      </c>
      <c r="X282" s="7" t="str">
        <f>Tabla1[[#This Row],[Número de documento del contacto]]&amp;"-"&amp;Tabla1[[#This Row],[Número de resolución de archivo]]&amp;".pdf"</f>
        <v>1022361627-7505.pdf</v>
      </c>
      <c r="Y282" s="7" t="str">
        <f t="shared" si="17"/>
        <v>ren "1-281.pdf" "1022361627-7505.pdf"</v>
      </c>
      <c r="Z282" s="7" t="str">
        <f>Tabla1[[#This Row],[Número de documento del contacto]]&amp;"_"&amp;Tabla1[[#This Row],[Número de resolución de archivo]]&amp;".pdf"</f>
        <v>1022361627_7505.pdf</v>
      </c>
      <c r="AA282" s="7" t="s">
        <v>49</v>
      </c>
      <c r="AB282" s="7" t="str">
        <f>Tabla1[[#This Row],[Nombre PDF / cedula + num resolucion]]&amp;";"&amp;Tabla1[[#This Row],[instructivo]]</f>
        <v>1022361627_7505.pdf;10. Instructivo_Radicar_Activación_Credencial_DIGITAL_SIRNA.pdf</v>
      </c>
      <c r="AC282" s="7" t="str">
        <f>Tabla1[[#This Row],[Número de resolución de archivo]]&amp;"_"&amp;Tabla1[[#This Row],[Número de documento del contacto]]</f>
        <v>7505_1022361627</v>
      </c>
    </row>
    <row r="283" spans="1:29" x14ac:dyDescent="0.25">
      <c r="A283">
        <v>15123</v>
      </c>
      <c r="B283" t="s">
        <v>14</v>
      </c>
      <c r="C283" t="s">
        <v>15</v>
      </c>
      <c r="D283" t="s">
        <v>16</v>
      </c>
      <c r="E283" t="s">
        <v>17</v>
      </c>
      <c r="F283" s="14">
        <v>46120</v>
      </c>
      <c r="G283">
        <v>1022390561</v>
      </c>
      <c r="H283" t="s">
        <v>612</v>
      </c>
      <c r="I283" t="s">
        <v>613</v>
      </c>
      <c r="J283" t="s">
        <v>20</v>
      </c>
      <c r="K283" t="s">
        <v>21</v>
      </c>
      <c r="L283" s="14">
        <v>46184</v>
      </c>
      <c r="M283">
        <v>64</v>
      </c>
      <c r="N283" t="s">
        <v>22</v>
      </c>
      <c r="O283" t="s">
        <v>22</v>
      </c>
      <c r="P283" s="14">
        <v>46091</v>
      </c>
      <c r="Q283" t="s">
        <v>23</v>
      </c>
      <c r="R283" s="7">
        <f>IFERROR(VLOOKUP(Tabla1[[#This Row],[Número de documento del contacto]],'Resoluciones 1 (Res)'!$A:$C,2,0),"")</f>
        <v>7550</v>
      </c>
      <c r="S283" s="11">
        <f>IFERROR(VLOOKUP(Tabla1[[#This Row],[Número de documento del contacto]],'Resoluciones 1 (Res)'!$A:$C,3,0),"")</f>
        <v>46184.606747685197</v>
      </c>
      <c r="T283" s="7" t="str">
        <f>IFERROR(VLOOKUP(Tabla1[[#This Row],[Número de documento del contacto]],'Resoluciones 2 (Req)'!$B:$E,3,0),"")</f>
        <v>12064</v>
      </c>
      <c r="U283" s="7" t="str">
        <f t="shared" si="15"/>
        <v>8 de abril de 2026</v>
      </c>
      <c r="V283" s="7" t="str">
        <f t="shared" si="16"/>
        <v>10 de marzo de 2026</v>
      </c>
      <c r="W283" s="8" t="str">
        <f>"1-" &amp; ROWS($W$2:W283) &amp; ".pdf"</f>
        <v>1-282.pdf</v>
      </c>
      <c r="X283" s="7" t="str">
        <f>Tabla1[[#This Row],[Número de documento del contacto]]&amp;"-"&amp;Tabla1[[#This Row],[Número de resolución de archivo]]&amp;".pdf"</f>
        <v>1022390561-7550.pdf</v>
      </c>
      <c r="Y283" s="7" t="str">
        <f t="shared" si="17"/>
        <v>ren "1-282.pdf" "1022390561-7550.pdf"</v>
      </c>
      <c r="Z283" s="7" t="str">
        <f>Tabla1[[#This Row],[Número de documento del contacto]]&amp;"_"&amp;Tabla1[[#This Row],[Número de resolución de archivo]]&amp;".pdf"</f>
        <v>1022390561_7550.pdf</v>
      </c>
      <c r="AA283" s="7" t="s">
        <v>49</v>
      </c>
      <c r="AB283" s="7" t="str">
        <f>Tabla1[[#This Row],[Nombre PDF / cedula + num resolucion]]&amp;";"&amp;Tabla1[[#This Row],[instructivo]]</f>
        <v>1022390561_7550.pdf;10. Instructivo_Radicar_Activación_Credencial_DIGITAL_SIRNA.pdf</v>
      </c>
      <c r="AC283" s="7" t="str">
        <f>Tabla1[[#This Row],[Número de resolución de archivo]]&amp;"_"&amp;Tabla1[[#This Row],[Número de documento del contacto]]</f>
        <v>7550_1022390561</v>
      </c>
    </row>
    <row r="284" spans="1:29" x14ac:dyDescent="0.25">
      <c r="A284">
        <v>15377</v>
      </c>
      <c r="B284" t="s">
        <v>14</v>
      </c>
      <c r="C284" t="s">
        <v>15</v>
      </c>
      <c r="D284" t="s">
        <v>16</v>
      </c>
      <c r="E284" t="s">
        <v>17</v>
      </c>
      <c r="F284" s="14">
        <v>46120</v>
      </c>
      <c r="G284">
        <v>1026285777</v>
      </c>
      <c r="H284" t="s">
        <v>614</v>
      </c>
      <c r="I284" t="s">
        <v>615</v>
      </c>
      <c r="J284" t="s">
        <v>20</v>
      </c>
      <c r="K284" t="s">
        <v>21</v>
      </c>
      <c r="L284" s="14">
        <v>46184</v>
      </c>
      <c r="M284">
        <v>64</v>
      </c>
      <c r="N284" t="s">
        <v>22</v>
      </c>
      <c r="O284" t="s">
        <v>22</v>
      </c>
      <c r="P284" s="14">
        <v>46092</v>
      </c>
      <c r="Q284" t="s">
        <v>23</v>
      </c>
      <c r="R284" s="7">
        <f>IFERROR(VLOOKUP(Tabla1[[#This Row],[Número de documento del contacto]],'Resoluciones 1 (Res)'!$A:$C,2,0),"")</f>
        <v>7540</v>
      </c>
      <c r="S284" s="11">
        <f>IFERROR(VLOOKUP(Tabla1[[#This Row],[Número de documento del contacto]],'Resoluciones 1 (Res)'!$A:$C,3,0),"")</f>
        <v>46184.606747685197</v>
      </c>
      <c r="T284" s="7" t="str">
        <f>IFERROR(VLOOKUP(Tabla1[[#This Row],[Número de documento del contacto]],'Resoluciones 2 (Req)'!$B:$E,3,0),"")</f>
        <v>12065</v>
      </c>
      <c r="U284" s="7" t="str">
        <f t="shared" si="15"/>
        <v>8 de abril de 2026</v>
      </c>
      <c r="V284" s="7" t="str">
        <f t="shared" si="16"/>
        <v>11 de marzo de 2026</v>
      </c>
      <c r="W284" s="8" t="str">
        <f>"1-" &amp; ROWS($W$2:W284) &amp; ".pdf"</f>
        <v>1-283.pdf</v>
      </c>
      <c r="X284" s="7" t="str">
        <f>Tabla1[[#This Row],[Número de documento del contacto]]&amp;"-"&amp;Tabla1[[#This Row],[Número de resolución de archivo]]&amp;".pdf"</f>
        <v>1026285777-7540.pdf</v>
      </c>
      <c r="Y284" s="7" t="str">
        <f t="shared" si="17"/>
        <v>ren "1-283.pdf" "1026285777-7540.pdf"</v>
      </c>
      <c r="Z284" s="7" t="str">
        <f>Tabla1[[#This Row],[Número de documento del contacto]]&amp;"_"&amp;Tabla1[[#This Row],[Número de resolución de archivo]]&amp;".pdf"</f>
        <v>1026285777_7540.pdf</v>
      </c>
      <c r="AA284" s="7" t="s">
        <v>49</v>
      </c>
      <c r="AB284" s="7" t="str">
        <f>Tabla1[[#This Row],[Nombre PDF / cedula + num resolucion]]&amp;";"&amp;Tabla1[[#This Row],[instructivo]]</f>
        <v>1026285777_7540.pdf;10. Instructivo_Radicar_Activación_Credencial_DIGITAL_SIRNA.pdf</v>
      </c>
      <c r="AC284" s="7" t="str">
        <f>Tabla1[[#This Row],[Número de resolución de archivo]]&amp;"_"&amp;Tabla1[[#This Row],[Número de documento del contacto]]</f>
        <v>7540_1026285777</v>
      </c>
    </row>
    <row r="285" spans="1:29" x14ac:dyDescent="0.25">
      <c r="A285">
        <v>14877</v>
      </c>
      <c r="B285" t="s">
        <v>14</v>
      </c>
      <c r="C285" t="s">
        <v>15</v>
      </c>
      <c r="D285" t="s">
        <v>16</v>
      </c>
      <c r="E285" t="s">
        <v>17</v>
      </c>
      <c r="F285" s="14">
        <v>46120</v>
      </c>
      <c r="G285">
        <v>1027883766</v>
      </c>
      <c r="H285" t="s">
        <v>616</v>
      </c>
      <c r="I285" t="s">
        <v>617</v>
      </c>
      <c r="J285" t="s">
        <v>20</v>
      </c>
      <c r="K285" t="s">
        <v>21</v>
      </c>
      <c r="L285" s="14">
        <v>46184</v>
      </c>
      <c r="M285">
        <v>64</v>
      </c>
      <c r="N285" t="s">
        <v>22</v>
      </c>
      <c r="O285" t="s">
        <v>22</v>
      </c>
      <c r="P285" s="14">
        <v>46090</v>
      </c>
      <c r="Q285" t="s">
        <v>23</v>
      </c>
      <c r="R285" s="7">
        <f>IFERROR(VLOOKUP(Tabla1[[#This Row],[Número de documento del contacto]],'Resoluciones 1 (Res)'!$A:$C,2,0),"")</f>
        <v>7738</v>
      </c>
      <c r="S285" s="11">
        <f>IFERROR(VLOOKUP(Tabla1[[#This Row],[Número de documento del contacto]],'Resoluciones 1 (Res)'!$A:$C,3,0),"")</f>
        <v>46184.606747685197</v>
      </c>
      <c r="T285" s="7" t="str">
        <f>IFERROR(VLOOKUP(Tabla1[[#This Row],[Número de documento del contacto]],'Resoluciones 2 (Req)'!$B:$E,3,0),"")</f>
        <v>12066</v>
      </c>
      <c r="U285" s="7" t="str">
        <f t="shared" si="15"/>
        <v>8 de abril de 2026</v>
      </c>
      <c r="V285" s="7" t="str">
        <f t="shared" si="16"/>
        <v>9 de marzo de 2026</v>
      </c>
      <c r="W285" s="8" t="str">
        <f>"1-" &amp; ROWS($W$2:W285) &amp; ".pdf"</f>
        <v>1-284.pdf</v>
      </c>
      <c r="X285" s="7" t="str">
        <f>Tabla1[[#This Row],[Número de documento del contacto]]&amp;"-"&amp;Tabla1[[#This Row],[Número de resolución de archivo]]&amp;".pdf"</f>
        <v>1027883766-7738.pdf</v>
      </c>
      <c r="Y285" s="7" t="str">
        <f t="shared" si="17"/>
        <v>ren "1-284.pdf" "1027883766-7738.pdf"</v>
      </c>
      <c r="Z285" s="7" t="str">
        <f>Tabla1[[#This Row],[Número de documento del contacto]]&amp;"_"&amp;Tabla1[[#This Row],[Número de resolución de archivo]]&amp;".pdf"</f>
        <v>1027883766_7738.pdf</v>
      </c>
      <c r="AA285" s="7" t="s">
        <v>49</v>
      </c>
      <c r="AB285" s="7" t="str">
        <f>Tabla1[[#This Row],[Nombre PDF / cedula + num resolucion]]&amp;";"&amp;Tabla1[[#This Row],[instructivo]]</f>
        <v>1027883766_7738.pdf;10. Instructivo_Radicar_Activación_Credencial_DIGITAL_SIRNA.pdf</v>
      </c>
      <c r="AC285" s="7" t="str">
        <f>Tabla1[[#This Row],[Número de resolución de archivo]]&amp;"_"&amp;Tabla1[[#This Row],[Número de documento del contacto]]</f>
        <v>7738_1027883766</v>
      </c>
    </row>
    <row r="286" spans="1:29" x14ac:dyDescent="0.25">
      <c r="A286">
        <v>14456</v>
      </c>
      <c r="B286" t="s">
        <v>14</v>
      </c>
      <c r="C286" t="s">
        <v>15</v>
      </c>
      <c r="D286" t="s">
        <v>16</v>
      </c>
      <c r="E286" t="s">
        <v>17</v>
      </c>
      <c r="F286" s="14">
        <v>46120</v>
      </c>
      <c r="G286">
        <v>1030642301</v>
      </c>
      <c r="H286" t="s">
        <v>618</v>
      </c>
      <c r="I286" t="s">
        <v>619</v>
      </c>
      <c r="J286" t="s">
        <v>20</v>
      </c>
      <c r="K286" t="s">
        <v>21</v>
      </c>
      <c r="L286" s="14">
        <v>46184</v>
      </c>
      <c r="M286">
        <v>64</v>
      </c>
      <c r="N286" t="s">
        <v>22</v>
      </c>
      <c r="O286" t="s">
        <v>22</v>
      </c>
      <c r="P286" s="14">
        <v>46087</v>
      </c>
      <c r="Q286" t="s">
        <v>23</v>
      </c>
      <c r="R286" s="7">
        <f>IFERROR(VLOOKUP(Tabla1[[#This Row],[Número de documento del contacto]],'Resoluciones 1 (Res)'!$A:$C,2,0),"")</f>
        <v>7657</v>
      </c>
      <c r="S286" s="11">
        <f>IFERROR(VLOOKUP(Tabla1[[#This Row],[Número de documento del contacto]],'Resoluciones 1 (Res)'!$A:$C,3,0),"")</f>
        <v>46184.606747685197</v>
      </c>
      <c r="T286" s="7" t="str">
        <f>IFERROR(VLOOKUP(Tabla1[[#This Row],[Número de documento del contacto]],'Resoluciones 2 (Req)'!$B:$E,3,0),"")</f>
        <v>11984</v>
      </c>
      <c r="U286" s="7" t="str">
        <f t="shared" si="15"/>
        <v>8 de abril de 2026</v>
      </c>
      <c r="V286" s="7" t="str">
        <f t="shared" si="16"/>
        <v>6 de marzo de 2026</v>
      </c>
      <c r="W286" s="8" t="str">
        <f>"1-" &amp; ROWS($W$2:W286) &amp; ".pdf"</f>
        <v>1-285.pdf</v>
      </c>
      <c r="X286" s="7" t="str">
        <f>Tabla1[[#This Row],[Número de documento del contacto]]&amp;"-"&amp;Tabla1[[#This Row],[Número de resolución de archivo]]&amp;".pdf"</f>
        <v>1030642301-7657.pdf</v>
      </c>
      <c r="Y286" s="7" t="str">
        <f t="shared" si="17"/>
        <v>ren "1-285.pdf" "1030642301-7657.pdf"</v>
      </c>
      <c r="Z286" s="7" t="str">
        <f>Tabla1[[#This Row],[Número de documento del contacto]]&amp;"_"&amp;Tabla1[[#This Row],[Número de resolución de archivo]]&amp;".pdf"</f>
        <v>1030642301_7657.pdf</v>
      </c>
      <c r="AA286" s="7" t="s">
        <v>49</v>
      </c>
      <c r="AB286" s="7" t="str">
        <f>Tabla1[[#This Row],[Nombre PDF / cedula + num resolucion]]&amp;";"&amp;Tabla1[[#This Row],[instructivo]]</f>
        <v>1030642301_7657.pdf;10. Instructivo_Radicar_Activación_Credencial_DIGITAL_SIRNA.pdf</v>
      </c>
      <c r="AC286" s="7" t="str">
        <f>Tabla1[[#This Row],[Número de resolución de archivo]]&amp;"_"&amp;Tabla1[[#This Row],[Número de documento del contacto]]</f>
        <v>7657_1030642301</v>
      </c>
    </row>
    <row r="287" spans="1:29" x14ac:dyDescent="0.25">
      <c r="A287">
        <v>14450</v>
      </c>
      <c r="B287" t="s">
        <v>14</v>
      </c>
      <c r="C287" t="s">
        <v>15</v>
      </c>
      <c r="D287" t="s">
        <v>16</v>
      </c>
      <c r="E287" t="s">
        <v>17</v>
      </c>
      <c r="F287" s="14">
        <v>46120</v>
      </c>
      <c r="G287">
        <v>1032382759</v>
      </c>
      <c r="H287" t="s">
        <v>620</v>
      </c>
      <c r="I287" t="s">
        <v>621</v>
      </c>
      <c r="J287" t="s">
        <v>20</v>
      </c>
      <c r="K287" t="s">
        <v>21</v>
      </c>
      <c r="L287" s="14">
        <v>46184</v>
      </c>
      <c r="M287">
        <v>64</v>
      </c>
      <c r="N287" t="s">
        <v>22</v>
      </c>
      <c r="O287" t="s">
        <v>22</v>
      </c>
      <c r="P287" s="14">
        <v>46087</v>
      </c>
      <c r="Q287" t="s">
        <v>23</v>
      </c>
      <c r="R287" s="7">
        <f>IFERROR(VLOOKUP(Tabla1[[#This Row],[Número de documento del contacto]],'Resoluciones 1 (Res)'!$A:$C,2,0),"")</f>
        <v>7530</v>
      </c>
      <c r="S287" s="11">
        <f>IFERROR(VLOOKUP(Tabla1[[#This Row],[Número de documento del contacto]],'Resoluciones 1 (Res)'!$A:$C,3,0),"")</f>
        <v>46184.606747685197</v>
      </c>
      <c r="T287" s="7" t="str">
        <f>IFERROR(VLOOKUP(Tabla1[[#This Row],[Número de documento del contacto]],'Resoluciones 2 (Req)'!$B:$E,3,0),"")</f>
        <v>11987</v>
      </c>
      <c r="U287" s="7" t="str">
        <f t="shared" si="15"/>
        <v>8 de abril de 2026</v>
      </c>
      <c r="V287" s="7" t="str">
        <f t="shared" si="16"/>
        <v>6 de marzo de 2026</v>
      </c>
      <c r="W287" s="8" t="str">
        <f>"1-" &amp; ROWS($W$2:W287) &amp; ".pdf"</f>
        <v>1-286.pdf</v>
      </c>
      <c r="X287" s="7" t="str">
        <f>Tabla1[[#This Row],[Número de documento del contacto]]&amp;"-"&amp;Tabla1[[#This Row],[Número de resolución de archivo]]&amp;".pdf"</f>
        <v>1032382759-7530.pdf</v>
      </c>
      <c r="Y287" s="7" t="str">
        <f t="shared" si="17"/>
        <v>ren "1-286.pdf" "1032382759-7530.pdf"</v>
      </c>
      <c r="Z287" s="7" t="str">
        <f>Tabla1[[#This Row],[Número de documento del contacto]]&amp;"_"&amp;Tabla1[[#This Row],[Número de resolución de archivo]]&amp;".pdf"</f>
        <v>1032382759_7530.pdf</v>
      </c>
      <c r="AA287" s="7" t="s">
        <v>49</v>
      </c>
      <c r="AB287" s="7" t="str">
        <f>Tabla1[[#This Row],[Nombre PDF / cedula + num resolucion]]&amp;";"&amp;Tabla1[[#This Row],[instructivo]]</f>
        <v>1032382759_7530.pdf;10. Instructivo_Radicar_Activación_Credencial_DIGITAL_SIRNA.pdf</v>
      </c>
      <c r="AC287" s="7" t="str">
        <f>Tabla1[[#This Row],[Número de resolución de archivo]]&amp;"_"&amp;Tabla1[[#This Row],[Número de documento del contacto]]</f>
        <v>7530_1032382759</v>
      </c>
    </row>
    <row r="288" spans="1:29" x14ac:dyDescent="0.25">
      <c r="A288">
        <v>14253</v>
      </c>
      <c r="B288" t="s">
        <v>14</v>
      </c>
      <c r="C288" t="s">
        <v>15</v>
      </c>
      <c r="D288" t="s">
        <v>16</v>
      </c>
      <c r="E288" t="s">
        <v>17</v>
      </c>
      <c r="F288" s="14">
        <v>46120</v>
      </c>
      <c r="G288">
        <v>1033339451</v>
      </c>
      <c r="H288" t="s">
        <v>622</v>
      </c>
      <c r="I288" t="s">
        <v>623</v>
      </c>
      <c r="J288" t="s">
        <v>20</v>
      </c>
      <c r="K288" t="s">
        <v>21</v>
      </c>
      <c r="L288" s="14">
        <v>46184</v>
      </c>
      <c r="M288">
        <v>64</v>
      </c>
      <c r="N288" t="s">
        <v>22</v>
      </c>
      <c r="O288" t="s">
        <v>22</v>
      </c>
      <c r="P288" s="14">
        <v>46086</v>
      </c>
      <c r="Q288" t="s">
        <v>23</v>
      </c>
      <c r="R288" s="7">
        <f>IFERROR(VLOOKUP(Tabla1[[#This Row],[Número de documento del contacto]],'Resoluciones 1 (Res)'!$A:$C,2,0),"")</f>
        <v>7711</v>
      </c>
      <c r="S288" s="11">
        <f>IFERROR(VLOOKUP(Tabla1[[#This Row],[Número de documento del contacto]],'Resoluciones 1 (Res)'!$A:$C,3,0),"")</f>
        <v>46184.606747685197</v>
      </c>
      <c r="T288" s="7" t="str">
        <f>IFERROR(VLOOKUP(Tabla1[[#This Row],[Número de documento del contacto]],'Resoluciones 2 (Req)'!$B:$E,3,0),"")</f>
        <v>11988</v>
      </c>
      <c r="U288" s="7" t="str">
        <f t="shared" si="15"/>
        <v>8 de abril de 2026</v>
      </c>
      <c r="V288" s="7" t="str">
        <f t="shared" si="16"/>
        <v>5 de marzo de 2026</v>
      </c>
      <c r="W288" s="8" t="str">
        <f>"1-" &amp; ROWS($W$2:W288) &amp; ".pdf"</f>
        <v>1-287.pdf</v>
      </c>
      <c r="X288" s="7" t="str">
        <f>Tabla1[[#This Row],[Número de documento del contacto]]&amp;"-"&amp;Tabla1[[#This Row],[Número de resolución de archivo]]&amp;".pdf"</f>
        <v>1033339451-7711.pdf</v>
      </c>
      <c r="Y288" s="7" t="str">
        <f t="shared" si="17"/>
        <v>ren "1-287.pdf" "1033339451-7711.pdf"</v>
      </c>
      <c r="Z288" s="7" t="str">
        <f>Tabla1[[#This Row],[Número de documento del contacto]]&amp;"_"&amp;Tabla1[[#This Row],[Número de resolución de archivo]]&amp;".pdf"</f>
        <v>1033339451_7711.pdf</v>
      </c>
      <c r="AA288" s="7" t="s">
        <v>49</v>
      </c>
      <c r="AB288" s="7" t="str">
        <f>Tabla1[[#This Row],[Nombre PDF / cedula + num resolucion]]&amp;";"&amp;Tabla1[[#This Row],[instructivo]]</f>
        <v>1033339451_7711.pdf;10. Instructivo_Radicar_Activación_Credencial_DIGITAL_SIRNA.pdf</v>
      </c>
      <c r="AC288" s="7" t="str">
        <f>Tabla1[[#This Row],[Número de resolución de archivo]]&amp;"_"&amp;Tabla1[[#This Row],[Número de documento del contacto]]</f>
        <v>7711_1033339451</v>
      </c>
    </row>
    <row r="289" spans="1:29" x14ac:dyDescent="0.25">
      <c r="A289">
        <v>15313</v>
      </c>
      <c r="B289" t="s">
        <v>14</v>
      </c>
      <c r="C289" t="s">
        <v>15</v>
      </c>
      <c r="D289" t="s">
        <v>16</v>
      </c>
      <c r="E289" t="s">
        <v>17</v>
      </c>
      <c r="F289" s="14">
        <v>46120</v>
      </c>
      <c r="G289">
        <v>1037644304</v>
      </c>
      <c r="H289" t="s">
        <v>624</v>
      </c>
      <c r="I289" t="s">
        <v>625</v>
      </c>
      <c r="J289" t="s">
        <v>20</v>
      </c>
      <c r="K289" t="s">
        <v>21</v>
      </c>
      <c r="L289" s="14">
        <v>46184</v>
      </c>
      <c r="M289">
        <v>64</v>
      </c>
      <c r="N289" t="s">
        <v>22</v>
      </c>
      <c r="O289" t="s">
        <v>22</v>
      </c>
      <c r="P289" s="14">
        <v>46092</v>
      </c>
      <c r="Q289" t="s">
        <v>23</v>
      </c>
      <c r="R289" s="7">
        <f>IFERROR(VLOOKUP(Tabla1[[#This Row],[Número de documento del contacto]],'Resoluciones 1 (Res)'!$A:$C,2,0),"")</f>
        <v>7615</v>
      </c>
      <c r="S289" s="11">
        <f>IFERROR(VLOOKUP(Tabla1[[#This Row],[Número de documento del contacto]],'Resoluciones 1 (Res)'!$A:$C,3,0),"")</f>
        <v>46184.606747685197</v>
      </c>
      <c r="T289" s="7" t="str">
        <f>IFERROR(VLOOKUP(Tabla1[[#This Row],[Número de documento del contacto]],'Resoluciones 2 (Req)'!$B:$E,3,0),"")</f>
        <v>12067</v>
      </c>
      <c r="U289" s="7" t="str">
        <f t="shared" si="15"/>
        <v>8 de abril de 2026</v>
      </c>
      <c r="V289" s="7" t="str">
        <f t="shared" si="16"/>
        <v>11 de marzo de 2026</v>
      </c>
      <c r="W289" s="8" t="str">
        <f>"1-" &amp; ROWS($W$2:W289) &amp; ".pdf"</f>
        <v>1-288.pdf</v>
      </c>
      <c r="X289" s="7" t="str">
        <f>Tabla1[[#This Row],[Número de documento del contacto]]&amp;"-"&amp;Tabla1[[#This Row],[Número de resolución de archivo]]&amp;".pdf"</f>
        <v>1037644304-7615.pdf</v>
      </c>
      <c r="Y289" s="7" t="str">
        <f t="shared" si="17"/>
        <v>ren "1-288.pdf" "1037644304-7615.pdf"</v>
      </c>
      <c r="Z289" s="7" t="str">
        <f>Tabla1[[#This Row],[Número de documento del contacto]]&amp;"_"&amp;Tabla1[[#This Row],[Número de resolución de archivo]]&amp;".pdf"</f>
        <v>1037644304_7615.pdf</v>
      </c>
      <c r="AA289" s="7" t="s">
        <v>49</v>
      </c>
      <c r="AB289" s="7" t="str">
        <f>Tabla1[[#This Row],[Nombre PDF / cedula + num resolucion]]&amp;";"&amp;Tabla1[[#This Row],[instructivo]]</f>
        <v>1037644304_7615.pdf;10. Instructivo_Radicar_Activación_Credencial_DIGITAL_SIRNA.pdf</v>
      </c>
      <c r="AC289" s="7" t="str">
        <f>Tabla1[[#This Row],[Número de resolución de archivo]]&amp;"_"&amp;Tabla1[[#This Row],[Número de documento del contacto]]</f>
        <v>7615_1037644304</v>
      </c>
    </row>
    <row r="290" spans="1:29" x14ac:dyDescent="0.25">
      <c r="A290">
        <v>14814</v>
      </c>
      <c r="B290" t="s">
        <v>14</v>
      </c>
      <c r="C290" t="s">
        <v>15</v>
      </c>
      <c r="D290" t="s">
        <v>16</v>
      </c>
      <c r="E290" t="s">
        <v>17</v>
      </c>
      <c r="F290" s="14">
        <v>46120</v>
      </c>
      <c r="G290">
        <v>1037663793</v>
      </c>
      <c r="H290" t="s">
        <v>626</v>
      </c>
      <c r="I290" t="s">
        <v>627</v>
      </c>
      <c r="J290" t="s">
        <v>20</v>
      </c>
      <c r="K290" t="s">
        <v>21</v>
      </c>
      <c r="L290" s="14">
        <v>46184</v>
      </c>
      <c r="M290">
        <v>64</v>
      </c>
      <c r="N290" t="s">
        <v>22</v>
      </c>
      <c r="O290" t="s">
        <v>22</v>
      </c>
      <c r="P290" s="14">
        <v>46090</v>
      </c>
      <c r="Q290" t="s">
        <v>23</v>
      </c>
      <c r="R290" s="7">
        <f>IFERROR(VLOOKUP(Tabla1[[#This Row],[Número de documento del contacto]],'Resoluciones 1 (Res)'!$A:$C,2,0),"")</f>
        <v>7485</v>
      </c>
      <c r="S290" s="11">
        <f>IFERROR(VLOOKUP(Tabla1[[#This Row],[Número de documento del contacto]],'Resoluciones 1 (Res)'!$A:$C,3,0),"")</f>
        <v>46184.606747685197</v>
      </c>
      <c r="T290" s="7" t="str">
        <f>IFERROR(VLOOKUP(Tabla1[[#This Row],[Número de documento del contacto]],'Resoluciones 2 (Req)'!$B:$E,3,0),"")</f>
        <v>12068</v>
      </c>
      <c r="U290" s="7" t="str">
        <f t="shared" si="15"/>
        <v>8 de abril de 2026</v>
      </c>
      <c r="V290" s="7" t="str">
        <f t="shared" si="16"/>
        <v>9 de marzo de 2026</v>
      </c>
      <c r="W290" s="8" t="str">
        <f>"1-" &amp; ROWS($W$2:W290) &amp; ".pdf"</f>
        <v>1-289.pdf</v>
      </c>
      <c r="X290" s="7" t="str">
        <f>Tabla1[[#This Row],[Número de documento del contacto]]&amp;"-"&amp;Tabla1[[#This Row],[Número de resolución de archivo]]&amp;".pdf"</f>
        <v>1037663793-7485.pdf</v>
      </c>
      <c r="Y290" s="7" t="str">
        <f t="shared" si="17"/>
        <v>ren "1-289.pdf" "1037663793-7485.pdf"</v>
      </c>
      <c r="Z290" s="7" t="str">
        <f>Tabla1[[#This Row],[Número de documento del contacto]]&amp;"_"&amp;Tabla1[[#This Row],[Número de resolución de archivo]]&amp;".pdf"</f>
        <v>1037663793_7485.pdf</v>
      </c>
      <c r="AA290" s="7" t="s">
        <v>49</v>
      </c>
      <c r="AB290" s="7" t="str">
        <f>Tabla1[[#This Row],[Nombre PDF / cedula + num resolucion]]&amp;";"&amp;Tabla1[[#This Row],[instructivo]]</f>
        <v>1037663793_7485.pdf;10. Instructivo_Radicar_Activación_Credencial_DIGITAL_SIRNA.pdf</v>
      </c>
      <c r="AC290" s="7" t="str">
        <f>Tabla1[[#This Row],[Número de resolución de archivo]]&amp;"_"&amp;Tabla1[[#This Row],[Número de documento del contacto]]</f>
        <v>7485_1037663793</v>
      </c>
    </row>
    <row r="291" spans="1:29" x14ac:dyDescent="0.25">
      <c r="A291">
        <v>15315</v>
      </c>
      <c r="B291" t="s">
        <v>14</v>
      </c>
      <c r="C291" t="s">
        <v>15</v>
      </c>
      <c r="D291" t="s">
        <v>16</v>
      </c>
      <c r="E291" t="s">
        <v>17</v>
      </c>
      <c r="F291" s="14">
        <v>46120</v>
      </c>
      <c r="G291">
        <v>1047480322</v>
      </c>
      <c r="H291" t="s">
        <v>628</v>
      </c>
      <c r="I291" t="s">
        <v>629</v>
      </c>
      <c r="J291" t="s">
        <v>20</v>
      </c>
      <c r="K291" t="s">
        <v>21</v>
      </c>
      <c r="L291" s="14">
        <v>46184</v>
      </c>
      <c r="M291">
        <v>64</v>
      </c>
      <c r="N291" t="s">
        <v>22</v>
      </c>
      <c r="O291" t="s">
        <v>22</v>
      </c>
      <c r="P291" s="14">
        <v>46092</v>
      </c>
      <c r="Q291" t="s">
        <v>23</v>
      </c>
      <c r="R291" s="7">
        <f>IFERROR(VLOOKUP(Tabla1[[#This Row],[Número de documento del contacto]],'Resoluciones 1 (Res)'!$A:$C,2,0),"")</f>
        <v>7548</v>
      </c>
      <c r="S291" s="11">
        <f>IFERROR(VLOOKUP(Tabla1[[#This Row],[Número de documento del contacto]],'Resoluciones 1 (Res)'!$A:$C,3,0),"")</f>
        <v>46184.606747685197</v>
      </c>
      <c r="T291" s="7" t="str">
        <f>IFERROR(VLOOKUP(Tabla1[[#This Row],[Número de documento del contacto]],'Resoluciones 2 (Req)'!$B:$E,3,0),"")</f>
        <v>12069</v>
      </c>
      <c r="U291" s="7" t="str">
        <f t="shared" si="15"/>
        <v>8 de abril de 2026</v>
      </c>
      <c r="V291" s="7" t="str">
        <f t="shared" si="16"/>
        <v>11 de marzo de 2026</v>
      </c>
      <c r="W291" s="8" t="str">
        <f>"1-" &amp; ROWS($W$2:W291) &amp; ".pdf"</f>
        <v>1-290.pdf</v>
      </c>
      <c r="X291" s="7" t="str">
        <f>Tabla1[[#This Row],[Número de documento del contacto]]&amp;"-"&amp;Tabla1[[#This Row],[Número de resolución de archivo]]&amp;".pdf"</f>
        <v>1047480322-7548.pdf</v>
      </c>
      <c r="Y291" s="7" t="str">
        <f t="shared" si="17"/>
        <v>ren "1-290.pdf" "1047480322-7548.pdf"</v>
      </c>
      <c r="Z291" s="7" t="str">
        <f>Tabla1[[#This Row],[Número de documento del contacto]]&amp;"_"&amp;Tabla1[[#This Row],[Número de resolución de archivo]]&amp;".pdf"</f>
        <v>1047480322_7548.pdf</v>
      </c>
      <c r="AA291" s="7" t="s">
        <v>49</v>
      </c>
      <c r="AB291" s="7" t="str">
        <f>Tabla1[[#This Row],[Nombre PDF / cedula + num resolucion]]&amp;";"&amp;Tabla1[[#This Row],[instructivo]]</f>
        <v>1047480322_7548.pdf;10. Instructivo_Radicar_Activación_Credencial_DIGITAL_SIRNA.pdf</v>
      </c>
      <c r="AC291" s="7" t="str">
        <f>Tabla1[[#This Row],[Número de resolución de archivo]]&amp;"_"&amp;Tabla1[[#This Row],[Número de documento del contacto]]</f>
        <v>7548_1047480322</v>
      </c>
    </row>
    <row r="292" spans="1:29" x14ac:dyDescent="0.25">
      <c r="A292">
        <v>15607</v>
      </c>
      <c r="B292" t="s">
        <v>14</v>
      </c>
      <c r="C292" t="s">
        <v>15</v>
      </c>
      <c r="D292" t="s">
        <v>16</v>
      </c>
      <c r="E292" t="s">
        <v>17</v>
      </c>
      <c r="F292" s="14">
        <v>46120</v>
      </c>
      <c r="G292">
        <v>1053348401</v>
      </c>
      <c r="H292" t="s">
        <v>630</v>
      </c>
      <c r="I292" t="s">
        <v>631</v>
      </c>
      <c r="J292" t="s">
        <v>20</v>
      </c>
      <c r="K292" t="s">
        <v>21</v>
      </c>
      <c r="L292" s="14">
        <v>46184</v>
      </c>
      <c r="M292">
        <v>64</v>
      </c>
      <c r="N292" t="s">
        <v>22</v>
      </c>
      <c r="O292" t="s">
        <v>22</v>
      </c>
      <c r="P292" s="14">
        <v>46093</v>
      </c>
      <c r="Q292" t="s">
        <v>23</v>
      </c>
      <c r="R292" s="7">
        <f>IFERROR(VLOOKUP(Tabla1[[#This Row],[Número de documento del contacto]],'Resoluciones 1 (Res)'!$A:$C,2,0),"")</f>
        <v>7689</v>
      </c>
      <c r="S292" s="11">
        <f>IFERROR(VLOOKUP(Tabla1[[#This Row],[Número de documento del contacto]],'Resoluciones 1 (Res)'!$A:$C,3,0),"")</f>
        <v>46184.606747685197</v>
      </c>
      <c r="T292" s="7" t="str">
        <f>IFERROR(VLOOKUP(Tabla1[[#This Row],[Número de documento del contacto]],'Resoluciones 2 (Req)'!$B:$E,3,0),"")</f>
        <v>12070</v>
      </c>
      <c r="U292" s="7" t="str">
        <f t="shared" si="15"/>
        <v>8 de abril de 2026</v>
      </c>
      <c r="V292" s="7" t="str">
        <f t="shared" si="16"/>
        <v>12 de marzo de 2026</v>
      </c>
      <c r="W292" s="8" t="str">
        <f>"1-" &amp; ROWS($W$2:W292) &amp; ".pdf"</f>
        <v>1-291.pdf</v>
      </c>
      <c r="X292" s="7" t="str">
        <f>Tabla1[[#This Row],[Número de documento del contacto]]&amp;"-"&amp;Tabla1[[#This Row],[Número de resolución de archivo]]&amp;".pdf"</f>
        <v>1053348401-7689.pdf</v>
      </c>
      <c r="Y292" s="7" t="str">
        <f t="shared" si="17"/>
        <v>ren "1-291.pdf" "1053348401-7689.pdf"</v>
      </c>
      <c r="Z292" s="7" t="str">
        <f>Tabla1[[#This Row],[Número de documento del contacto]]&amp;"_"&amp;Tabla1[[#This Row],[Número de resolución de archivo]]&amp;".pdf"</f>
        <v>1053348401_7689.pdf</v>
      </c>
      <c r="AA292" s="7" t="s">
        <v>49</v>
      </c>
      <c r="AB292" s="7" t="str">
        <f>Tabla1[[#This Row],[Nombre PDF / cedula + num resolucion]]&amp;";"&amp;Tabla1[[#This Row],[instructivo]]</f>
        <v>1053348401_7689.pdf;10. Instructivo_Radicar_Activación_Credencial_DIGITAL_SIRNA.pdf</v>
      </c>
      <c r="AC292" s="7" t="str">
        <f>Tabla1[[#This Row],[Número de resolución de archivo]]&amp;"_"&amp;Tabla1[[#This Row],[Número de documento del contacto]]</f>
        <v>7689_1053348401</v>
      </c>
    </row>
    <row r="293" spans="1:29" x14ac:dyDescent="0.25">
      <c r="A293">
        <v>14589</v>
      </c>
      <c r="B293" t="s">
        <v>14</v>
      </c>
      <c r="C293" t="s">
        <v>15</v>
      </c>
      <c r="D293" t="s">
        <v>16</v>
      </c>
      <c r="E293" t="s">
        <v>17</v>
      </c>
      <c r="F293" s="14">
        <v>46120</v>
      </c>
      <c r="G293">
        <v>1053609285</v>
      </c>
      <c r="H293" t="s">
        <v>632</v>
      </c>
      <c r="I293" t="s">
        <v>633</v>
      </c>
      <c r="J293" t="s">
        <v>20</v>
      </c>
      <c r="K293" t="s">
        <v>21</v>
      </c>
      <c r="L293" s="14">
        <v>46184</v>
      </c>
      <c r="M293">
        <v>64</v>
      </c>
      <c r="N293" t="s">
        <v>22</v>
      </c>
      <c r="O293" t="s">
        <v>22</v>
      </c>
      <c r="P293" s="14">
        <v>46087</v>
      </c>
      <c r="Q293" t="s">
        <v>23</v>
      </c>
      <c r="R293" s="7">
        <f>IFERROR(VLOOKUP(Tabla1[[#This Row],[Número de documento del contacto]],'Resoluciones 1 (Res)'!$A:$C,2,0),"")</f>
        <v>7670</v>
      </c>
      <c r="S293" s="11">
        <f>IFERROR(VLOOKUP(Tabla1[[#This Row],[Número de documento del contacto]],'Resoluciones 1 (Res)'!$A:$C,3,0),"")</f>
        <v>46184.606747685197</v>
      </c>
      <c r="T293" s="7" t="str">
        <f>IFERROR(VLOOKUP(Tabla1[[#This Row],[Número de documento del contacto]],'Resoluciones 2 (Req)'!$B:$E,3,0),"")</f>
        <v>11990</v>
      </c>
      <c r="U293" s="7" t="str">
        <f t="shared" si="15"/>
        <v>8 de abril de 2026</v>
      </c>
      <c r="V293" s="7" t="str">
        <f t="shared" si="16"/>
        <v>6 de marzo de 2026</v>
      </c>
      <c r="W293" s="8" t="str">
        <f>"1-" &amp; ROWS($W$2:W293) &amp; ".pdf"</f>
        <v>1-292.pdf</v>
      </c>
      <c r="X293" s="7" t="str">
        <f>Tabla1[[#This Row],[Número de documento del contacto]]&amp;"-"&amp;Tabla1[[#This Row],[Número de resolución de archivo]]&amp;".pdf"</f>
        <v>1053609285-7670.pdf</v>
      </c>
      <c r="Y293" s="7" t="str">
        <f t="shared" si="17"/>
        <v>ren "1-292.pdf" "1053609285-7670.pdf"</v>
      </c>
      <c r="Z293" s="7" t="str">
        <f>Tabla1[[#This Row],[Número de documento del contacto]]&amp;"_"&amp;Tabla1[[#This Row],[Número de resolución de archivo]]&amp;".pdf"</f>
        <v>1053609285_7670.pdf</v>
      </c>
      <c r="AA293" s="7" t="s">
        <v>49</v>
      </c>
      <c r="AB293" s="7" t="str">
        <f>Tabla1[[#This Row],[Nombre PDF / cedula + num resolucion]]&amp;";"&amp;Tabla1[[#This Row],[instructivo]]</f>
        <v>1053609285_7670.pdf;10. Instructivo_Radicar_Activación_Credencial_DIGITAL_SIRNA.pdf</v>
      </c>
      <c r="AC293" s="7" t="str">
        <f>Tabla1[[#This Row],[Número de resolución de archivo]]&amp;"_"&amp;Tabla1[[#This Row],[Número de documento del contacto]]</f>
        <v>7670_1053609285</v>
      </c>
    </row>
    <row r="294" spans="1:29" x14ac:dyDescent="0.25">
      <c r="A294">
        <v>14923</v>
      </c>
      <c r="B294" t="s">
        <v>14</v>
      </c>
      <c r="C294" t="s">
        <v>15</v>
      </c>
      <c r="D294" t="s">
        <v>16</v>
      </c>
      <c r="E294" t="s">
        <v>17</v>
      </c>
      <c r="F294" s="14">
        <v>46120</v>
      </c>
      <c r="G294">
        <v>1053841080</v>
      </c>
      <c r="H294" t="s">
        <v>634</v>
      </c>
      <c r="I294" t="s">
        <v>635</v>
      </c>
      <c r="J294" t="s">
        <v>20</v>
      </c>
      <c r="K294" t="s">
        <v>21</v>
      </c>
      <c r="L294" s="14">
        <v>46184</v>
      </c>
      <c r="M294">
        <v>64</v>
      </c>
      <c r="N294" t="s">
        <v>22</v>
      </c>
      <c r="O294" t="s">
        <v>22</v>
      </c>
      <c r="P294" s="14">
        <v>46090</v>
      </c>
      <c r="Q294" t="s">
        <v>23</v>
      </c>
      <c r="R294" s="7">
        <f>IFERROR(VLOOKUP(Tabla1[[#This Row],[Número de documento del contacto]],'Resoluciones 1 (Res)'!$A:$C,2,0),"")</f>
        <v>7687</v>
      </c>
      <c r="S294" s="11">
        <f>IFERROR(VLOOKUP(Tabla1[[#This Row],[Número de documento del contacto]],'Resoluciones 1 (Res)'!$A:$C,3,0),"")</f>
        <v>46184.606747685197</v>
      </c>
      <c r="T294" s="7" t="str">
        <f>IFERROR(VLOOKUP(Tabla1[[#This Row],[Número de documento del contacto]],'Resoluciones 2 (Req)'!$B:$E,3,0),"")</f>
        <v>12071</v>
      </c>
      <c r="U294" s="7" t="str">
        <f t="shared" si="15"/>
        <v>8 de abril de 2026</v>
      </c>
      <c r="V294" s="7" t="str">
        <f t="shared" si="16"/>
        <v>9 de marzo de 2026</v>
      </c>
      <c r="W294" s="8" t="str">
        <f>"1-" &amp; ROWS($W$2:W294) &amp; ".pdf"</f>
        <v>1-293.pdf</v>
      </c>
      <c r="X294" s="7" t="str">
        <f>Tabla1[[#This Row],[Número de documento del contacto]]&amp;"-"&amp;Tabla1[[#This Row],[Número de resolución de archivo]]&amp;".pdf"</f>
        <v>1053841080-7687.pdf</v>
      </c>
      <c r="Y294" s="7" t="str">
        <f t="shared" si="17"/>
        <v>ren "1-293.pdf" "1053841080-7687.pdf"</v>
      </c>
      <c r="Z294" s="7" t="str">
        <f>Tabla1[[#This Row],[Número de documento del contacto]]&amp;"_"&amp;Tabla1[[#This Row],[Número de resolución de archivo]]&amp;".pdf"</f>
        <v>1053841080_7687.pdf</v>
      </c>
      <c r="AA294" s="7" t="s">
        <v>49</v>
      </c>
      <c r="AB294" s="7" t="str">
        <f>Tabla1[[#This Row],[Nombre PDF / cedula + num resolucion]]&amp;";"&amp;Tabla1[[#This Row],[instructivo]]</f>
        <v>1053841080_7687.pdf;10. Instructivo_Radicar_Activación_Credencial_DIGITAL_SIRNA.pdf</v>
      </c>
      <c r="AC294" s="7" t="str">
        <f>Tabla1[[#This Row],[Número de resolución de archivo]]&amp;"_"&amp;Tabla1[[#This Row],[Número de documento del contacto]]</f>
        <v>7687_1053841080</v>
      </c>
    </row>
    <row r="295" spans="1:29" x14ac:dyDescent="0.25">
      <c r="A295">
        <v>15291</v>
      </c>
      <c r="B295" t="s">
        <v>14</v>
      </c>
      <c r="C295" t="s">
        <v>15</v>
      </c>
      <c r="D295" t="s">
        <v>16</v>
      </c>
      <c r="E295" t="s">
        <v>17</v>
      </c>
      <c r="F295" s="14">
        <v>46120</v>
      </c>
      <c r="G295">
        <v>1061787052</v>
      </c>
      <c r="H295" t="s">
        <v>636</v>
      </c>
      <c r="I295" t="s">
        <v>637</v>
      </c>
      <c r="J295" t="s">
        <v>20</v>
      </c>
      <c r="K295" t="s">
        <v>21</v>
      </c>
      <c r="L295" s="14">
        <v>46184</v>
      </c>
      <c r="M295">
        <v>64</v>
      </c>
      <c r="N295" t="s">
        <v>22</v>
      </c>
      <c r="O295" t="s">
        <v>22</v>
      </c>
      <c r="P295" s="14">
        <v>46092</v>
      </c>
      <c r="Q295" t="s">
        <v>23</v>
      </c>
      <c r="R295" s="7">
        <f>IFERROR(VLOOKUP(Tabla1[[#This Row],[Número de documento del contacto]],'Resoluciones 1 (Res)'!$A:$C,2,0),"")</f>
        <v>7436</v>
      </c>
      <c r="S295" s="11">
        <f>IFERROR(VLOOKUP(Tabla1[[#This Row],[Número de documento del contacto]],'Resoluciones 1 (Res)'!$A:$C,3,0),"")</f>
        <v>46184.606747685197</v>
      </c>
      <c r="T295" s="7" t="str">
        <f>IFERROR(VLOOKUP(Tabla1[[#This Row],[Número de documento del contacto]],'Resoluciones 2 (Req)'!$B:$E,3,0),"")</f>
        <v>12073</v>
      </c>
      <c r="U295" s="7" t="str">
        <f t="shared" si="15"/>
        <v>8 de abril de 2026</v>
      </c>
      <c r="V295" s="7" t="str">
        <f t="shared" si="16"/>
        <v>11 de marzo de 2026</v>
      </c>
      <c r="W295" s="8" t="str">
        <f>"1-" &amp; ROWS($W$2:W295) &amp; ".pdf"</f>
        <v>1-294.pdf</v>
      </c>
      <c r="X295" s="7" t="str">
        <f>Tabla1[[#This Row],[Número de documento del contacto]]&amp;"-"&amp;Tabla1[[#This Row],[Número de resolución de archivo]]&amp;".pdf"</f>
        <v>1061787052-7436.pdf</v>
      </c>
      <c r="Y295" s="7" t="str">
        <f t="shared" si="17"/>
        <v>ren "1-294.pdf" "1061787052-7436.pdf"</v>
      </c>
      <c r="Z295" s="7" t="str">
        <f>Tabla1[[#This Row],[Número de documento del contacto]]&amp;"_"&amp;Tabla1[[#This Row],[Número de resolución de archivo]]&amp;".pdf"</f>
        <v>1061787052_7436.pdf</v>
      </c>
      <c r="AA295" s="7" t="s">
        <v>49</v>
      </c>
      <c r="AB295" s="7" t="str">
        <f>Tabla1[[#This Row],[Nombre PDF / cedula + num resolucion]]&amp;";"&amp;Tabla1[[#This Row],[instructivo]]</f>
        <v>1061787052_7436.pdf;10. Instructivo_Radicar_Activación_Credencial_DIGITAL_SIRNA.pdf</v>
      </c>
      <c r="AC295" s="7" t="str">
        <f>Tabla1[[#This Row],[Número de resolución de archivo]]&amp;"_"&amp;Tabla1[[#This Row],[Número de documento del contacto]]</f>
        <v>7436_1061787052</v>
      </c>
    </row>
    <row r="296" spans="1:29" x14ac:dyDescent="0.25">
      <c r="A296">
        <v>15383</v>
      </c>
      <c r="B296" t="s">
        <v>14</v>
      </c>
      <c r="C296" t="s">
        <v>15</v>
      </c>
      <c r="D296" t="s">
        <v>16</v>
      </c>
      <c r="E296" t="s">
        <v>17</v>
      </c>
      <c r="F296" s="14">
        <v>46120</v>
      </c>
      <c r="G296">
        <v>1065599672</v>
      </c>
      <c r="H296" t="s">
        <v>638</v>
      </c>
      <c r="I296" t="s">
        <v>639</v>
      </c>
      <c r="J296" t="s">
        <v>20</v>
      </c>
      <c r="K296" t="s">
        <v>21</v>
      </c>
      <c r="L296" s="14">
        <v>46184</v>
      </c>
      <c r="M296">
        <v>64</v>
      </c>
      <c r="N296" t="s">
        <v>22</v>
      </c>
      <c r="O296" t="s">
        <v>22</v>
      </c>
      <c r="P296" s="14">
        <v>46092</v>
      </c>
      <c r="Q296" t="s">
        <v>23</v>
      </c>
      <c r="R296" s="7">
        <f>IFERROR(VLOOKUP(Tabla1[[#This Row],[Número de documento del contacto]],'Resoluciones 1 (Res)'!$A:$C,2,0),"")</f>
        <v>7625</v>
      </c>
      <c r="S296" s="11">
        <f>IFERROR(VLOOKUP(Tabla1[[#This Row],[Número de documento del contacto]],'Resoluciones 1 (Res)'!$A:$C,3,0),"")</f>
        <v>46184.606747685197</v>
      </c>
      <c r="T296" s="7" t="str">
        <f>IFERROR(VLOOKUP(Tabla1[[#This Row],[Número de documento del contacto]],'Resoluciones 2 (Req)'!$B:$E,3,0),"")</f>
        <v>12074</v>
      </c>
      <c r="U296" s="7" t="str">
        <f t="shared" si="15"/>
        <v>8 de abril de 2026</v>
      </c>
      <c r="V296" s="7" t="str">
        <f t="shared" si="16"/>
        <v>11 de marzo de 2026</v>
      </c>
      <c r="W296" s="8" t="str">
        <f>"1-" &amp; ROWS($W$2:W296) &amp; ".pdf"</f>
        <v>1-295.pdf</v>
      </c>
      <c r="X296" s="7" t="str">
        <f>Tabla1[[#This Row],[Número de documento del contacto]]&amp;"-"&amp;Tabla1[[#This Row],[Número de resolución de archivo]]&amp;".pdf"</f>
        <v>1065599672-7625.pdf</v>
      </c>
      <c r="Y296" s="7" t="str">
        <f t="shared" si="17"/>
        <v>ren "1-295.pdf" "1065599672-7625.pdf"</v>
      </c>
      <c r="Z296" s="7" t="str">
        <f>Tabla1[[#This Row],[Número de documento del contacto]]&amp;"_"&amp;Tabla1[[#This Row],[Número de resolución de archivo]]&amp;".pdf"</f>
        <v>1065599672_7625.pdf</v>
      </c>
      <c r="AA296" s="7" t="s">
        <v>49</v>
      </c>
      <c r="AB296" s="7" t="str">
        <f>Tabla1[[#This Row],[Nombre PDF / cedula + num resolucion]]&amp;";"&amp;Tabla1[[#This Row],[instructivo]]</f>
        <v>1065599672_7625.pdf;10. Instructivo_Radicar_Activación_Credencial_DIGITAL_SIRNA.pdf</v>
      </c>
      <c r="AC296" s="7" t="str">
        <f>Tabla1[[#This Row],[Número de resolución de archivo]]&amp;"_"&amp;Tabla1[[#This Row],[Número de documento del contacto]]</f>
        <v>7625_1065599672</v>
      </c>
    </row>
    <row r="297" spans="1:29" x14ac:dyDescent="0.25">
      <c r="A297">
        <v>15149</v>
      </c>
      <c r="B297" t="s">
        <v>14</v>
      </c>
      <c r="C297" t="s">
        <v>15</v>
      </c>
      <c r="D297" t="s">
        <v>16</v>
      </c>
      <c r="E297" t="s">
        <v>17</v>
      </c>
      <c r="F297" s="14">
        <v>46120</v>
      </c>
      <c r="G297">
        <v>1085244589</v>
      </c>
      <c r="H297" t="s">
        <v>640</v>
      </c>
      <c r="I297" t="s">
        <v>641</v>
      </c>
      <c r="J297" t="s">
        <v>20</v>
      </c>
      <c r="K297" t="s">
        <v>21</v>
      </c>
      <c r="L297" s="14">
        <v>46184</v>
      </c>
      <c r="M297">
        <v>64</v>
      </c>
      <c r="N297" t="s">
        <v>22</v>
      </c>
      <c r="O297" t="s">
        <v>22</v>
      </c>
      <c r="P297" s="14">
        <v>46091</v>
      </c>
      <c r="Q297" t="s">
        <v>23</v>
      </c>
      <c r="R297" s="7">
        <f>IFERROR(VLOOKUP(Tabla1[[#This Row],[Número de documento del contacto]],'Resoluciones 1 (Res)'!$A:$C,2,0),"")</f>
        <v>7658</v>
      </c>
      <c r="S297" s="11">
        <f>IFERROR(VLOOKUP(Tabla1[[#This Row],[Número de documento del contacto]],'Resoluciones 1 (Res)'!$A:$C,3,0),"")</f>
        <v>46184.606747685197</v>
      </c>
      <c r="T297" s="7" t="str">
        <f>IFERROR(VLOOKUP(Tabla1[[#This Row],[Número de documento del contacto]],'Resoluciones 2 (Req)'!$B:$E,3,0),"")</f>
        <v>12077</v>
      </c>
      <c r="U297" s="7" t="str">
        <f t="shared" si="15"/>
        <v>8 de abril de 2026</v>
      </c>
      <c r="V297" s="7" t="str">
        <f t="shared" si="16"/>
        <v>10 de marzo de 2026</v>
      </c>
      <c r="W297" s="8" t="str">
        <f>"1-" &amp; ROWS($W$2:W297) &amp; ".pdf"</f>
        <v>1-296.pdf</v>
      </c>
      <c r="X297" s="7" t="str">
        <f>Tabla1[[#This Row],[Número de documento del contacto]]&amp;"-"&amp;Tabla1[[#This Row],[Número de resolución de archivo]]&amp;".pdf"</f>
        <v>1085244589-7658.pdf</v>
      </c>
      <c r="Y297" s="7" t="str">
        <f t="shared" si="17"/>
        <v>ren "1-296.pdf" "1085244589-7658.pdf"</v>
      </c>
      <c r="Z297" s="7" t="str">
        <f>Tabla1[[#This Row],[Número de documento del contacto]]&amp;"_"&amp;Tabla1[[#This Row],[Número de resolución de archivo]]&amp;".pdf"</f>
        <v>1085244589_7658.pdf</v>
      </c>
      <c r="AA297" s="7" t="s">
        <v>49</v>
      </c>
      <c r="AB297" s="7" t="str">
        <f>Tabla1[[#This Row],[Nombre PDF / cedula + num resolucion]]&amp;";"&amp;Tabla1[[#This Row],[instructivo]]</f>
        <v>1085244589_7658.pdf;10. Instructivo_Radicar_Activación_Credencial_DIGITAL_SIRNA.pdf</v>
      </c>
      <c r="AC297" s="7" t="str">
        <f>Tabla1[[#This Row],[Número de resolución de archivo]]&amp;"_"&amp;Tabla1[[#This Row],[Número de documento del contacto]]</f>
        <v>7658_1085244589</v>
      </c>
    </row>
    <row r="298" spans="1:29" x14ac:dyDescent="0.25">
      <c r="A298">
        <v>15256</v>
      </c>
      <c r="B298" t="s">
        <v>14</v>
      </c>
      <c r="C298" t="s">
        <v>15</v>
      </c>
      <c r="D298" t="s">
        <v>16</v>
      </c>
      <c r="E298" t="s">
        <v>17</v>
      </c>
      <c r="F298" s="14">
        <v>46120</v>
      </c>
      <c r="G298">
        <v>1085306143</v>
      </c>
      <c r="H298" t="s">
        <v>642</v>
      </c>
      <c r="I298" t="s">
        <v>643</v>
      </c>
      <c r="J298" t="s">
        <v>20</v>
      </c>
      <c r="K298" t="s">
        <v>21</v>
      </c>
      <c r="L298" s="14">
        <v>46184</v>
      </c>
      <c r="M298">
        <v>64</v>
      </c>
      <c r="N298" t="s">
        <v>22</v>
      </c>
      <c r="O298" t="s">
        <v>22</v>
      </c>
      <c r="P298" s="14">
        <v>46092</v>
      </c>
      <c r="Q298" t="s">
        <v>23</v>
      </c>
      <c r="R298" s="7">
        <f>IFERROR(VLOOKUP(Tabla1[[#This Row],[Número de documento del contacto]],'Resoluciones 1 (Res)'!$A:$C,2,0),"")</f>
        <v>7632</v>
      </c>
      <c r="S298" s="11">
        <f>IFERROR(VLOOKUP(Tabla1[[#This Row],[Número de documento del contacto]],'Resoluciones 1 (Res)'!$A:$C,3,0),"")</f>
        <v>46184.606747685197</v>
      </c>
      <c r="T298" s="7" t="str">
        <f>IFERROR(VLOOKUP(Tabla1[[#This Row],[Número de documento del contacto]],'Resoluciones 2 (Req)'!$B:$E,3,0),"")</f>
        <v>12078</v>
      </c>
      <c r="U298" s="7" t="str">
        <f t="shared" si="15"/>
        <v>8 de abril de 2026</v>
      </c>
      <c r="V298" s="7" t="str">
        <f t="shared" si="16"/>
        <v>11 de marzo de 2026</v>
      </c>
      <c r="W298" s="8" t="str">
        <f>"1-" &amp; ROWS($W$2:W298) &amp; ".pdf"</f>
        <v>1-297.pdf</v>
      </c>
      <c r="X298" s="7" t="str">
        <f>Tabla1[[#This Row],[Número de documento del contacto]]&amp;"-"&amp;Tabla1[[#This Row],[Número de resolución de archivo]]&amp;".pdf"</f>
        <v>1085306143-7632.pdf</v>
      </c>
      <c r="Y298" s="7" t="str">
        <f t="shared" si="17"/>
        <v>ren "1-297.pdf" "1085306143-7632.pdf"</v>
      </c>
      <c r="Z298" s="7" t="str">
        <f>Tabla1[[#This Row],[Número de documento del contacto]]&amp;"_"&amp;Tabla1[[#This Row],[Número de resolución de archivo]]&amp;".pdf"</f>
        <v>1085306143_7632.pdf</v>
      </c>
      <c r="AA298" s="7" t="s">
        <v>49</v>
      </c>
      <c r="AB298" s="7" t="str">
        <f>Tabla1[[#This Row],[Nombre PDF / cedula + num resolucion]]&amp;";"&amp;Tabla1[[#This Row],[instructivo]]</f>
        <v>1085306143_7632.pdf;10. Instructivo_Radicar_Activación_Credencial_DIGITAL_SIRNA.pdf</v>
      </c>
      <c r="AC298" s="7" t="str">
        <f>Tabla1[[#This Row],[Número de resolución de archivo]]&amp;"_"&amp;Tabla1[[#This Row],[Número de documento del contacto]]</f>
        <v>7632_1085306143</v>
      </c>
    </row>
    <row r="299" spans="1:29" x14ac:dyDescent="0.25">
      <c r="A299">
        <v>14392</v>
      </c>
      <c r="B299" t="s">
        <v>14</v>
      </c>
      <c r="C299" t="s">
        <v>15</v>
      </c>
      <c r="D299" t="s">
        <v>16</v>
      </c>
      <c r="E299" t="s">
        <v>17</v>
      </c>
      <c r="F299" s="14">
        <v>46120</v>
      </c>
      <c r="G299">
        <v>1088347594</v>
      </c>
      <c r="H299" t="s">
        <v>644</v>
      </c>
      <c r="I299" t="s">
        <v>645</v>
      </c>
      <c r="J299" t="s">
        <v>20</v>
      </c>
      <c r="K299" t="s">
        <v>21</v>
      </c>
      <c r="L299" s="14">
        <v>46184</v>
      </c>
      <c r="M299">
        <v>64</v>
      </c>
      <c r="N299" t="s">
        <v>22</v>
      </c>
      <c r="O299" t="s">
        <v>22</v>
      </c>
      <c r="P299" s="14">
        <v>46086</v>
      </c>
      <c r="Q299" t="s">
        <v>23</v>
      </c>
      <c r="R299" s="7">
        <f>IFERROR(VLOOKUP(Tabla1[[#This Row],[Número de documento del contacto]],'Resoluciones 1 (Res)'!$A:$C,2,0),"")</f>
        <v>7518</v>
      </c>
      <c r="S299" s="11">
        <f>IFERROR(VLOOKUP(Tabla1[[#This Row],[Número de documento del contacto]],'Resoluciones 1 (Res)'!$A:$C,3,0),"")</f>
        <v>46184.606747685197</v>
      </c>
      <c r="T299" s="7" t="str">
        <f>IFERROR(VLOOKUP(Tabla1[[#This Row],[Número de documento del contacto]],'Resoluciones 2 (Req)'!$B:$E,3,0),"")</f>
        <v>11991</v>
      </c>
      <c r="U299" s="7" t="str">
        <f t="shared" si="15"/>
        <v>8 de abril de 2026</v>
      </c>
      <c r="V299" s="7" t="str">
        <f t="shared" si="16"/>
        <v>5 de marzo de 2026</v>
      </c>
      <c r="W299" s="8" t="str">
        <f>"1-" &amp; ROWS($W$2:W299) &amp; ".pdf"</f>
        <v>1-298.pdf</v>
      </c>
      <c r="X299" s="7" t="str">
        <f>Tabla1[[#This Row],[Número de documento del contacto]]&amp;"-"&amp;Tabla1[[#This Row],[Número de resolución de archivo]]&amp;".pdf"</f>
        <v>1088347594-7518.pdf</v>
      </c>
      <c r="Y299" s="7" t="str">
        <f t="shared" si="17"/>
        <v>ren "1-298.pdf" "1088347594-7518.pdf"</v>
      </c>
      <c r="Z299" s="7" t="str">
        <f>Tabla1[[#This Row],[Número de documento del contacto]]&amp;"_"&amp;Tabla1[[#This Row],[Número de resolución de archivo]]&amp;".pdf"</f>
        <v>1088347594_7518.pdf</v>
      </c>
      <c r="AA299" s="7" t="s">
        <v>49</v>
      </c>
      <c r="AB299" s="7" t="str">
        <f>Tabla1[[#This Row],[Nombre PDF / cedula + num resolucion]]&amp;";"&amp;Tabla1[[#This Row],[instructivo]]</f>
        <v>1088347594_7518.pdf;10. Instructivo_Radicar_Activación_Credencial_DIGITAL_SIRNA.pdf</v>
      </c>
      <c r="AC299" s="7" t="str">
        <f>Tabla1[[#This Row],[Número de resolución de archivo]]&amp;"_"&amp;Tabla1[[#This Row],[Número de documento del contacto]]</f>
        <v>7518_1088347594</v>
      </c>
    </row>
    <row r="300" spans="1:29" x14ac:dyDescent="0.25">
      <c r="A300">
        <v>15004</v>
      </c>
      <c r="B300" t="s">
        <v>14</v>
      </c>
      <c r="C300" t="s">
        <v>15</v>
      </c>
      <c r="D300" t="s">
        <v>16</v>
      </c>
      <c r="E300" t="s">
        <v>17</v>
      </c>
      <c r="F300" s="14">
        <v>46120</v>
      </c>
      <c r="G300">
        <v>1092362829</v>
      </c>
      <c r="H300" t="s">
        <v>646</v>
      </c>
      <c r="I300" t="s">
        <v>647</v>
      </c>
      <c r="J300" t="s">
        <v>20</v>
      </c>
      <c r="K300" t="s">
        <v>21</v>
      </c>
      <c r="L300" s="14">
        <v>46184</v>
      </c>
      <c r="M300">
        <v>64</v>
      </c>
      <c r="N300" t="s">
        <v>22</v>
      </c>
      <c r="O300" t="s">
        <v>22</v>
      </c>
      <c r="P300" s="14">
        <v>46091</v>
      </c>
      <c r="Q300" t="s">
        <v>23</v>
      </c>
      <c r="R300" s="7">
        <f>IFERROR(VLOOKUP(Tabla1[[#This Row],[Número de documento del contacto]],'Resoluciones 1 (Res)'!$A:$C,2,0),"")</f>
        <v>7706</v>
      </c>
      <c r="S300" s="11">
        <f>IFERROR(VLOOKUP(Tabla1[[#This Row],[Número de documento del contacto]],'Resoluciones 1 (Res)'!$A:$C,3,0),"")</f>
        <v>46184.606747685197</v>
      </c>
      <c r="T300" s="7" t="str">
        <f>IFERROR(VLOOKUP(Tabla1[[#This Row],[Número de documento del contacto]],'Resoluciones 2 (Req)'!$B:$E,3,0),"")</f>
        <v>12081</v>
      </c>
      <c r="U300" s="7" t="str">
        <f t="shared" si="15"/>
        <v>8 de abril de 2026</v>
      </c>
      <c r="V300" s="7" t="str">
        <f t="shared" si="16"/>
        <v>10 de marzo de 2026</v>
      </c>
      <c r="W300" s="8" t="str">
        <f>"1-" &amp; ROWS($W$2:W300) &amp; ".pdf"</f>
        <v>1-299.pdf</v>
      </c>
      <c r="X300" s="7" t="str">
        <f>Tabla1[[#This Row],[Número de documento del contacto]]&amp;"-"&amp;Tabla1[[#This Row],[Número de resolución de archivo]]&amp;".pdf"</f>
        <v>1092362829-7706.pdf</v>
      </c>
      <c r="Y300" s="7" t="str">
        <f t="shared" si="17"/>
        <v>ren "1-299.pdf" "1092362829-7706.pdf"</v>
      </c>
      <c r="Z300" s="7" t="str">
        <f>Tabla1[[#This Row],[Número de documento del contacto]]&amp;"_"&amp;Tabla1[[#This Row],[Número de resolución de archivo]]&amp;".pdf"</f>
        <v>1092362829_7706.pdf</v>
      </c>
      <c r="AA300" s="7" t="s">
        <v>49</v>
      </c>
      <c r="AB300" s="7" t="str">
        <f>Tabla1[[#This Row],[Nombre PDF / cedula + num resolucion]]&amp;";"&amp;Tabla1[[#This Row],[instructivo]]</f>
        <v>1092362829_7706.pdf;10. Instructivo_Radicar_Activación_Credencial_DIGITAL_SIRNA.pdf</v>
      </c>
      <c r="AC300" s="7" t="str">
        <f>Tabla1[[#This Row],[Número de resolución de archivo]]&amp;"_"&amp;Tabla1[[#This Row],[Número de documento del contacto]]</f>
        <v>7706_1092362829</v>
      </c>
    </row>
    <row r="301" spans="1:29" x14ac:dyDescent="0.25">
      <c r="A301">
        <v>14674</v>
      </c>
      <c r="B301" t="s">
        <v>14</v>
      </c>
      <c r="C301" t="s">
        <v>15</v>
      </c>
      <c r="D301" t="s">
        <v>16</v>
      </c>
      <c r="E301" t="s">
        <v>17</v>
      </c>
      <c r="F301" s="14">
        <v>46120</v>
      </c>
      <c r="G301">
        <v>1094247892</v>
      </c>
      <c r="H301" t="s">
        <v>648</v>
      </c>
      <c r="I301" t="s">
        <v>649</v>
      </c>
      <c r="J301" t="s">
        <v>20</v>
      </c>
      <c r="K301" t="s">
        <v>21</v>
      </c>
      <c r="L301" s="14">
        <v>46184</v>
      </c>
      <c r="M301">
        <v>64</v>
      </c>
      <c r="N301" t="s">
        <v>22</v>
      </c>
      <c r="O301" t="s">
        <v>22</v>
      </c>
      <c r="P301" s="14">
        <v>46088</v>
      </c>
      <c r="Q301" t="s">
        <v>23</v>
      </c>
      <c r="R301" s="7">
        <f>IFERROR(VLOOKUP(Tabla1[[#This Row],[Número de documento del contacto]],'Resoluciones 1 (Res)'!$A:$C,2,0),"")</f>
        <v>7486</v>
      </c>
      <c r="S301" s="11">
        <f>IFERROR(VLOOKUP(Tabla1[[#This Row],[Número de documento del contacto]],'Resoluciones 1 (Res)'!$A:$C,3,0),"")</f>
        <v>46184.606747685197</v>
      </c>
      <c r="T301" s="7" t="str">
        <f>IFERROR(VLOOKUP(Tabla1[[#This Row],[Número de documento del contacto]],'Resoluciones 2 (Req)'!$B:$E,3,0),"")</f>
        <v>11993</v>
      </c>
      <c r="U301" s="7" t="str">
        <f t="shared" si="15"/>
        <v>8 de abril de 2026</v>
      </c>
      <c r="V301" s="7" t="str">
        <f t="shared" si="16"/>
        <v>7 de marzo de 2026</v>
      </c>
      <c r="W301" s="8" t="str">
        <f>"1-" &amp; ROWS($W$2:W301) &amp; ".pdf"</f>
        <v>1-300.pdf</v>
      </c>
      <c r="X301" s="7" t="str">
        <f>Tabla1[[#This Row],[Número de documento del contacto]]&amp;"-"&amp;Tabla1[[#This Row],[Número de resolución de archivo]]&amp;".pdf"</f>
        <v>1094247892-7486.pdf</v>
      </c>
      <c r="Y301" s="7" t="str">
        <f t="shared" si="17"/>
        <v>ren "1-300.pdf" "1094247892-7486.pdf"</v>
      </c>
      <c r="Z301" s="7" t="str">
        <f>Tabla1[[#This Row],[Número de documento del contacto]]&amp;"_"&amp;Tabla1[[#This Row],[Número de resolución de archivo]]&amp;".pdf"</f>
        <v>1094247892_7486.pdf</v>
      </c>
      <c r="AA301" s="7" t="s">
        <v>49</v>
      </c>
      <c r="AB301" s="7" t="str">
        <f>Tabla1[[#This Row],[Nombre PDF / cedula + num resolucion]]&amp;";"&amp;Tabla1[[#This Row],[instructivo]]</f>
        <v>1094247892_7486.pdf;10. Instructivo_Radicar_Activación_Credencial_DIGITAL_SIRNA.pdf</v>
      </c>
      <c r="AC301" s="7" t="str">
        <f>Tabla1[[#This Row],[Número de resolución de archivo]]&amp;"_"&amp;Tabla1[[#This Row],[Número de documento del contacto]]</f>
        <v>7486_1094247892</v>
      </c>
    </row>
    <row r="302" spans="1:29" x14ac:dyDescent="0.25">
      <c r="A302">
        <v>14643</v>
      </c>
      <c r="B302" t="s">
        <v>14</v>
      </c>
      <c r="C302" t="s">
        <v>15</v>
      </c>
      <c r="D302" t="s">
        <v>16</v>
      </c>
      <c r="E302" t="s">
        <v>17</v>
      </c>
      <c r="F302" s="14">
        <v>46120</v>
      </c>
      <c r="G302">
        <v>1096213927</v>
      </c>
      <c r="H302" t="s">
        <v>650</v>
      </c>
      <c r="I302" t="s">
        <v>651</v>
      </c>
      <c r="J302" t="s">
        <v>20</v>
      </c>
      <c r="K302" t="s">
        <v>21</v>
      </c>
      <c r="L302" s="14">
        <v>46184</v>
      </c>
      <c r="M302">
        <v>64</v>
      </c>
      <c r="N302" t="s">
        <v>22</v>
      </c>
      <c r="O302" t="s">
        <v>22</v>
      </c>
      <c r="P302" s="14">
        <v>46088</v>
      </c>
      <c r="Q302" t="s">
        <v>23</v>
      </c>
      <c r="R302" s="7">
        <f>IFERROR(VLOOKUP(Tabla1[[#This Row],[Número de documento del contacto]],'Resoluciones 1 (Res)'!$A:$C,2,0),"")</f>
        <v>7457</v>
      </c>
      <c r="S302" s="11">
        <f>IFERROR(VLOOKUP(Tabla1[[#This Row],[Número de documento del contacto]],'Resoluciones 1 (Res)'!$A:$C,3,0),"")</f>
        <v>46184.606747685197</v>
      </c>
      <c r="T302" s="7" t="str">
        <f>IFERROR(VLOOKUP(Tabla1[[#This Row],[Número de documento del contacto]],'Resoluciones 2 (Req)'!$B:$E,3,0),"")</f>
        <v>11994</v>
      </c>
      <c r="U302" s="7" t="str">
        <f t="shared" si="15"/>
        <v>8 de abril de 2026</v>
      </c>
      <c r="V302" s="7" t="str">
        <f t="shared" si="16"/>
        <v>7 de marzo de 2026</v>
      </c>
      <c r="W302" s="8" t="str">
        <f>"1-" &amp; ROWS($W$2:W302) &amp; ".pdf"</f>
        <v>1-301.pdf</v>
      </c>
      <c r="X302" s="7" t="str">
        <f>Tabla1[[#This Row],[Número de documento del contacto]]&amp;"-"&amp;Tabla1[[#This Row],[Número de resolución de archivo]]&amp;".pdf"</f>
        <v>1096213927-7457.pdf</v>
      </c>
      <c r="Y302" s="7" t="str">
        <f t="shared" si="17"/>
        <v>ren "1-301.pdf" "1096213927-7457.pdf"</v>
      </c>
      <c r="Z302" s="7" t="str">
        <f>Tabla1[[#This Row],[Número de documento del contacto]]&amp;"_"&amp;Tabla1[[#This Row],[Número de resolución de archivo]]&amp;".pdf"</f>
        <v>1096213927_7457.pdf</v>
      </c>
      <c r="AA302" s="7" t="s">
        <v>49</v>
      </c>
      <c r="AB302" s="7" t="str">
        <f>Tabla1[[#This Row],[Nombre PDF / cedula + num resolucion]]&amp;";"&amp;Tabla1[[#This Row],[instructivo]]</f>
        <v>1096213927_7457.pdf;10. Instructivo_Radicar_Activación_Credencial_DIGITAL_SIRNA.pdf</v>
      </c>
      <c r="AC302" s="7" t="str">
        <f>Tabla1[[#This Row],[Número de resolución de archivo]]&amp;"_"&amp;Tabla1[[#This Row],[Número de documento del contacto]]</f>
        <v>7457_1096213927</v>
      </c>
    </row>
    <row r="303" spans="1:29" x14ac:dyDescent="0.25">
      <c r="A303">
        <v>15282</v>
      </c>
      <c r="B303" t="s">
        <v>14</v>
      </c>
      <c r="C303" t="s">
        <v>15</v>
      </c>
      <c r="D303" t="s">
        <v>16</v>
      </c>
      <c r="E303" t="s">
        <v>17</v>
      </c>
      <c r="F303" s="14">
        <v>46120</v>
      </c>
      <c r="G303">
        <v>1096241811</v>
      </c>
      <c r="H303" t="s">
        <v>652</v>
      </c>
      <c r="I303" t="s">
        <v>653</v>
      </c>
      <c r="J303" t="s">
        <v>20</v>
      </c>
      <c r="K303" t="s">
        <v>21</v>
      </c>
      <c r="L303" s="14">
        <v>46184</v>
      </c>
      <c r="M303">
        <v>64</v>
      </c>
      <c r="N303" t="s">
        <v>22</v>
      </c>
      <c r="O303" t="s">
        <v>22</v>
      </c>
      <c r="P303" s="14">
        <v>46092</v>
      </c>
      <c r="Q303" t="s">
        <v>23</v>
      </c>
      <c r="R303" s="7">
        <f>IFERROR(VLOOKUP(Tabla1[[#This Row],[Número de documento del contacto]],'Resoluciones 1 (Res)'!$A:$C,2,0),"")</f>
        <v>7714</v>
      </c>
      <c r="S303" s="11">
        <f>IFERROR(VLOOKUP(Tabla1[[#This Row],[Número de documento del contacto]],'Resoluciones 1 (Res)'!$A:$C,3,0),"")</f>
        <v>46184.606747685197</v>
      </c>
      <c r="T303" s="7" t="str">
        <f>IFERROR(VLOOKUP(Tabla1[[#This Row],[Número de documento del contacto]],'Resoluciones 2 (Req)'!$B:$E,3,0),"")</f>
        <v>12083</v>
      </c>
      <c r="U303" s="7" t="str">
        <f t="shared" si="15"/>
        <v>8 de abril de 2026</v>
      </c>
      <c r="V303" s="7" t="str">
        <f t="shared" si="16"/>
        <v>11 de marzo de 2026</v>
      </c>
      <c r="W303" s="8" t="str">
        <f>"1-" &amp; ROWS($W$2:W303) &amp; ".pdf"</f>
        <v>1-302.pdf</v>
      </c>
      <c r="X303" s="7" t="str">
        <f>Tabla1[[#This Row],[Número de documento del contacto]]&amp;"-"&amp;Tabla1[[#This Row],[Número de resolución de archivo]]&amp;".pdf"</f>
        <v>1096241811-7714.pdf</v>
      </c>
      <c r="Y303" s="7" t="str">
        <f t="shared" si="17"/>
        <v>ren "1-302.pdf" "1096241811-7714.pdf"</v>
      </c>
      <c r="Z303" s="7" t="str">
        <f>Tabla1[[#This Row],[Número de documento del contacto]]&amp;"_"&amp;Tabla1[[#This Row],[Número de resolución de archivo]]&amp;".pdf"</f>
        <v>1096241811_7714.pdf</v>
      </c>
      <c r="AA303" s="7" t="s">
        <v>49</v>
      </c>
      <c r="AB303" s="7" t="str">
        <f>Tabla1[[#This Row],[Nombre PDF / cedula + num resolucion]]&amp;";"&amp;Tabla1[[#This Row],[instructivo]]</f>
        <v>1096241811_7714.pdf;10. Instructivo_Radicar_Activación_Credencial_DIGITAL_SIRNA.pdf</v>
      </c>
      <c r="AC303" s="7" t="str">
        <f>Tabla1[[#This Row],[Número de resolución de archivo]]&amp;"_"&amp;Tabla1[[#This Row],[Número de documento del contacto]]</f>
        <v>7714_1096241811</v>
      </c>
    </row>
    <row r="304" spans="1:29" x14ac:dyDescent="0.25">
      <c r="A304">
        <v>14420</v>
      </c>
      <c r="B304" t="s">
        <v>14</v>
      </c>
      <c r="C304" t="s">
        <v>15</v>
      </c>
      <c r="D304" t="s">
        <v>16</v>
      </c>
      <c r="E304" t="s">
        <v>17</v>
      </c>
      <c r="F304" s="14">
        <v>46120</v>
      </c>
      <c r="G304">
        <v>1098668233</v>
      </c>
      <c r="H304" t="s">
        <v>654</v>
      </c>
      <c r="I304" t="s">
        <v>655</v>
      </c>
      <c r="J304" t="s">
        <v>20</v>
      </c>
      <c r="K304" t="s">
        <v>21</v>
      </c>
      <c r="L304" s="14">
        <v>46184</v>
      </c>
      <c r="M304">
        <v>64</v>
      </c>
      <c r="N304" t="s">
        <v>22</v>
      </c>
      <c r="O304" t="s">
        <v>22</v>
      </c>
      <c r="P304" s="14">
        <v>46086</v>
      </c>
      <c r="Q304" t="s">
        <v>23</v>
      </c>
      <c r="R304" s="7">
        <f>IFERROR(VLOOKUP(Tabla1[[#This Row],[Número de documento del contacto]],'Resoluciones 1 (Res)'!$A:$C,2,0),"")</f>
        <v>7541</v>
      </c>
      <c r="S304" s="11">
        <f>IFERROR(VLOOKUP(Tabla1[[#This Row],[Número de documento del contacto]],'Resoluciones 1 (Res)'!$A:$C,3,0),"")</f>
        <v>46184.606747685197</v>
      </c>
      <c r="T304" s="7" t="str">
        <f>IFERROR(VLOOKUP(Tabla1[[#This Row],[Número de documento del contacto]],'Resoluciones 2 (Req)'!$B:$E,3,0),"")</f>
        <v>11995</v>
      </c>
      <c r="U304" s="7" t="str">
        <f t="shared" si="15"/>
        <v>8 de abril de 2026</v>
      </c>
      <c r="V304" s="7" t="str">
        <f t="shared" si="16"/>
        <v>5 de marzo de 2026</v>
      </c>
      <c r="W304" s="8" t="str">
        <f>"1-" &amp; ROWS($W$2:W304) &amp; ".pdf"</f>
        <v>1-303.pdf</v>
      </c>
      <c r="X304" s="7" t="str">
        <f>Tabla1[[#This Row],[Número de documento del contacto]]&amp;"-"&amp;Tabla1[[#This Row],[Número de resolución de archivo]]&amp;".pdf"</f>
        <v>1098668233-7541.pdf</v>
      </c>
      <c r="Y304" s="7" t="str">
        <f t="shared" si="17"/>
        <v>ren "1-303.pdf" "1098668233-7541.pdf"</v>
      </c>
      <c r="Z304" s="7" t="str">
        <f>Tabla1[[#This Row],[Número de documento del contacto]]&amp;"_"&amp;Tabla1[[#This Row],[Número de resolución de archivo]]&amp;".pdf"</f>
        <v>1098668233_7541.pdf</v>
      </c>
      <c r="AA304" s="7" t="s">
        <v>49</v>
      </c>
      <c r="AB304" s="7" t="str">
        <f>Tabla1[[#This Row],[Nombre PDF / cedula + num resolucion]]&amp;";"&amp;Tabla1[[#This Row],[instructivo]]</f>
        <v>1098668233_7541.pdf;10. Instructivo_Radicar_Activación_Credencial_DIGITAL_SIRNA.pdf</v>
      </c>
      <c r="AC304" s="7" t="str">
        <f>Tabla1[[#This Row],[Número de resolución de archivo]]&amp;"_"&amp;Tabla1[[#This Row],[Número de documento del contacto]]</f>
        <v>7541_1098668233</v>
      </c>
    </row>
    <row r="305" spans="1:29" x14ac:dyDescent="0.25">
      <c r="A305">
        <v>14305</v>
      </c>
      <c r="B305" t="s">
        <v>14</v>
      </c>
      <c r="C305" t="s">
        <v>15</v>
      </c>
      <c r="D305" t="s">
        <v>16</v>
      </c>
      <c r="E305" t="s">
        <v>17</v>
      </c>
      <c r="F305" s="14">
        <v>46120</v>
      </c>
      <c r="G305">
        <v>1100954938</v>
      </c>
      <c r="H305" t="s">
        <v>656</v>
      </c>
      <c r="I305" t="s">
        <v>657</v>
      </c>
      <c r="J305" t="s">
        <v>20</v>
      </c>
      <c r="K305" t="s">
        <v>21</v>
      </c>
      <c r="L305" s="14">
        <v>46184</v>
      </c>
      <c r="M305">
        <v>64</v>
      </c>
      <c r="N305" t="s">
        <v>22</v>
      </c>
      <c r="O305" t="s">
        <v>22</v>
      </c>
      <c r="P305" s="14">
        <v>46086</v>
      </c>
      <c r="Q305" t="s">
        <v>23</v>
      </c>
      <c r="R305" s="7">
        <f>IFERROR(VLOOKUP(Tabla1[[#This Row],[Número de documento del contacto]],'Resoluciones 1 (Res)'!$A:$C,2,0),"")</f>
        <v>7699</v>
      </c>
      <c r="S305" s="11">
        <f>IFERROR(VLOOKUP(Tabla1[[#This Row],[Número de documento del contacto]],'Resoluciones 1 (Res)'!$A:$C,3,0),"")</f>
        <v>46184.606747685197</v>
      </c>
      <c r="T305" s="7" t="str">
        <f>IFERROR(VLOOKUP(Tabla1[[#This Row],[Número de documento del contacto]],'Resoluciones 2 (Req)'!$B:$E,3,0),"")</f>
        <v>11996</v>
      </c>
      <c r="U305" s="7" t="str">
        <f t="shared" si="15"/>
        <v>8 de abril de 2026</v>
      </c>
      <c r="V305" s="7" t="str">
        <f t="shared" si="16"/>
        <v>5 de marzo de 2026</v>
      </c>
      <c r="W305" s="8" t="str">
        <f>"1-" &amp; ROWS($W$2:W305) &amp; ".pdf"</f>
        <v>1-304.pdf</v>
      </c>
      <c r="X305" s="7" t="str">
        <f>Tabla1[[#This Row],[Número de documento del contacto]]&amp;"-"&amp;Tabla1[[#This Row],[Número de resolución de archivo]]&amp;".pdf"</f>
        <v>1100954938-7699.pdf</v>
      </c>
      <c r="Y305" s="7" t="str">
        <f t="shared" si="17"/>
        <v>ren "1-304.pdf" "1100954938-7699.pdf"</v>
      </c>
      <c r="Z305" s="7" t="str">
        <f>Tabla1[[#This Row],[Número de documento del contacto]]&amp;"_"&amp;Tabla1[[#This Row],[Número de resolución de archivo]]&amp;".pdf"</f>
        <v>1100954938_7699.pdf</v>
      </c>
      <c r="AA305" s="7" t="s">
        <v>49</v>
      </c>
      <c r="AB305" s="7" t="str">
        <f>Tabla1[[#This Row],[Nombre PDF / cedula + num resolucion]]&amp;";"&amp;Tabla1[[#This Row],[instructivo]]</f>
        <v>1100954938_7699.pdf;10. Instructivo_Radicar_Activación_Credencial_DIGITAL_SIRNA.pdf</v>
      </c>
      <c r="AC305" s="7" t="str">
        <f>Tabla1[[#This Row],[Número de resolución de archivo]]&amp;"_"&amp;Tabla1[[#This Row],[Número de documento del contacto]]</f>
        <v>7699_1100954938</v>
      </c>
    </row>
    <row r="306" spans="1:29" x14ac:dyDescent="0.25">
      <c r="A306">
        <v>15006</v>
      </c>
      <c r="B306" t="s">
        <v>14</v>
      </c>
      <c r="C306" t="s">
        <v>15</v>
      </c>
      <c r="D306" t="s">
        <v>16</v>
      </c>
      <c r="E306" t="s">
        <v>17</v>
      </c>
      <c r="F306" s="14">
        <v>46120</v>
      </c>
      <c r="G306">
        <v>1107034607</v>
      </c>
      <c r="H306" t="s">
        <v>658</v>
      </c>
      <c r="I306" t="s">
        <v>659</v>
      </c>
      <c r="J306" t="s">
        <v>20</v>
      </c>
      <c r="K306" t="s">
        <v>21</v>
      </c>
      <c r="L306" s="14">
        <v>46184</v>
      </c>
      <c r="M306">
        <v>64</v>
      </c>
      <c r="N306" t="s">
        <v>22</v>
      </c>
      <c r="O306" t="s">
        <v>22</v>
      </c>
      <c r="P306" s="14">
        <v>46091</v>
      </c>
      <c r="Q306" t="s">
        <v>23</v>
      </c>
      <c r="R306" s="7">
        <f>IFERROR(VLOOKUP(Tabla1[[#This Row],[Número de documento del contacto]],'Resoluciones 1 (Res)'!$A:$C,2,0),"")</f>
        <v>7495</v>
      </c>
      <c r="S306" s="11">
        <f>IFERROR(VLOOKUP(Tabla1[[#This Row],[Número de documento del contacto]],'Resoluciones 1 (Res)'!$A:$C,3,0),"")</f>
        <v>46184.606747685197</v>
      </c>
      <c r="T306" s="7" t="str">
        <f>IFERROR(VLOOKUP(Tabla1[[#This Row],[Número de documento del contacto]],'Resoluciones 2 (Req)'!$B:$E,3,0),"")</f>
        <v>12084</v>
      </c>
      <c r="U306" s="7" t="str">
        <f t="shared" si="15"/>
        <v>8 de abril de 2026</v>
      </c>
      <c r="V306" s="7" t="str">
        <f t="shared" si="16"/>
        <v>10 de marzo de 2026</v>
      </c>
      <c r="W306" s="8" t="str">
        <f>"1-" &amp; ROWS($W$2:W306) &amp; ".pdf"</f>
        <v>1-305.pdf</v>
      </c>
      <c r="X306" s="7" t="str">
        <f>Tabla1[[#This Row],[Número de documento del contacto]]&amp;"-"&amp;Tabla1[[#This Row],[Número de resolución de archivo]]&amp;".pdf"</f>
        <v>1107034607-7495.pdf</v>
      </c>
      <c r="Y306" s="7" t="str">
        <f t="shared" si="17"/>
        <v>ren "1-305.pdf" "1107034607-7495.pdf"</v>
      </c>
      <c r="Z306" s="7" t="str">
        <f>Tabla1[[#This Row],[Número de documento del contacto]]&amp;"_"&amp;Tabla1[[#This Row],[Número de resolución de archivo]]&amp;".pdf"</f>
        <v>1107034607_7495.pdf</v>
      </c>
      <c r="AA306" s="7" t="s">
        <v>49</v>
      </c>
      <c r="AB306" s="7" t="str">
        <f>Tabla1[[#This Row],[Nombre PDF / cedula + num resolucion]]&amp;";"&amp;Tabla1[[#This Row],[instructivo]]</f>
        <v>1107034607_7495.pdf;10. Instructivo_Radicar_Activación_Credencial_DIGITAL_SIRNA.pdf</v>
      </c>
      <c r="AC306" s="7" t="str">
        <f>Tabla1[[#This Row],[Número de resolución de archivo]]&amp;"_"&amp;Tabla1[[#This Row],[Número de documento del contacto]]</f>
        <v>7495_1107034607</v>
      </c>
    </row>
    <row r="307" spans="1:29" x14ac:dyDescent="0.25">
      <c r="A307">
        <v>15226</v>
      </c>
      <c r="B307" t="s">
        <v>14</v>
      </c>
      <c r="C307" t="s">
        <v>15</v>
      </c>
      <c r="D307" t="s">
        <v>16</v>
      </c>
      <c r="E307" t="s">
        <v>17</v>
      </c>
      <c r="F307" s="14">
        <v>46120</v>
      </c>
      <c r="G307">
        <v>1107058576</v>
      </c>
      <c r="H307" t="s">
        <v>660</v>
      </c>
      <c r="I307" t="s">
        <v>661</v>
      </c>
      <c r="J307" t="s">
        <v>20</v>
      </c>
      <c r="K307" t="s">
        <v>21</v>
      </c>
      <c r="L307" s="14">
        <v>46184</v>
      </c>
      <c r="M307">
        <v>64</v>
      </c>
      <c r="N307" t="s">
        <v>22</v>
      </c>
      <c r="O307" t="s">
        <v>22</v>
      </c>
      <c r="P307" s="14">
        <v>46092</v>
      </c>
      <c r="Q307" t="s">
        <v>23</v>
      </c>
      <c r="R307" s="7">
        <f>IFERROR(VLOOKUP(Tabla1[[#This Row],[Número de documento del contacto]],'Resoluciones 1 (Res)'!$A:$C,2,0),"")</f>
        <v>7571</v>
      </c>
      <c r="S307" s="11">
        <f>IFERROR(VLOOKUP(Tabla1[[#This Row],[Número de documento del contacto]],'Resoluciones 1 (Res)'!$A:$C,3,0),"")</f>
        <v>46184.606747685197</v>
      </c>
      <c r="T307" s="7" t="str">
        <f>IFERROR(VLOOKUP(Tabla1[[#This Row],[Número de documento del contacto]],'Resoluciones 2 (Req)'!$B:$E,3,0),"")</f>
        <v>12085</v>
      </c>
      <c r="U307" s="7" t="str">
        <f t="shared" si="15"/>
        <v>8 de abril de 2026</v>
      </c>
      <c r="V307" s="7" t="str">
        <f t="shared" si="16"/>
        <v>11 de marzo de 2026</v>
      </c>
      <c r="W307" s="8" t="str">
        <f>"1-" &amp; ROWS($W$2:W307) &amp; ".pdf"</f>
        <v>1-306.pdf</v>
      </c>
      <c r="X307" s="7" t="str">
        <f>Tabla1[[#This Row],[Número de documento del contacto]]&amp;"-"&amp;Tabla1[[#This Row],[Número de resolución de archivo]]&amp;".pdf"</f>
        <v>1107058576-7571.pdf</v>
      </c>
      <c r="Y307" s="7" t="str">
        <f t="shared" si="17"/>
        <v>ren "1-306.pdf" "1107058576-7571.pdf"</v>
      </c>
      <c r="Z307" s="7" t="str">
        <f>Tabla1[[#This Row],[Número de documento del contacto]]&amp;"_"&amp;Tabla1[[#This Row],[Número de resolución de archivo]]&amp;".pdf"</f>
        <v>1107058576_7571.pdf</v>
      </c>
      <c r="AA307" s="7" t="s">
        <v>49</v>
      </c>
      <c r="AB307" s="7" t="str">
        <f>Tabla1[[#This Row],[Nombre PDF / cedula + num resolucion]]&amp;";"&amp;Tabla1[[#This Row],[instructivo]]</f>
        <v>1107058576_7571.pdf;10. Instructivo_Radicar_Activación_Credencial_DIGITAL_SIRNA.pdf</v>
      </c>
      <c r="AC307" s="7" t="str">
        <f>Tabla1[[#This Row],[Número de resolución de archivo]]&amp;"_"&amp;Tabla1[[#This Row],[Número de documento del contacto]]</f>
        <v>7571_1107058576</v>
      </c>
    </row>
    <row r="308" spans="1:29" x14ac:dyDescent="0.25">
      <c r="A308">
        <v>15111</v>
      </c>
      <c r="B308" t="s">
        <v>14</v>
      </c>
      <c r="C308" t="s">
        <v>15</v>
      </c>
      <c r="D308" t="s">
        <v>16</v>
      </c>
      <c r="E308" t="s">
        <v>17</v>
      </c>
      <c r="F308" s="14">
        <v>46120</v>
      </c>
      <c r="G308">
        <v>1110466829</v>
      </c>
      <c r="H308" t="s">
        <v>662</v>
      </c>
      <c r="I308" t="s">
        <v>663</v>
      </c>
      <c r="J308" t="s">
        <v>20</v>
      </c>
      <c r="K308" t="s">
        <v>21</v>
      </c>
      <c r="L308" s="14">
        <v>46184</v>
      </c>
      <c r="M308">
        <v>64</v>
      </c>
      <c r="N308" t="s">
        <v>22</v>
      </c>
      <c r="O308" t="s">
        <v>22</v>
      </c>
      <c r="P308" s="14">
        <v>46091</v>
      </c>
      <c r="Q308" t="s">
        <v>23</v>
      </c>
      <c r="R308" s="7">
        <f>IFERROR(VLOOKUP(Tabla1[[#This Row],[Número de documento del contacto]],'Resoluciones 1 (Res)'!$A:$C,2,0),"")</f>
        <v>7739</v>
      </c>
      <c r="S308" s="11">
        <f>IFERROR(VLOOKUP(Tabla1[[#This Row],[Número de documento del contacto]],'Resoluciones 1 (Res)'!$A:$C,3,0),"")</f>
        <v>46184.606747685197</v>
      </c>
      <c r="T308" s="7" t="str">
        <f>IFERROR(VLOOKUP(Tabla1[[#This Row],[Número de documento del contacto]],'Resoluciones 2 (Req)'!$B:$E,3,0),"")</f>
        <v>12086</v>
      </c>
      <c r="U308" s="7" t="str">
        <f t="shared" si="15"/>
        <v>8 de abril de 2026</v>
      </c>
      <c r="V308" s="7" t="str">
        <f t="shared" si="16"/>
        <v>10 de marzo de 2026</v>
      </c>
      <c r="W308" s="8" t="str">
        <f>"1-" &amp; ROWS($W$2:W308) &amp; ".pdf"</f>
        <v>1-307.pdf</v>
      </c>
      <c r="X308" s="7" t="str">
        <f>Tabla1[[#This Row],[Número de documento del contacto]]&amp;"-"&amp;Tabla1[[#This Row],[Número de resolución de archivo]]&amp;".pdf"</f>
        <v>1110466829-7739.pdf</v>
      </c>
      <c r="Y308" s="7" t="str">
        <f t="shared" si="17"/>
        <v>ren "1-307.pdf" "1110466829-7739.pdf"</v>
      </c>
      <c r="Z308" s="7" t="str">
        <f>Tabla1[[#This Row],[Número de documento del contacto]]&amp;"_"&amp;Tabla1[[#This Row],[Número de resolución de archivo]]&amp;".pdf"</f>
        <v>1110466829_7739.pdf</v>
      </c>
      <c r="AA308" s="7" t="s">
        <v>49</v>
      </c>
      <c r="AB308" s="7" t="str">
        <f>Tabla1[[#This Row],[Nombre PDF / cedula + num resolucion]]&amp;";"&amp;Tabla1[[#This Row],[instructivo]]</f>
        <v>1110466829_7739.pdf;10. Instructivo_Radicar_Activación_Credencial_DIGITAL_SIRNA.pdf</v>
      </c>
      <c r="AC308" s="7" t="str">
        <f>Tabla1[[#This Row],[Número de resolución de archivo]]&amp;"_"&amp;Tabla1[[#This Row],[Número de documento del contacto]]</f>
        <v>7739_1110466829</v>
      </c>
    </row>
    <row r="309" spans="1:29" x14ac:dyDescent="0.25">
      <c r="A309">
        <v>14569</v>
      </c>
      <c r="B309" t="s">
        <v>14</v>
      </c>
      <c r="C309" t="s">
        <v>15</v>
      </c>
      <c r="D309" t="s">
        <v>16</v>
      </c>
      <c r="E309" t="s">
        <v>17</v>
      </c>
      <c r="F309" s="14">
        <v>46120</v>
      </c>
      <c r="G309">
        <v>1116873414</v>
      </c>
      <c r="H309" t="s">
        <v>664</v>
      </c>
      <c r="I309" t="s">
        <v>665</v>
      </c>
      <c r="J309" t="s">
        <v>20</v>
      </c>
      <c r="K309" t="s">
        <v>21</v>
      </c>
      <c r="L309" s="14">
        <v>46184</v>
      </c>
      <c r="M309">
        <v>64</v>
      </c>
      <c r="N309" t="s">
        <v>22</v>
      </c>
      <c r="O309" t="s">
        <v>22</v>
      </c>
      <c r="P309" s="14">
        <v>46087</v>
      </c>
      <c r="Q309" t="s">
        <v>23</v>
      </c>
      <c r="R309" s="7">
        <f>IFERROR(VLOOKUP(Tabla1[[#This Row],[Número de documento del contacto]],'Resoluciones 1 (Res)'!$A:$C,2,0),"")</f>
        <v>7582</v>
      </c>
      <c r="S309" s="11">
        <f>IFERROR(VLOOKUP(Tabla1[[#This Row],[Número de documento del contacto]],'Resoluciones 1 (Res)'!$A:$C,3,0),"")</f>
        <v>46184.606747685197</v>
      </c>
      <c r="T309" s="7" t="str">
        <f>IFERROR(VLOOKUP(Tabla1[[#This Row],[Número de documento del contacto]],'Resoluciones 2 (Req)'!$B:$E,3,0),"")</f>
        <v>11997</v>
      </c>
      <c r="U309" s="7" t="str">
        <f t="shared" si="15"/>
        <v>8 de abril de 2026</v>
      </c>
      <c r="V309" s="7" t="str">
        <f t="shared" si="16"/>
        <v>6 de marzo de 2026</v>
      </c>
      <c r="W309" s="8" t="str">
        <f>"1-" &amp; ROWS($W$2:W309) &amp; ".pdf"</f>
        <v>1-308.pdf</v>
      </c>
      <c r="X309" s="7" t="str">
        <f>Tabla1[[#This Row],[Número de documento del contacto]]&amp;"-"&amp;Tabla1[[#This Row],[Número de resolución de archivo]]&amp;".pdf"</f>
        <v>1116873414-7582.pdf</v>
      </c>
      <c r="Y309" s="7" t="str">
        <f t="shared" si="17"/>
        <v>ren "1-308.pdf" "1116873414-7582.pdf"</v>
      </c>
      <c r="Z309" s="7" t="str">
        <f>Tabla1[[#This Row],[Número de documento del contacto]]&amp;"_"&amp;Tabla1[[#This Row],[Número de resolución de archivo]]&amp;".pdf"</f>
        <v>1116873414_7582.pdf</v>
      </c>
      <c r="AA309" s="7" t="s">
        <v>49</v>
      </c>
      <c r="AB309" s="7" t="str">
        <f>Tabla1[[#This Row],[Nombre PDF / cedula + num resolucion]]&amp;";"&amp;Tabla1[[#This Row],[instructivo]]</f>
        <v>1116873414_7582.pdf;10. Instructivo_Radicar_Activación_Credencial_DIGITAL_SIRNA.pdf</v>
      </c>
      <c r="AC309" s="7" t="str">
        <f>Tabla1[[#This Row],[Número de resolución de archivo]]&amp;"_"&amp;Tabla1[[#This Row],[Número de documento del contacto]]</f>
        <v>7582_1116873414</v>
      </c>
    </row>
    <row r="310" spans="1:29" x14ac:dyDescent="0.25">
      <c r="A310">
        <v>15338</v>
      </c>
      <c r="B310" t="s">
        <v>14</v>
      </c>
      <c r="C310" t="s">
        <v>15</v>
      </c>
      <c r="D310" t="s">
        <v>16</v>
      </c>
      <c r="E310" t="s">
        <v>17</v>
      </c>
      <c r="F310" s="14">
        <v>46120</v>
      </c>
      <c r="G310">
        <v>1128443360</v>
      </c>
      <c r="H310" t="s">
        <v>666</v>
      </c>
      <c r="I310" t="s">
        <v>667</v>
      </c>
      <c r="J310" t="s">
        <v>20</v>
      </c>
      <c r="K310" t="s">
        <v>21</v>
      </c>
      <c r="L310" s="14">
        <v>46184</v>
      </c>
      <c r="M310">
        <v>64</v>
      </c>
      <c r="N310" t="s">
        <v>22</v>
      </c>
      <c r="O310" t="s">
        <v>22</v>
      </c>
      <c r="P310" s="14">
        <v>46092</v>
      </c>
      <c r="Q310" t="s">
        <v>23</v>
      </c>
      <c r="R310" s="7">
        <f>IFERROR(VLOOKUP(Tabla1[[#This Row],[Número de documento del contacto]],'Resoluciones 1 (Res)'!$A:$C,2,0),"")</f>
        <v>7564</v>
      </c>
      <c r="S310" s="11">
        <f>IFERROR(VLOOKUP(Tabla1[[#This Row],[Número de documento del contacto]],'Resoluciones 1 (Res)'!$A:$C,3,0),"")</f>
        <v>46184.606747685197</v>
      </c>
      <c r="T310" s="7" t="str">
        <f>IFERROR(VLOOKUP(Tabla1[[#This Row],[Número de documento del contacto]],'Resoluciones 2 (Req)'!$B:$E,3,0),"")</f>
        <v>12088</v>
      </c>
      <c r="U310" s="7" t="str">
        <f t="shared" si="15"/>
        <v>8 de abril de 2026</v>
      </c>
      <c r="V310" s="7" t="str">
        <f t="shared" si="16"/>
        <v>11 de marzo de 2026</v>
      </c>
      <c r="W310" s="8" t="str">
        <f>"1-" &amp; ROWS($W$2:W310) &amp; ".pdf"</f>
        <v>1-309.pdf</v>
      </c>
      <c r="X310" s="7" t="str">
        <f>Tabla1[[#This Row],[Número de documento del contacto]]&amp;"-"&amp;Tabla1[[#This Row],[Número de resolución de archivo]]&amp;".pdf"</f>
        <v>1128443360-7564.pdf</v>
      </c>
      <c r="Y310" s="7" t="str">
        <f t="shared" si="17"/>
        <v>ren "1-309.pdf" "1128443360-7564.pdf"</v>
      </c>
      <c r="Z310" s="7" t="str">
        <f>Tabla1[[#This Row],[Número de documento del contacto]]&amp;"_"&amp;Tabla1[[#This Row],[Número de resolución de archivo]]&amp;".pdf"</f>
        <v>1128443360_7564.pdf</v>
      </c>
      <c r="AA310" s="7" t="s">
        <v>49</v>
      </c>
      <c r="AB310" s="7" t="str">
        <f>Tabla1[[#This Row],[Nombre PDF / cedula + num resolucion]]&amp;";"&amp;Tabla1[[#This Row],[instructivo]]</f>
        <v>1128443360_7564.pdf;10. Instructivo_Radicar_Activación_Credencial_DIGITAL_SIRNA.pdf</v>
      </c>
      <c r="AC310" s="7" t="str">
        <f>Tabla1[[#This Row],[Número de resolución de archivo]]&amp;"_"&amp;Tabla1[[#This Row],[Número de documento del contacto]]</f>
        <v>7564_1128443360</v>
      </c>
    </row>
    <row r="311" spans="1:29" x14ac:dyDescent="0.25">
      <c r="A311">
        <v>14636</v>
      </c>
      <c r="B311" t="s">
        <v>14</v>
      </c>
      <c r="C311" t="s">
        <v>15</v>
      </c>
      <c r="D311" t="s">
        <v>16</v>
      </c>
      <c r="E311" t="s">
        <v>17</v>
      </c>
      <c r="F311" s="14">
        <v>46120</v>
      </c>
      <c r="G311">
        <v>1129564497</v>
      </c>
      <c r="H311" t="s">
        <v>668</v>
      </c>
      <c r="I311" t="s">
        <v>669</v>
      </c>
      <c r="J311" t="s">
        <v>20</v>
      </c>
      <c r="K311" t="s">
        <v>21</v>
      </c>
      <c r="L311" s="14">
        <v>46184</v>
      </c>
      <c r="M311">
        <v>64</v>
      </c>
      <c r="N311" t="s">
        <v>22</v>
      </c>
      <c r="O311" t="s">
        <v>22</v>
      </c>
      <c r="P311" s="14">
        <v>46088</v>
      </c>
      <c r="Q311" t="s">
        <v>23</v>
      </c>
      <c r="R311" s="7">
        <f>IFERROR(VLOOKUP(Tabla1[[#This Row],[Número de documento del contacto]],'Resoluciones 1 (Res)'!$A:$C,2,0),"")</f>
        <v>7572</v>
      </c>
      <c r="S311" s="11">
        <f>IFERROR(VLOOKUP(Tabla1[[#This Row],[Número de documento del contacto]],'Resoluciones 1 (Res)'!$A:$C,3,0),"")</f>
        <v>46184.606747685197</v>
      </c>
      <c r="T311" s="7" t="str">
        <f>IFERROR(VLOOKUP(Tabla1[[#This Row],[Número de documento del contacto]],'Resoluciones 2 (Req)'!$B:$E,3,0),"")</f>
        <v>11998</v>
      </c>
      <c r="U311" s="7" t="str">
        <f t="shared" si="15"/>
        <v>8 de abril de 2026</v>
      </c>
      <c r="V311" s="7" t="str">
        <f t="shared" si="16"/>
        <v>7 de marzo de 2026</v>
      </c>
      <c r="W311" s="8" t="str">
        <f>"1-" &amp; ROWS($W$2:W311) &amp; ".pdf"</f>
        <v>1-310.pdf</v>
      </c>
      <c r="X311" s="7" t="str">
        <f>Tabla1[[#This Row],[Número de documento del contacto]]&amp;"-"&amp;Tabla1[[#This Row],[Número de resolución de archivo]]&amp;".pdf"</f>
        <v>1129564497-7572.pdf</v>
      </c>
      <c r="Y311" s="7" t="str">
        <f t="shared" si="17"/>
        <v>ren "1-310.pdf" "1129564497-7572.pdf"</v>
      </c>
      <c r="Z311" s="7" t="str">
        <f>Tabla1[[#This Row],[Número de documento del contacto]]&amp;"_"&amp;Tabla1[[#This Row],[Número de resolución de archivo]]&amp;".pdf"</f>
        <v>1129564497_7572.pdf</v>
      </c>
      <c r="AA311" s="7" t="s">
        <v>49</v>
      </c>
      <c r="AB311" s="7" t="str">
        <f>Tabla1[[#This Row],[Nombre PDF / cedula + num resolucion]]&amp;";"&amp;Tabla1[[#This Row],[instructivo]]</f>
        <v>1129564497_7572.pdf;10. Instructivo_Radicar_Activación_Credencial_DIGITAL_SIRNA.pdf</v>
      </c>
      <c r="AC311" s="7" t="str">
        <f>Tabla1[[#This Row],[Número de resolución de archivo]]&amp;"_"&amp;Tabla1[[#This Row],[Número de documento del contacto]]</f>
        <v>7572_1129564497</v>
      </c>
    </row>
    <row r="312" spans="1:29" x14ac:dyDescent="0.25">
      <c r="A312">
        <v>15026</v>
      </c>
      <c r="B312" t="s">
        <v>14</v>
      </c>
      <c r="C312" t="s">
        <v>15</v>
      </c>
      <c r="D312" t="s">
        <v>16</v>
      </c>
      <c r="E312" t="s">
        <v>17</v>
      </c>
      <c r="F312" s="14">
        <v>46120</v>
      </c>
      <c r="G312">
        <v>1130674198</v>
      </c>
      <c r="H312" t="s">
        <v>670</v>
      </c>
      <c r="I312" t="s">
        <v>671</v>
      </c>
      <c r="J312" t="s">
        <v>20</v>
      </c>
      <c r="K312" t="s">
        <v>21</v>
      </c>
      <c r="L312" s="14">
        <v>46184</v>
      </c>
      <c r="M312">
        <v>64</v>
      </c>
      <c r="N312" t="s">
        <v>22</v>
      </c>
      <c r="O312" t="s">
        <v>22</v>
      </c>
      <c r="P312" s="14">
        <v>46091</v>
      </c>
      <c r="Q312" t="s">
        <v>23</v>
      </c>
      <c r="R312" s="7">
        <f>IFERROR(VLOOKUP(Tabla1[[#This Row],[Número de documento del contacto]],'Resoluciones 1 (Res)'!$A:$C,2,0),"")</f>
        <v>7503</v>
      </c>
      <c r="S312" s="11">
        <f>IFERROR(VLOOKUP(Tabla1[[#This Row],[Número de documento del contacto]],'Resoluciones 1 (Res)'!$A:$C,3,0),"")</f>
        <v>46184.606747685197</v>
      </c>
      <c r="T312" s="7" t="str">
        <f>IFERROR(VLOOKUP(Tabla1[[#This Row],[Número de documento del contacto]],'Resoluciones 2 (Req)'!$B:$E,3,0),"")</f>
        <v>12089</v>
      </c>
      <c r="U312" s="7" t="str">
        <f t="shared" si="15"/>
        <v>8 de abril de 2026</v>
      </c>
      <c r="V312" s="7" t="str">
        <f t="shared" si="16"/>
        <v>10 de marzo de 2026</v>
      </c>
      <c r="W312" s="8" t="str">
        <f>"1-" &amp; ROWS($W$2:W312) &amp; ".pdf"</f>
        <v>1-311.pdf</v>
      </c>
      <c r="X312" s="7" t="str">
        <f>Tabla1[[#This Row],[Número de documento del contacto]]&amp;"-"&amp;Tabla1[[#This Row],[Número de resolución de archivo]]&amp;".pdf"</f>
        <v>1130674198-7503.pdf</v>
      </c>
      <c r="Y312" s="7" t="str">
        <f t="shared" si="17"/>
        <v>ren "1-311.pdf" "1130674198-7503.pdf"</v>
      </c>
      <c r="Z312" s="7" t="str">
        <f>Tabla1[[#This Row],[Número de documento del contacto]]&amp;"_"&amp;Tabla1[[#This Row],[Número de resolución de archivo]]&amp;".pdf"</f>
        <v>1130674198_7503.pdf</v>
      </c>
      <c r="AA312" s="7" t="s">
        <v>49</v>
      </c>
      <c r="AB312" s="7" t="str">
        <f>Tabla1[[#This Row],[Nombre PDF / cedula + num resolucion]]&amp;";"&amp;Tabla1[[#This Row],[instructivo]]</f>
        <v>1130674198_7503.pdf;10. Instructivo_Radicar_Activación_Credencial_DIGITAL_SIRNA.pdf</v>
      </c>
      <c r="AC312" s="7" t="str">
        <f>Tabla1[[#This Row],[Número de resolución de archivo]]&amp;"_"&amp;Tabla1[[#This Row],[Número de documento del contacto]]</f>
        <v>7503_1130674198</v>
      </c>
    </row>
    <row r="313" spans="1:29" x14ac:dyDescent="0.25">
      <c r="A313">
        <v>15302</v>
      </c>
      <c r="B313" t="s">
        <v>14</v>
      </c>
      <c r="C313" t="s">
        <v>15</v>
      </c>
      <c r="D313" t="s">
        <v>16</v>
      </c>
      <c r="E313" t="s">
        <v>17</v>
      </c>
      <c r="F313" s="14">
        <v>46120</v>
      </c>
      <c r="G313">
        <v>1143143662</v>
      </c>
      <c r="H313" t="s">
        <v>672</v>
      </c>
      <c r="I313" t="s">
        <v>673</v>
      </c>
      <c r="J313" t="s">
        <v>20</v>
      </c>
      <c r="K313" t="s">
        <v>21</v>
      </c>
      <c r="L313" s="14">
        <v>46184</v>
      </c>
      <c r="M313">
        <v>64</v>
      </c>
      <c r="N313" t="s">
        <v>22</v>
      </c>
      <c r="O313" t="s">
        <v>22</v>
      </c>
      <c r="P313" s="14">
        <v>46092</v>
      </c>
      <c r="Q313" t="s">
        <v>23</v>
      </c>
      <c r="R313" s="7">
        <f>IFERROR(VLOOKUP(Tabla1[[#This Row],[Número de documento del contacto]],'Resoluciones 1 (Res)'!$A:$C,2,0),"")</f>
        <v>7592</v>
      </c>
      <c r="S313" s="11">
        <f>IFERROR(VLOOKUP(Tabla1[[#This Row],[Número de documento del contacto]],'Resoluciones 1 (Res)'!$A:$C,3,0),"")</f>
        <v>46184.606747685197</v>
      </c>
      <c r="T313" s="7" t="str">
        <f>IFERROR(VLOOKUP(Tabla1[[#This Row],[Número de documento del contacto]],'Resoluciones 2 (Req)'!$B:$E,3,0),"")</f>
        <v>12092</v>
      </c>
      <c r="U313" s="7" t="str">
        <f t="shared" si="15"/>
        <v>8 de abril de 2026</v>
      </c>
      <c r="V313" s="7" t="str">
        <f t="shared" si="16"/>
        <v>11 de marzo de 2026</v>
      </c>
      <c r="W313" s="8" t="str">
        <f>"1-" &amp; ROWS($W$2:W313) &amp; ".pdf"</f>
        <v>1-312.pdf</v>
      </c>
      <c r="X313" s="7" t="str">
        <f>Tabla1[[#This Row],[Número de documento del contacto]]&amp;"-"&amp;Tabla1[[#This Row],[Número de resolución de archivo]]&amp;".pdf"</f>
        <v>1143143662-7592.pdf</v>
      </c>
      <c r="Y313" s="7" t="str">
        <f t="shared" si="17"/>
        <v>ren "1-312.pdf" "1143143662-7592.pdf"</v>
      </c>
      <c r="Z313" s="7" t="str">
        <f>Tabla1[[#This Row],[Número de documento del contacto]]&amp;"_"&amp;Tabla1[[#This Row],[Número de resolución de archivo]]&amp;".pdf"</f>
        <v>1143143662_7592.pdf</v>
      </c>
      <c r="AA313" s="7" t="s">
        <v>49</v>
      </c>
      <c r="AB313" s="7" t="str">
        <f>Tabla1[[#This Row],[Nombre PDF / cedula + num resolucion]]&amp;";"&amp;Tabla1[[#This Row],[instructivo]]</f>
        <v>1143143662_7592.pdf;10. Instructivo_Radicar_Activación_Credencial_DIGITAL_SIRNA.pdf</v>
      </c>
      <c r="AC313" s="7" t="str">
        <f>Tabla1[[#This Row],[Número de resolución de archivo]]&amp;"_"&amp;Tabla1[[#This Row],[Número de documento del contacto]]</f>
        <v>7592_1143143662</v>
      </c>
    </row>
    <row r="314" spans="1:29" x14ac:dyDescent="0.25">
      <c r="A314">
        <v>14714</v>
      </c>
      <c r="B314" t="s">
        <v>14</v>
      </c>
      <c r="C314" t="s">
        <v>15</v>
      </c>
      <c r="D314" t="s">
        <v>16</v>
      </c>
      <c r="E314" t="s">
        <v>17</v>
      </c>
      <c r="F314" s="14">
        <v>46120</v>
      </c>
      <c r="G314">
        <v>1144058287</v>
      </c>
      <c r="H314" t="s">
        <v>674</v>
      </c>
      <c r="I314" t="s">
        <v>675</v>
      </c>
      <c r="J314" t="s">
        <v>20</v>
      </c>
      <c r="K314" t="s">
        <v>21</v>
      </c>
      <c r="L314" s="14">
        <v>46184</v>
      </c>
      <c r="M314">
        <v>64</v>
      </c>
      <c r="N314" t="s">
        <v>22</v>
      </c>
      <c r="O314" t="s">
        <v>22</v>
      </c>
      <c r="P314" s="14">
        <v>46089</v>
      </c>
      <c r="Q314" t="s">
        <v>23</v>
      </c>
      <c r="R314" s="7">
        <f>IFERROR(VLOOKUP(Tabla1[[#This Row],[Número de documento del contacto]],'Resoluciones 1 (Res)'!$A:$C,2,0),"")</f>
        <v>7440</v>
      </c>
      <c r="S314" s="11">
        <f>IFERROR(VLOOKUP(Tabla1[[#This Row],[Número de documento del contacto]],'Resoluciones 1 (Res)'!$A:$C,3,0),"")</f>
        <v>46184.606747685197</v>
      </c>
      <c r="T314" s="7" t="str">
        <f>IFERROR(VLOOKUP(Tabla1[[#This Row],[Número de documento del contacto]],'Resoluciones 2 (Req)'!$B:$E,3,0),"")</f>
        <v>11999</v>
      </c>
      <c r="U314" s="7" t="str">
        <f t="shared" si="15"/>
        <v>8 de abril de 2026</v>
      </c>
      <c r="V314" s="7" t="str">
        <f t="shared" si="16"/>
        <v>8 de marzo de 2026</v>
      </c>
      <c r="W314" s="8" t="str">
        <f>"1-" &amp; ROWS($W$2:W314) &amp; ".pdf"</f>
        <v>1-313.pdf</v>
      </c>
      <c r="X314" s="7" t="str">
        <f>Tabla1[[#This Row],[Número de documento del contacto]]&amp;"-"&amp;Tabla1[[#This Row],[Número de resolución de archivo]]&amp;".pdf"</f>
        <v>1144058287-7440.pdf</v>
      </c>
      <c r="Y314" s="7" t="str">
        <f t="shared" si="17"/>
        <v>ren "1-313.pdf" "1144058287-7440.pdf"</v>
      </c>
      <c r="Z314" s="7" t="str">
        <f>Tabla1[[#This Row],[Número de documento del contacto]]&amp;"_"&amp;Tabla1[[#This Row],[Número de resolución de archivo]]&amp;".pdf"</f>
        <v>1144058287_7440.pdf</v>
      </c>
      <c r="AA314" s="7" t="s">
        <v>49</v>
      </c>
      <c r="AB314" s="7" t="str">
        <f>Tabla1[[#This Row],[Nombre PDF / cedula + num resolucion]]&amp;";"&amp;Tabla1[[#This Row],[instructivo]]</f>
        <v>1144058287_7440.pdf;10. Instructivo_Radicar_Activación_Credencial_DIGITAL_SIRNA.pdf</v>
      </c>
      <c r="AC314" s="7" t="str">
        <f>Tabla1[[#This Row],[Número de resolución de archivo]]&amp;"_"&amp;Tabla1[[#This Row],[Número de documento del contacto]]</f>
        <v>7440_1144058287</v>
      </c>
    </row>
    <row r="315" spans="1:29" x14ac:dyDescent="0.25">
      <c r="A315">
        <v>14452</v>
      </c>
      <c r="B315" t="s">
        <v>14</v>
      </c>
      <c r="C315" t="s">
        <v>15</v>
      </c>
      <c r="D315" t="s">
        <v>16</v>
      </c>
      <c r="E315" t="s">
        <v>17</v>
      </c>
      <c r="F315" s="14">
        <v>46120</v>
      </c>
      <c r="G315">
        <v>1144061236</v>
      </c>
      <c r="H315" t="s">
        <v>676</v>
      </c>
      <c r="I315" t="s">
        <v>677</v>
      </c>
      <c r="J315" t="s">
        <v>20</v>
      </c>
      <c r="K315" t="s">
        <v>21</v>
      </c>
      <c r="L315" s="14">
        <v>46184</v>
      </c>
      <c r="M315">
        <v>64</v>
      </c>
      <c r="N315" t="s">
        <v>22</v>
      </c>
      <c r="O315" t="s">
        <v>22</v>
      </c>
      <c r="P315" s="14">
        <v>46087</v>
      </c>
      <c r="Q315" t="s">
        <v>23</v>
      </c>
      <c r="R315" s="7">
        <f>IFERROR(VLOOKUP(Tabla1[[#This Row],[Número de documento del contacto]],'Resoluciones 1 (Res)'!$A:$C,2,0),"")</f>
        <v>7521</v>
      </c>
      <c r="S315" s="11">
        <f>IFERROR(VLOOKUP(Tabla1[[#This Row],[Número de documento del contacto]],'Resoluciones 1 (Res)'!$A:$C,3,0),"")</f>
        <v>46184.606747685197</v>
      </c>
      <c r="T315" s="7" t="str">
        <f>IFERROR(VLOOKUP(Tabla1[[#This Row],[Número de documento del contacto]],'Resoluciones 2 (Req)'!$B:$E,3,0),"")</f>
        <v>12000</v>
      </c>
      <c r="U315" s="7" t="str">
        <f t="shared" si="15"/>
        <v>8 de abril de 2026</v>
      </c>
      <c r="V315" s="7" t="str">
        <f t="shared" si="16"/>
        <v>6 de marzo de 2026</v>
      </c>
      <c r="W315" s="8" t="str">
        <f>"1-" &amp; ROWS($W$2:W315) &amp; ".pdf"</f>
        <v>1-314.pdf</v>
      </c>
      <c r="X315" s="7" t="str">
        <f>Tabla1[[#This Row],[Número de documento del contacto]]&amp;"-"&amp;Tabla1[[#This Row],[Número de resolución de archivo]]&amp;".pdf"</f>
        <v>1144061236-7521.pdf</v>
      </c>
      <c r="Y315" s="7" t="str">
        <f t="shared" si="17"/>
        <v>ren "1-314.pdf" "1144061236-7521.pdf"</v>
      </c>
      <c r="Z315" s="7" t="str">
        <f>Tabla1[[#This Row],[Número de documento del contacto]]&amp;"_"&amp;Tabla1[[#This Row],[Número de resolución de archivo]]&amp;".pdf"</f>
        <v>1144061236_7521.pdf</v>
      </c>
      <c r="AA315" s="7" t="s">
        <v>49</v>
      </c>
      <c r="AB315" s="7" t="str">
        <f>Tabla1[[#This Row],[Nombre PDF / cedula + num resolucion]]&amp;";"&amp;Tabla1[[#This Row],[instructivo]]</f>
        <v>1144061236_7521.pdf;10. Instructivo_Radicar_Activación_Credencial_DIGITAL_SIRNA.pdf</v>
      </c>
      <c r="AC315" s="7" t="str">
        <f>Tabla1[[#This Row],[Número de resolución de archivo]]&amp;"_"&amp;Tabla1[[#This Row],[Número de documento del contacto]]</f>
        <v>7521_1144061236</v>
      </c>
    </row>
    <row r="316" spans="1:29" x14ac:dyDescent="0.25">
      <c r="A316">
        <v>15084</v>
      </c>
      <c r="B316" t="s">
        <v>14</v>
      </c>
      <c r="C316" t="s">
        <v>15</v>
      </c>
      <c r="D316" t="s">
        <v>16</v>
      </c>
      <c r="E316" t="s">
        <v>17</v>
      </c>
      <c r="F316" s="14">
        <v>46120</v>
      </c>
      <c r="G316">
        <v>1152213811</v>
      </c>
      <c r="H316" t="s">
        <v>678</v>
      </c>
      <c r="I316" t="s">
        <v>679</v>
      </c>
      <c r="J316" t="s">
        <v>20</v>
      </c>
      <c r="K316" t="s">
        <v>21</v>
      </c>
      <c r="L316" s="14">
        <v>46184</v>
      </c>
      <c r="M316">
        <v>64</v>
      </c>
      <c r="N316" t="s">
        <v>22</v>
      </c>
      <c r="O316" t="s">
        <v>22</v>
      </c>
      <c r="P316" s="14">
        <v>46091</v>
      </c>
      <c r="Q316" t="s">
        <v>23</v>
      </c>
      <c r="R316" s="7">
        <f>IFERROR(VLOOKUP(Tabla1[[#This Row],[Número de documento del contacto]],'Resoluciones 1 (Res)'!$A:$C,2,0),"")</f>
        <v>7579</v>
      </c>
      <c r="S316" s="11">
        <f>IFERROR(VLOOKUP(Tabla1[[#This Row],[Número de documento del contacto]],'Resoluciones 1 (Res)'!$A:$C,3,0),"")</f>
        <v>46184.606747685197</v>
      </c>
      <c r="T316" s="7" t="str">
        <f>IFERROR(VLOOKUP(Tabla1[[#This Row],[Número de documento del contacto]],'Resoluciones 2 (Req)'!$B:$E,3,0),"")</f>
        <v>12093</v>
      </c>
      <c r="U316" s="7" t="str">
        <f t="shared" si="15"/>
        <v>8 de abril de 2026</v>
      </c>
      <c r="V316" s="7" t="str">
        <f t="shared" si="16"/>
        <v>10 de marzo de 2026</v>
      </c>
      <c r="W316" s="8" t="str">
        <f>"1-" &amp; ROWS($W$2:W316) &amp; ".pdf"</f>
        <v>1-315.pdf</v>
      </c>
      <c r="X316" s="7" t="str">
        <f>Tabla1[[#This Row],[Número de documento del contacto]]&amp;"-"&amp;Tabla1[[#This Row],[Número de resolución de archivo]]&amp;".pdf"</f>
        <v>1152213811-7579.pdf</v>
      </c>
      <c r="Y316" s="7" t="str">
        <f t="shared" si="17"/>
        <v>ren "1-315.pdf" "1152213811-7579.pdf"</v>
      </c>
      <c r="Z316" s="7" t="str">
        <f>Tabla1[[#This Row],[Número de documento del contacto]]&amp;"_"&amp;Tabla1[[#This Row],[Número de resolución de archivo]]&amp;".pdf"</f>
        <v>1152213811_7579.pdf</v>
      </c>
      <c r="AA316" s="7" t="s">
        <v>49</v>
      </c>
      <c r="AB316" s="7" t="str">
        <f>Tabla1[[#This Row],[Nombre PDF / cedula + num resolucion]]&amp;";"&amp;Tabla1[[#This Row],[instructivo]]</f>
        <v>1152213811_7579.pdf;10. Instructivo_Radicar_Activación_Credencial_DIGITAL_SIRNA.pdf</v>
      </c>
      <c r="AC316" s="7" t="str">
        <f>Tabla1[[#This Row],[Número de resolución de archivo]]&amp;"_"&amp;Tabla1[[#This Row],[Número de documento del contacto]]</f>
        <v>7579_1152213811</v>
      </c>
    </row>
    <row r="317" spans="1:29" x14ac:dyDescent="0.25">
      <c r="A317">
        <v>15110</v>
      </c>
      <c r="B317" t="s">
        <v>14</v>
      </c>
      <c r="C317" t="s">
        <v>15</v>
      </c>
      <c r="D317" t="s">
        <v>16</v>
      </c>
      <c r="E317" t="s">
        <v>17</v>
      </c>
      <c r="F317" s="14">
        <v>46120</v>
      </c>
      <c r="G317">
        <v>1192773090</v>
      </c>
      <c r="H317" t="s">
        <v>680</v>
      </c>
      <c r="I317" t="s">
        <v>681</v>
      </c>
      <c r="J317" t="s">
        <v>20</v>
      </c>
      <c r="K317" t="s">
        <v>21</v>
      </c>
      <c r="L317" s="14">
        <v>46184</v>
      </c>
      <c r="M317">
        <v>64</v>
      </c>
      <c r="N317" t="s">
        <v>22</v>
      </c>
      <c r="O317" t="s">
        <v>22</v>
      </c>
      <c r="P317" s="14">
        <v>46091</v>
      </c>
      <c r="Q317" t="s">
        <v>23</v>
      </c>
      <c r="R317" s="7">
        <f>IFERROR(VLOOKUP(Tabla1[[#This Row],[Número de documento del contacto]],'Resoluciones 1 (Res)'!$A:$C,2,0),"")</f>
        <v>7532</v>
      </c>
      <c r="S317" s="11">
        <f>IFERROR(VLOOKUP(Tabla1[[#This Row],[Número de documento del contacto]],'Resoluciones 1 (Res)'!$A:$C,3,0),"")</f>
        <v>46184.606747685197</v>
      </c>
      <c r="T317" s="7" t="str">
        <f>IFERROR(VLOOKUP(Tabla1[[#This Row],[Número de documento del contacto]],'Resoluciones 2 (Req)'!$B:$E,3,0),"")</f>
        <v>12094</v>
      </c>
      <c r="U317" s="7" t="str">
        <f t="shared" si="15"/>
        <v>8 de abril de 2026</v>
      </c>
      <c r="V317" s="7" t="str">
        <f t="shared" si="16"/>
        <v>10 de marzo de 2026</v>
      </c>
      <c r="W317" s="8" t="str">
        <f>"1-" &amp; ROWS($W$2:W317) &amp; ".pdf"</f>
        <v>1-316.pdf</v>
      </c>
      <c r="X317" s="7" t="str">
        <f>Tabla1[[#This Row],[Número de documento del contacto]]&amp;"-"&amp;Tabla1[[#This Row],[Número de resolución de archivo]]&amp;".pdf"</f>
        <v>1192773090-7532.pdf</v>
      </c>
      <c r="Y317" s="7" t="str">
        <f t="shared" si="17"/>
        <v>ren "1-316.pdf" "1192773090-7532.pdf"</v>
      </c>
      <c r="Z317" s="7" t="str">
        <f>Tabla1[[#This Row],[Número de documento del contacto]]&amp;"_"&amp;Tabla1[[#This Row],[Número de resolución de archivo]]&amp;".pdf"</f>
        <v>1192773090_7532.pdf</v>
      </c>
      <c r="AA317" s="7" t="s">
        <v>49</v>
      </c>
      <c r="AB317" s="7" t="str">
        <f>Tabla1[[#This Row],[Nombre PDF / cedula + num resolucion]]&amp;";"&amp;Tabla1[[#This Row],[instructivo]]</f>
        <v>1192773090_7532.pdf;10. Instructivo_Radicar_Activación_Credencial_DIGITAL_SIRNA.pdf</v>
      </c>
      <c r="AC317" s="7" t="str">
        <f>Tabla1[[#This Row],[Número de resolución de archivo]]&amp;"_"&amp;Tabla1[[#This Row],[Número de documento del contacto]]</f>
        <v>7532_1192773090</v>
      </c>
    </row>
    <row r="318" spans="1:29" x14ac:dyDescent="0.25">
      <c r="A318">
        <v>15223</v>
      </c>
      <c r="B318" t="s">
        <v>14</v>
      </c>
      <c r="C318" t="s">
        <v>15</v>
      </c>
      <c r="D318" t="s">
        <v>16</v>
      </c>
      <c r="E318" t="s">
        <v>17</v>
      </c>
      <c r="F318" s="14">
        <v>46120</v>
      </c>
      <c r="G318">
        <v>1193536637</v>
      </c>
      <c r="H318" t="s">
        <v>682</v>
      </c>
      <c r="I318" t="s">
        <v>683</v>
      </c>
      <c r="J318" t="s">
        <v>20</v>
      </c>
      <c r="K318" t="s">
        <v>21</v>
      </c>
      <c r="L318" s="14">
        <v>46184</v>
      </c>
      <c r="M318">
        <v>64</v>
      </c>
      <c r="N318" t="s">
        <v>22</v>
      </c>
      <c r="O318" t="s">
        <v>22</v>
      </c>
      <c r="P318" s="14">
        <v>46092</v>
      </c>
      <c r="Q318" t="s">
        <v>23</v>
      </c>
      <c r="R318" s="7">
        <f>IFERROR(VLOOKUP(Tabla1[[#This Row],[Número de documento del contacto]],'Resoluciones 1 (Res)'!$A:$C,2,0),"")</f>
        <v>7679</v>
      </c>
      <c r="S318" s="11">
        <f>IFERROR(VLOOKUP(Tabla1[[#This Row],[Número de documento del contacto]],'Resoluciones 1 (Res)'!$A:$C,3,0),"")</f>
        <v>46184.606747685197</v>
      </c>
      <c r="T318" s="7" t="str">
        <f>IFERROR(VLOOKUP(Tabla1[[#This Row],[Número de documento del contacto]],'Resoluciones 2 (Req)'!$B:$E,3,0),"")</f>
        <v>12096</v>
      </c>
      <c r="U318" s="7" t="str">
        <f t="shared" si="15"/>
        <v>8 de abril de 2026</v>
      </c>
      <c r="V318" s="7" t="str">
        <f t="shared" si="16"/>
        <v>11 de marzo de 2026</v>
      </c>
      <c r="W318" s="8" t="str">
        <f>"1-" &amp; ROWS($W$2:W318) &amp; ".pdf"</f>
        <v>1-317.pdf</v>
      </c>
      <c r="X318" s="7" t="str">
        <f>Tabla1[[#This Row],[Número de documento del contacto]]&amp;"-"&amp;Tabla1[[#This Row],[Número de resolución de archivo]]&amp;".pdf"</f>
        <v>1193536637-7679.pdf</v>
      </c>
      <c r="Y318" s="7" t="str">
        <f t="shared" si="17"/>
        <v>ren "1-317.pdf" "1193536637-7679.pdf"</v>
      </c>
      <c r="Z318" s="7" t="str">
        <f>Tabla1[[#This Row],[Número de documento del contacto]]&amp;"_"&amp;Tabla1[[#This Row],[Número de resolución de archivo]]&amp;".pdf"</f>
        <v>1193536637_7679.pdf</v>
      </c>
      <c r="AA318" s="7" t="s">
        <v>49</v>
      </c>
      <c r="AB318" s="7" t="str">
        <f>Tabla1[[#This Row],[Nombre PDF / cedula + num resolucion]]&amp;";"&amp;Tabla1[[#This Row],[instructivo]]</f>
        <v>1193536637_7679.pdf;10. Instructivo_Radicar_Activación_Credencial_DIGITAL_SIRNA.pdf</v>
      </c>
      <c r="AC318" s="7" t="str">
        <f>Tabla1[[#This Row],[Número de resolución de archivo]]&amp;"_"&amp;Tabla1[[#This Row],[Número de documento del contacto]]</f>
        <v>7679_1193536637</v>
      </c>
    </row>
    <row r="319" spans="1:29" x14ac:dyDescent="0.25">
      <c r="A319">
        <v>15285</v>
      </c>
      <c r="B319" t="s">
        <v>14</v>
      </c>
      <c r="C319" t="s">
        <v>15</v>
      </c>
      <c r="D319" t="s">
        <v>16</v>
      </c>
      <c r="E319" t="s">
        <v>17</v>
      </c>
      <c r="F319" s="14">
        <v>46120</v>
      </c>
      <c r="G319">
        <v>1233507078</v>
      </c>
      <c r="H319" t="s">
        <v>684</v>
      </c>
      <c r="I319" t="s">
        <v>685</v>
      </c>
      <c r="J319" t="s">
        <v>20</v>
      </c>
      <c r="K319" t="s">
        <v>21</v>
      </c>
      <c r="L319" s="14">
        <v>46184</v>
      </c>
      <c r="M319">
        <v>64</v>
      </c>
      <c r="N319" t="s">
        <v>22</v>
      </c>
      <c r="O319" t="s">
        <v>22</v>
      </c>
      <c r="P319" s="14">
        <v>46092</v>
      </c>
      <c r="Q319" t="s">
        <v>23</v>
      </c>
      <c r="R319" s="7">
        <f>IFERROR(VLOOKUP(Tabla1[[#This Row],[Número de documento del contacto]],'Resoluciones 1 (Res)'!$A:$C,2,0),"")</f>
        <v>7492</v>
      </c>
      <c r="S319" s="11">
        <f>IFERROR(VLOOKUP(Tabla1[[#This Row],[Número de documento del contacto]],'Resoluciones 1 (Res)'!$A:$C,3,0),"")</f>
        <v>46184.606747685197</v>
      </c>
      <c r="T319" s="7" t="str">
        <f>IFERROR(VLOOKUP(Tabla1[[#This Row],[Número de documento del contacto]],'Resoluciones 2 (Req)'!$B:$E,3,0),"")</f>
        <v>12098</v>
      </c>
      <c r="U319" s="7" t="str">
        <f t="shared" si="15"/>
        <v>8 de abril de 2026</v>
      </c>
      <c r="V319" s="7" t="str">
        <f t="shared" si="16"/>
        <v>11 de marzo de 2026</v>
      </c>
      <c r="W319" s="8" t="str">
        <f>"1-" &amp; ROWS($W$2:W319) &amp; ".pdf"</f>
        <v>1-318.pdf</v>
      </c>
      <c r="X319" s="7" t="str">
        <f>Tabla1[[#This Row],[Número de documento del contacto]]&amp;"-"&amp;Tabla1[[#This Row],[Número de resolución de archivo]]&amp;".pdf"</f>
        <v>1233507078-7492.pdf</v>
      </c>
      <c r="Y319" s="7" t="str">
        <f t="shared" si="17"/>
        <v>ren "1-318.pdf" "1233507078-7492.pdf"</v>
      </c>
      <c r="Z319" s="7" t="str">
        <f>Tabla1[[#This Row],[Número de documento del contacto]]&amp;"_"&amp;Tabla1[[#This Row],[Número de resolución de archivo]]&amp;".pdf"</f>
        <v>1233507078_7492.pdf</v>
      </c>
      <c r="AA319" s="7" t="s">
        <v>49</v>
      </c>
      <c r="AB319" s="7" t="str">
        <f>Tabla1[[#This Row],[Nombre PDF / cedula + num resolucion]]&amp;";"&amp;Tabla1[[#This Row],[instructivo]]</f>
        <v>1233507078_7492.pdf;10. Instructivo_Radicar_Activación_Credencial_DIGITAL_SIRNA.pdf</v>
      </c>
      <c r="AC319" s="7" t="str">
        <f>Tabla1[[#This Row],[Número de resolución de archivo]]&amp;"_"&amp;Tabla1[[#This Row],[Número de documento del contacto]]</f>
        <v>7492_1233507078</v>
      </c>
    </row>
    <row r="320" spans="1:29" x14ac:dyDescent="0.25">
      <c r="A320">
        <v>14975</v>
      </c>
      <c r="B320" t="s">
        <v>14</v>
      </c>
      <c r="C320" t="s">
        <v>15</v>
      </c>
      <c r="D320" t="s">
        <v>16</v>
      </c>
      <c r="E320" t="s">
        <v>17</v>
      </c>
      <c r="F320" s="14">
        <v>46120</v>
      </c>
      <c r="G320">
        <v>1234890678</v>
      </c>
      <c r="H320" t="s">
        <v>686</v>
      </c>
      <c r="I320" t="s">
        <v>687</v>
      </c>
      <c r="J320" t="s">
        <v>20</v>
      </c>
      <c r="K320" t="s">
        <v>21</v>
      </c>
      <c r="L320" s="14">
        <v>46184</v>
      </c>
      <c r="M320">
        <v>64</v>
      </c>
      <c r="N320" t="s">
        <v>22</v>
      </c>
      <c r="O320" t="s">
        <v>22</v>
      </c>
      <c r="P320" s="14">
        <v>46091</v>
      </c>
      <c r="Q320" t="s">
        <v>23</v>
      </c>
      <c r="R320" s="7">
        <f>IFERROR(VLOOKUP(Tabla1[[#This Row],[Número de documento del contacto]],'Resoluciones 1 (Res)'!$A:$C,2,0),"")</f>
        <v>7498</v>
      </c>
      <c r="S320" s="11">
        <f>IFERROR(VLOOKUP(Tabla1[[#This Row],[Número de documento del contacto]],'Resoluciones 1 (Res)'!$A:$C,3,0),"")</f>
        <v>46184.606747685197</v>
      </c>
      <c r="T320" s="7" t="str">
        <f>IFERROR(VLOOKUP(Tabla1[[#This Row],[Número de documento del contacto]],'Resoluciones 2 (Req)'!$B:$E,3,0),"")</f>
        <v>12099</v>
      </c>
      <c r="U320" s="7" t="str">
        <f t="shared" si="15"/>
        <v>8 de abril de 2026</v>
      </c>
      <c r="V320" s="7" t="str">
        <f t="shared" si="16"/>
        <v>10 de marzo de 2026</v>
      </c>
      <c r="W320" s="8" t="str">
        <f>"1-" &amp; ROWS($W$2:W320) &amp; ".pdf"</f>
        <v>1-319.pdf</v>
      </c>
      <c r="X320" s="7" t="str">
        <f>Tabla1[[#This Row],[Número de documento del contacto]]&amp;"-"&amp;Tabla1[[#This Row],[Número de resolución de archivo]]&amp;".pdf"</f>
        <v>1234890678-7498.pdf</v>
      </c>
      <c r="Y320" s="7" t="str">
        <f t="shared" si="17"/>
        <v>ren "1-319.pdf" "1234890678-7498.pdf"</v>
      </c>
      <c r="Z320" s="7" t="str">
        <f>Tabla1[[#This Row],[Número de documento del contacto]]&amp;"_"&amp;Tabla1[[#This Row],[Número de resolución de archivo]]&amp;".pdf"</f>
        <v>1234890678_7498.pdf</v>
      </c>
      <c r="AA320" s="7" t="s">
        <v>49</v>
      </c>
      <c r="AB320" s="7" t="str">
        <f>Tabla1[[#This Row],[Nombre PDF / cedula + num resolucion]]&amp;";"&amp;Tabla1[[#This Row],[instructivo]]</f>
        <v>1234890678_7498.pdf;10. Instructivo_Radicar_Activación_Credencial_DIGITAL_SIRNA.pdf</v>
      </c>
      <c r="AC320" s="7" t="str">
        <f>Tabla1[[#This Row],[Número de resolución de archivo]]&amp;"_"&amp;Tabla1[[#This Row],[Número de documento del contacto]]</f>
        <v>7498_1234890678</v>
      </c>
    </row>
    <row r="322" spans="7:7" x14ac:dyDescent="0.25">
      <c r="G322" s="17"/>
    </row>
    <row r="323" spans="7:7" x14ac:dyDescent="0.25">
      <c r="G323" s="17"/>
    </row>
    <row r="324" spans="7:7" x14ac:dyDescent="0.25">
      <c r="G324" s="17"/>
    </row>
    <row r="325" spans="7:7" x14ac:dyDescent="0.25">
      <c r="G325" s="17"/>
    </row>
    <row r="326" spans="7:7" x14ac:dyDescent="0.25">
      <c r="G326" s="17"/>
    </row>
    <row r="327" spans="7:7" x14ac:dyDescent="0.25">
      <c r="G327" s="17"/>
    </row>
    <row r="328" spans="7:7" x14ac:dyDescent="0.25">
      <c r="G328" s="17"/>
    </row>
    <row r="329" spans="7:7" x14ac:dyDescent="0.25">
      <c r="G329" s="17"/>
    </row>
    <row r="330" spans="7:7" x14ac:dyDescent="0.25">
      <c r="G330" s="17"/>
    </row>
    <row r="331" spans="7:7" x14ac:dyDescent="0.25">
      <c r="G331" s="17"/>
    </row>
    <row r="332" spans="7:7" x14ac:dyDescent="0.25">
      <c r="G332" s="17"/>
    </row>
    <row r="333" spans="7:7" x14ac:dyDescent="0.25">
      <c r="G333" s="17"/>
    </row>
    <row r="334" spans="7:7" x14ac:dyDescent="0.25">
      <c r="G334" s="17"/>
    </row>
    <row r="335" spans="7:7" x14ac:dyDescent="0.25">
      <c r="G335" s="17"/>
    </row>
    <row r="336" spans="7:7" x14ac:dyDescent="0.25">
      <c r="G336" s="17"/>
    </row>
    <row r="337" spans="7:7" x14ac:dyDescent="0.25">
      <c r="G337" s="17"/>
    </row>
    <row r="338" spans="7:7" x14ac:dyDescent="0.25">
      <c r="G338" s="17"/>
    </row>
    <row r="339" spans="7:7" x14ac:dyDescent="0.25">
      <c r="G339" s="17"/>
    </row>
    <row r="340" spans="7:7" x14ac:dyDescent="0.25">
      <c r="G340" s="17"/>
    </row>
    <row r="341" spans="7:7" x14ac:dyDescent="0.25">
      <c r="G341" s="17"/>
    </row>
    <row r="342" spans="7:7" x14ac:dyDescent="0.25">
      <c r="G342" s="17"/>
    </row>
    <row r="343" spans="7:7" x14ac:dyDescent="0.25">
      <c r="G343" s="17"/>
    </row>
    <row r="344" spans="7:7" x14ac:dyDescent="0.25">
      <c r="G344" s="17"/>
    </row>
    <row r="345" spans="7:7" x14ac:dyDescent="0.25">
      <c r="G345" s="17"/>
    </row>
    <row r="346" spans="7:7" x14ac:dyDescent="0.25">
      <c r="G346" s="17"/>
    </row>
    <row r="347" spans="7:7" x14ac:dyDescent="0.25">
      <c r="G347" s="17"/>
    </row>
    <row r="348" spans="7:7" x14ac:dyDescent="0.25">
      <c r="G348" s="17"/>
    </row>
    <row r="349" spans="7:7" x14ac:dyDescent="0.25">
      <c r="G349" s="17"/>
    </row>
    <row r="350" spans="7:7" x14ac:dyDescent="0.25">
      <c r="G350" s="17"/>
    </row>
    <row r="351" spans="7:7" x14ac:dyDescent="0.25">
      <c r="G351" s="17"/>
    </row>
    <row r="352" spans="7:7" x14ac:dyDescent="0.25">
      <c r="G352" s="17"/>
    </row>
    <row r="353" spans="7:7" x14ac:dyDescent="0.25">
      <c r="G353" s="17"/>
    </row>
    <row r="354" spans="7:7" x14ac:dyDescent="0.25">
      <c r="G354" s="17"/>
    </row>
    <row r="355" spans="7:7" x14ac:dyDescent="0.25">
      <c r="G355" s="17"/>
    </row>
    <row r="356" spans="7:7" x14ac:dyDescent="0.25">
      <c r="G356" s="17"/>
    </row>
    <row r="357" spans="7:7" x14ac:dyDescent="0.25">
      <c r="G357" s="17"/>
    </row>
    <row r="358" spans="7:7" x14ac:dyDescent="0.25">
      <c r="G358" s="17"/>
    </row>
    <row r="359" spans="7:7" x14ac:dyDescent="0.25">
      <c r="G359" s="17"/>
    </row>
    <row r="360" spans="7:7" x14ac:dyDescent="0.25">
      <c r="G360" s="17"/>
    </row>
    <row r="361" spans="7:7" x14ac:dyDescent="0.25">
      <c r="G361" s="17"/>
    </row>
    <row r="362" spans="7:7" x14ac:dyDescent="0.25">
      <c r="G362" s="17"/>
    </row>
    <row r="363" spans="7:7" x14ac:dyDescent="0.25">
      <c r="G363" s="17"/>
    </row>
    <row r="364" spans="7:7" x14ac:dyDescent="0.25">
      <c r="G364" s="17"/>
    </row>
    <row r="365" spans="7:7" x14ac:dyDescent="0.25">
      <c r="G365" s="17"/>
    </row>
    <row r="366" spans="7:7" x14ac:dyDescent="0.25">
      <c r="G366" s="17"/>
    </row>
    <row r="367" spans="7:7" x14ac:dyDescent="0.25">
      <c r="G367" s="17"/>
    </row>
    <row r="368" spans="7:7" x14ac:dyDescent="0.25">
      <c r="G368" s="17"/>
    </row>
    <row r="369" spans="7:7" x14ac:dyDescent="0.25">
      <c r="G369" s="17"/>
    </row>
    <row r="370" spans="7:7" x14ac:dyDescent="0.25">
      <c r="G370" s="17"/>
    </row>
    <row r="371" spans="7:7" x14ac:dyDescent="0.25">
      <c r="G371" s="17"/>
    </row>
    <row r="372" spans="7:7" x14ac:dyDescent="0.25">
      <c r="G372" s="17"/>
    </row>
    <row r="373" spans="7:7" x14ac:dyDescent="0.25">
      <c r="G373" s="17"/>
    </row>
    <row r="374" spans="7:7" x14ac:dyDescent="0.25">
      <c r="G374" s="17"/>
    </row>
    <row r="375" spans="7:7" x14ac:dyDescent="0.25">
      <c r="G375" s="17"/>
    </row>
    <row r="376" spans="7:7" x14ac:dyDescent="0.25">
      <c r="G376" s="17"/>
    </row>
    <row r="377" spans="7:7" x14ac:dyDescent="0.25">
      <c r="G377" s="17"/>
    </row>
    <row r="378" spans="7:7" x14ac:dyDescent="0.25">
      <c r="G378" s="17"/>
    </row>
    <row r="379" spans="7:7" x14ac:dyDescent="0.25">
      <c r="G379" s="17"/>
    </row>
    <row r="380" spans="7:7" x14ac:dyDescent="0.25">
      <c r="G380" s="17"/>
    </row>
    <row r="381" spans="7:7" x14ac:dyDescent="0.25">
      <c r="G381" s="17"/>
    </row>
    <row r="382" spans="7:7" x14ac:dyDescent="0.25">
      <c r="G382" s="17"/>
    </row>
    <row r="383" spans="7:7" x14ac:dyDescent="0.25">
      <c r="G383" s="17"/>
    </row>
    <row r="384" spans="7:7" x14ac:dyDescent="0.25">
      <c r="G384" s="17"/>
    </row>
    <row r="385" spans="7:7" x14ac:dyDescent="0.25">
      <c r="G385" s="17"/>
    </row>
    <row r="386" spans="7:7" x14ac:dyDescent="0.25">
      <c r="G386" s="17"/>
    </row>
    <row r="387" spans="7:7" x14ac:dyDescent="0.25">
      <c r="G387" s="17"/>
    </row>
    <row r="388" spans="7:7" x14ac:dyDescent="0.25">
      <c r="G388" s="17"/>
    </row>
    <row r="389" spans="7:7" x14ac:dyDescent="0.25">
      <c r="G389" s="17"/>
    </row>
    <row r="390" spans="7:7" x14ac:dyDescent="0.25">
      <c r="G390" s="17"/>
    </row>
    <row r="391" spans="7:7" x14ac:dyDescent="0.25">
      <c r="G391" s="17"/>
    </row>
    <row r="392" spans="7:7" x14ac:dyDescent="0.25">
      <c r="G392" s="17"/>
    </row>
    <row r="393" spans="7:7" x14ac:dyDescent="0.25">
      <c r="G393" s="17"/>
    </row>
    <row r="394" spans="7:7" x14ac:dyDescent="0.25">
      <c r="G394" s="17"/>
    </row>
    <row r="395" spans="7:7" x14ac:dyDescent="0.25">
      <c r="G395" s="17"/>
    </row>
    <row r="396" spans="7:7" x14ac:dyDescent="0.25">
      <c r="G396" s="17"/>
    </row>
    <row r="397" spans="7:7" x14ac:dyDescent="0.25">
      <c r="G397" s="17"/>
    </row>
    <row r="398" spans="7:7" x14ac:dyDescent="0.25">
      <c r="G398" s="17"/>
    </row>
    <row r="399" spans="7:7" x14ac:dyDescent="0.25">
      <c r="G399" s="17"/>
    </row>
    <row r="400" spans="7:7" x14ac:dyDescent="0.25">
      <c r="G400" s="17"/>
    </row>
    <row r="401" spans="7:7" x14ac:dyDescent="0.25">
      <c r="G401" s="17"/>
    </row>
    <row r="402" spans="7:7" x14ac:dyDescent="0.25">
      <c r="G402" s="17"/>
    </row>
    <row r="403" spans="7:7" x14ac:dyDescent="0.25">
      <c r="G403" s="17"/>
    </row>
    <row r="404" spans="7:7" x14ac:dyDescent="0.25">
      <c r="G404" s="17"/>
    </row>
    <row r="405" spans="7:7" x14ac:dyDescent="0.25">
      <c r="G405" s="17"/>
    </row>
    <row r="406" spans="7:7" x14ac:dyDescent="0.25">
      <c r="G406" s="17"/>
    </row>
    <row r="407" spans="7:7" x14ac:dyDescent="0.25">
      <c r="G407" s="17"/>
    </row>
    <row r="408" spans="7:7" x14ac:dyDescent="0.25">
      <c r="G408" s="17"/>
    </row>
    <row r="409" spans="7:7" x14ac:dyDescent="0.25">
      <c r="G409" s="17"/>
    </row>
    <row r="410" spans="7:7" x14ac:dyDescent="0.25">
      <c r="G410" s="17"/>
    </row>
    <row r="411" spans="7:7" x14ac:dyDescent="0.25">
      <c r="G411" s="17"/>
    </row>
    <row r="412" spans="7:7" x14ac:dyDescent="0.25">
      <c r="G412" s="17"/>
    </row>
    <row r="413" spans="7:7" x14ac:dyDescent="0.25">
      <c r="G413" s="17"/>
    </row>
    <row r="414" spans="7:7" x14ac:dyDescent="0.25">
      <c r="G414" s="17"/>
    </row>
    <row r="415" spans="7:7" x14ac:dyDescent="0.25">
      <c r="G415" s="17"/>
    </row>
    <row r="416" spans="7:7" x14ac:dyDescent="0.25">
      <c r="G416" s="17"/>
    </row>
    <row r="417" spans="7:7" x14ac:dyDescent="0.25">
      <c r="G417" s="17"/>
    </row>
    <row r="418" spans="7:7" x14ac:dyDescent="0.25">
      <c r="G418" s="17"/>
    </row>
    <row r="419" spans="7:7" x14ac:dyDescent="0.25">
      <c r="G419" s="17"/>
    </row>
    <row r="420" spans="7:7" x14ac:dyDescent="0.25">
      <c r="G420" s="17"/>
    </row>
    <row r="421" spans="7:7" x14ac:dyDescent="0.25">
      <c r="G421" s="17"/>
    </row>
    <row r="422" spans="7:7" x14ac:dyDescent="0.25">
      <c r="G422" s="17"/>
    </row>
    <row r="423" spans="7:7" x14ac:dyDescent="0.25">
      <c r="G423" s="17"/>
    </row>
    <row r="424" spans="7:7" x14ac:dyDescent="0.25">
      <c r="G424" s="17"/>
    </row>
    <row r="425" spans="7:7" x14ac:dyDescent="0.25">
      <c r="G425" s="17"/>
    </row>
    <row r="426" spans="7:7" x14ac:dyDescent="0.25">
      <c r="G426" s="17"/>
    </row>
    <row r="427" spans="7:7" x14ac:dyDescent="0.25">
      <c r="G427" s="17"/>
    </row>
    <row r="428" spans="7:7" x14ac:dyDescent="0.25">
      <c r="G428" s="17"/>
    </row>
    <row r="429" spans="7:7" x14ac:dyDescent="0.25">
      <c r="G429" s="17"/>
    </row>
    <row r="430" spans="7:7" x14ac:dyDescent="0.25">
      <c r="G430" s="17"/>
    </row>
    <row r="431" spans="7:7" x14ac:dyDescent="0.25">
      <c r="G431" s="17"/>
    </row>
    <row r="432" spans="7:7" x14ac:dyDescent="0.25">
      <c r="G432" s="17"/>
    </row>
    <row r="433" spans="7:7" x14ac:dyDescent="0.25">
      <c r="G433" s="17"/>
    </row>
    <row r="434" spans="7:7" x14ac:dyDescent="0.25">
      <c r="G434" s="17"/>
    </row>
    <row r="435" spans="7:7" x14ac:dyDescent="0.25">
      <c r="G435" s="17"/>
    </row>
    <row r="436" spans="7:7" x14ac:dyDescent="0.25">
      <c r="G436" s="17"/>
    </row>
    <row r="437" spans="7:7" x14ac:dyDescent="0.25">
      <c r="G437" s="17"/>
    </row>
    <row r="438" spans="7:7" x14ac:dyDescent="0.25">
      <c r="G438" s="17"/>
    </row>
    <row r="439" spans="7:7" x14ac:dyDescent="0.25">
      <c r="G439" s="17"/>
    </row>
    <row r="440" spans="7:7" x14ac:dyDescent="0.25">
      <c r="G440" s="17"/>
    </row>
    <row r="441" spans="7:7" x14ac:dyDescent="0.25">
      <c r="G441" s="17"/>
    </row>
    <row r="442" spans="7:7" x14ac:dyDescent="0.25">
      <c r="G442" s="17"/>
    </row>
    <row r="443" spans="7:7" x14ac:dyDescent="0.25">
      <c r="G443" s="17"/>
    </row>
    <row r="444" spans="7:7" x14ac:dyDescent="0.25">
      <c r="G444" s="17"/>
    </row>
    <row r="445" spans="7:7" x14ac:dyDescent="0.25">
      <c r="G445" s="17"/>
    </row>
    <row r="446" spans="7:7" x14ac:dyDescent="0.25">
      <c r="G446" s="17"/>
    </row>
    <row r="447" spans="7:7" x14ac:dyDescent="0.25">
      <c r="G447" s="17"/>
    </row>
    <row r="448" spans="7:7" x14ac:dyDescent="0.25">
      <c r="G448" s="17"/>
    </row>
    <row r="449" spans="7:7" x14ac:dyDescent="0.25">
      <c r="G449" s="17"/>
    </row>
    <row r="450" spans="7:7" x14ac:dyDescent="0.25">
      <c r="G450" s="17"/>
    </row>
    <row r="451" spans="7:7" x14ac:dyDescent="0.25">
      <c r="G451" s="17"/>
    </row>
    <row r="452" spans="7:7" x14ac:dyDescent="0.25">
      <c r="G452" s="17"/>
    </row>
    <row r="453" spans="7:7" x14ac:dyDescent="0.25">
      <c r="G453" s="17"/>
    </row>
    <row r="454" spans="7:7" x14ac:dyDescent="0.25">
      <c r="G454" s="17"/>
    </row>
    <row r="455" spans="7:7" x14ac:dyDescent="0.25">
      <c r="G455" s="17"/>
    </row>
    <row r="456" spans="7:7" x14ac:dyDescent="0.25">
      <c r="G456" s="17"/>
    </row>
    <row r="457" spans="7:7" x14ac:dyDescent="0.25">
      <c r="G457" s="17"/>
    </row>
    <row r="458" spans="7:7" x14ac:dyDescent="0.25">
      <c r="G458" s="17"/>
    </row>
    <row r="459" spans="7:7" x14ac:dyDescent="0.25">
      <c r="G459" s="17"/>
    </row>
    <row r="460" spans="7:7" x14ac:dyDescent="0.25">
      <c r="G460" s="17"/>
    </row>
    <row r="461" spans="7:7" x14ac:dyDescent="0.25">
      <c r="G461" s="17"/>
    </row>
    <row r="462" spans="7:7" x14ac:dyDescent="0.25">
      <c r="G462" s="17"/>
    </row>
    <row r="463" spans="7:7" x14ac:dyDescent="0.25">
      <c r="G463" s="17"/>
    </row>
    <row r="464" spans="7:7" x14ac:dyDescent="0.25">
      <c r="G464" s="17"/>
    </row>
    <row r="465" spans="7:7" x14ac:dyDescent="0.25">
      <c r="G465" s="17"/>
    </row>
    <row r="466" spans="7:7" x14ac:dyDescent="0.25">
      <c r="G466" s="17"/>
    </row>
    <row r="467" spans="7:7" x14ac:dyDescent="0.25">
      <c r="G467" s="17"/>
    </row>
    <row r="468" spans="7:7" x14ac:dyDescent="0.25">
      <c r="G468" s="17"/>
    </row>
    <row r="469" spans="7:7" x14ac:dyDescent="0.25">
      <c r="G469" s="17"/>
    </row>
    <row r="470" spans="7:7" x14ac:dyDescent="0.25">
      <c r="G470" s="17"/>
    </row>
    <row r="471" spans="7:7" x14ac:dyDescent="0.25">
      <c r="G471" s="17"/>
    </row>
    <row r="472" spans="7:7" x14ac:dyDescent="0.25">
      <c r="G472" s="17"/>
    </row>
    <row r="473" spans="7:7" x14ac:dyDescent="0.25">
      <c r="G473" s="17"/>
    </row>
    <row r="474" spans="7:7" x14ac:dyDescent="0.25">
      <c r="G474" s="17"/>
    </row>
    <row r="475" spans="7:7" x14ac:dyDescent="0.25">
      <c r="G475" s="17"/>
    </row>
    <row r="476" spans="7:7" x14ac:dyDescent="0.25">
      <c r="G476" s="17"/>
    </row>
    <row r="477" spans="7:7" x14ac:dyDescent="0.25">
      <c r="G477" s="17"/>
    </row>
    <row r="478" spans="7:7" x14ac:dyDescent="0.25">
      <c r="G478" s="17"/>
    </row>
    <row r="479" spans="7:7" x14ac:dyDescent="0.25">
      <c r="G479" s="17"/>
    </row>
    <row r="480" spans="7:7" x14ac:dyDescent="0.25">
      <c r="G480" s="17"/>
    </row>
    <row r="481" spans="7:7" x14ac:dyDescent="0.25">
      <c r="G481" s="17"/>
    </row>
    <row r="482" spans="7:7" x14ac:dyDescent="0.25">
      <c r="G482" s="17"/>
    </row>
    <row r="483" spans="7:7" x14ac:dyDescent="0.25">
      <c r="G483" s="17"/>
    </row>
    <row r="484" spans="7:7" x14ac:dyDescent="0.25">
      <c r="G484" s="17"/>
    </row>
    <row r="485" spans="7:7" x14ac:dyDescent="0.25">
      <c r="G485" s="17"/>
    </row>
    <row r="486" spans="7:7" x14ac:dyDescent="0.25">
      <c r="G486" s="17"/>
    </row>
    <row r="487" spans="7:7" x14ac:dyDescent="0.25">
      <c r="G487" s="17"/>
    </row>
    <row r="488" spans="7:7" x14ac:dyDescent="0.25">
      <c r="G488" s="17"/>
    </row>
    <row r="489" spans="7:7" x14ac:dyDescent="0.25">
      <c r="G489" s="17"/>
    </row>
    <row r="490" spans="7:7" x14ac:dyDescent="0.25">
      <c r="G490" s="17"/>
    </row>
    <row r="491" spans="7:7" x14ac:dyDescent="0.25">
      <c r="G491" s="17"/>
    </row>
    <row r="492" spans="7:7" x14ac:dyDescent="0.25">
      <c r="G492" s="17"/>
    </row>
    <row r="493" spans="7:7" x14ac:dyDescent="0.25">
      <c r="G493" s="17"/>
    </row>
    <row r="494" spans="7:7" x14ac:dyDescent="0.25">
      <c r="G494" s="17"/>
    </row>
    <row r="495" spans="7:7" x14ac:dyDescent="0.25">
      <c r="G495" s="17"/>
    </row>
    <row r="496" spans="7:7" x14ac:dyDescent="0.25">
      <c r="G496" s="17"/>
    </row>
    <row r="497" spans="7:7" x14ac:dyDescent="0.25">
      <c r="G497" s="17"/>
    </row>
    <row r="498" spans="7:7" x14ac:dyDescent="0.25">
      <c r="G498" s="17"/>
    </row>
    <row r="499" spans="7:7" x14ac:dyDescent="0.25">
      <c r="G499" s="17"/>
    </row>
    <row r="500" spans="7:7" x14ac:dyDescent="0.25">
      <c r="G500" s="17"/>
    </row>
    <row r="501" spans="7:7" x14ac:dyDescent="0.25">
      <c r="G501" s="17"/>
    </row>
    <row r="502" spans="7:7" x14ac:dyDescent="0.25">
      <c r="G502" s="17"/>
    </row>
    <row r="503" spans="7:7" x14ac:dyDescent="0.25">
      <c r="G503" s="17"/>
    </row>
    <row r="504" spans="7:7" x14ac:dyDescent="0.25">
      <c r="G504" s="17"/>
    </row>
    <row r="505" spans="7:7" x14ac:dyDescent="0.25">
      <c r="G505" s="17"/>
    </row>
    <row r="506" spans="7:7" x14ac:dyDescent="0.25">
      <c r="G506" s="17"/>
    </row>
    <row r="507" spans="7:7" x14ac:dyDescent="0.25">
      <c r="G507" s="17"/>
    </row>
    <row r="508" spans="7:7" x14ac:dyDescent="0.25">
      <c r="G508" s="17"/>
    </row>
    <row r="509" spans="7:7" x14ac:dyDescent="0.25">
      <c r="G509" s="17"/>
    </row>
    <row r="510" spans="7:7" x14ac:dyDescent="0.25">
      <c r="G510" s="17"/>
    </row>
    <row r="511" spans="7:7" x14ac:dyDescent="0.25">
      <c r="G511" s="17"/>
    </row>
    <row r="512" spans="7:7" x14ac:dyDescent="0.25">
      <c r="G512" s="17"/>
    </row>
    <row r="513" spans="7:7" x14ac:dyDescent="0.25">
      <c r="G513" s="17"/>
    </row>
    <row r="514" spans="7:7" x14ac:dyDescent="0.25">
      <c r="G514" s="17"/>
    </row>
    <row r="515" spans="7:7" x14ac:dyDescent="0.25">
      <c r="G515" s="17"/>
    </row>
    <row r="516" spans="7:7" x14ac:dyDescent="0.25">
      <c r="G516" s="17"/>
    </row>
    <row r="517" spans="7:7" x14ac:dyDescent="0.25">
      <c r="G517" s="17"/>
    </row>
    <row r="518" spans="7:7" x14ac:dyDescent="0.25">
      <c r="G518" s="17"/>
    </row>
    <row r="519" spans="7:7" x14ac:dyDescent="0.25">
      <c r="G519" s="17"/>
    </row>
    <row r="520" spans="7:7" x14ac:dyDescent="0.25">
      <c r="G520" s="17"/>
    </row>
    <row r="521" spans="7:7" x14ac:dyDescent="0.25">
      <c r="G521" s="17"/>
    </row>
    <row r="522" spans="7:7" x14ac:dyDescent="0.25">
      <c r="G522" s="17"/>
    </row>
    <row r="523" spans="7:7" x14ac:dyDescent="0.25">
      <c r="G523" s="17"/>
    </row>
    <row r="524" spans="7:7" x14ac:dyDescent="0.25">
      <c r="G524" s="17"/>
    </row>
    <row r="525" spans="7:7" x14ac:dyDescent="0.25">
      <c r="G525" s="17"/>
    </row>
    <row r="526" spans="7:7" x14ac:dyDescent="0.25">
      <c r="G526" s="17"/>
    </row>
    <row r="527" spans="7:7" x14ac:dyDescent="0.25">
      <c r="G527" s="17"/>
    </row>
    <row r="528" spans="7:7" x14ac:dyDescent="0.25">
      <c r="G528" s="17"/>
    </row>
    <row r="529" spans="7:7" x14ac:dyDescent="0.25">
      <c r="G529" s="17"/>
    </row>
    <row r="530" spans="7:7" x14ac:dyDescent="0.25">
      <c r="G530" s="17"/>
    </row>
    <row r="531" spans="7:7" x14ac:dyDescent="0.25">
      <c r="G531" s="17"/>
    </row>
    <row r="532" spans="7:7" x14ac:dyDescent="0.25">
      <c r="G532" s="17"/>
    </row>
    <row r="533" spans="7:7" x14ac:dyDescent="0.25">
      <c r="G533" s="17"/>
    </row>
    <row r="534" spans="7:7" x14ac:dyDescent="0.25">
      <c r="G534" s="17"/>
    </row>
    <row r="535" spans="7:7" x14ac:dyDescent="0.25">
      <c r="G535" s="17"/>
    </row>
    <row r="536" spans="7:7" x14ac:dyDescent="0.25">
      <c r="G536" s="17"/>
    </row>
    <row r="537" spans="7:7" x14ac:dyDescent="0.25">
      <c r="G537" s="17"/>
    </row>
    <row r="538" spans="7:7" x14ac:dyDescent="0.25">
      <c r="G538" s="17"/>
    </row>
    <row r="539" spans="7:7" x14ac:dyDescent="0.25">
      <c r="G539" s="17"/>
    </row>
    <row r="540" spans="7:7" x14ac:dyDescent="0.25">
      <c r="G540" s="17"/>
    </row>
    <row r="541" spans="7:7" x14ac:dyDescent="0.25">
      <c r="G541" s="17"/>
    </row>
    <row r="542" spans="7:7" x14ac:dyDescent="0.25">
      <c r="G542" s="17"/>
    </row>
    <row r="543" spans="7:7" x14ac:dyDescent="0.25">
      <c r="G543" s="17"/>
    </row>
    <row r="544" spans="7:7" x14ac:dyDescent="0.25">
      <c r="G544" s="17"/>
    </row>
    <row r="545" spans="7:7" x14ac:dyDescent="0.25">
      <c r="G545" s="17"/>
    </row>
    <row r="546" spans="7:7" x14ac:dyDescent="0.25">
      <c r="G546" s="17"/>
    </row>
    <row r="547" spans="7:7" x14ac:dyDescent="0.25">
      <c r="G547" s="17"/>
    </row>
    <row r="548" spans="7:7" x14ac:dyDescent="0.25">
      <c r="G548" s="17"/>
    </row>
    <row r="549" spans="7:7" x14ac:dyDescent="0.25">
      <c r="G549" s="17"/>
    </row>
    <row r="550" spans="7:7" x14ac:dyDescent="0.25">
      <c r="G550" s="17"/>
    </row>
    <row r="551" spans="7:7" x14ac:dyDescent="0.25">
      <c r="G551" s="17"/>
    </row>
    <row r="552" spans="7:7" x14ac:dyDescent="0.25">
      <c r="G552" s="17"/>
    </row>
    <row r="553" spans="7:7" x14ac:dyDescent="0.25">
      <c r="G553" s="17"/>
    </row>
    <row r="554" spans="7:7" x14ac:dyDescent="0.25">
      <c r="G554" s="17"/>
    </row>
    <row r="555" spans="7:7" x14ac:dyDescent="0.25">
      <c r="G555" s="17"/>
    </row>
    <row r="556" spans="7:7" x14ac:dyDescent="0.25">
      <c r="G556" s="17"/>
    </row>
    <row r="557" spans="7:7" x14ac:dyDescent="0.25">
      <c r="G557" s="17"/>
    </row>
    <row r="558" spans="7:7" x14ac:dyDescent="0.25">
      <c r="G558" s="17"/>
    </row>
    <row r="559" spans="7:7" x14ac:dyDescent="0.25">
      <c r="G559" s="17"/>
    </row>
    <row r="560" spans="7:7" x14ac:dyDescent="0.25">
      <c r="G560" s="17"/>
    </row>
    <row r="561" spans="7:7" x14ac:dyDescent="0.25">
      <c r="G561" s="17"/>
    </row>
    <row r="562" spans="7:7" x14ac:dyDescent="0.25">
      <c r="G562" s="17"/>
    </row>
    <row r="563" spans="7:7" x14ac:dyDescent="0.25">
      <c r="G563" s="17"/>
    </row>
    <row r="564" spans="7:7" x14ac:dyDescent="0.25">
      <c r="G564" s="17"/>
    </row>
    <row r="565" spans="7:7" x14ac:dyDescent="0.25">
      <c r="G565" s="17"/>
    </row>
    <row r="566" spans="7:7" x14ac:dyDescent="0.25">
      <c r="G566" s="17"/>
    </row>
    <row r="567" spans="7:7" x14ac:dyDescent="0.25">
      <c r="G567" s="17"/>
    </row>
    <row r="568" spans="7:7" x14ac:dyDescent="0.25">
      <c r="G568" s="17"/>
    </row>
    <row r="569" spans="7:7" x14ac:dyDescent="0.25">
      <c r="G569" s="17"/>
    </row>
    <row r="570" spans="7:7" x14ac:dyDescent="0.25">
      <c r="G570" s="17"/>
    </row>
    <row r="571" spans="7:7" x14ac:dyDescent="0.25">
      <c r="G571" s="17"/>
    </row>
    <row r="572" spans="7:7" x14ac:dyDescent="0.25">
      <c r="G572" s="17"/>
    </row>
    <row r="573" spans="7:7" x14ac:dyDescent="0.25">
      <c r="G573" s="17"/>
    </row>
    <row r="574" spans="7:7" x14ac:dyDescent="0.25">
      <c r="G574" s="17"/>
    </row>
    <row r="575" spans="7:7" x14ac:dyDescent="0.25">
      <c r="G575" s="17"/>
    </row>
    <row r="576" spans="7:7" x14ac:dyDescent="0.25">
      <c r="G576" s="17"/>
    </row>
    <row r="577" spans="7:7" x14ac:dyDescent="0.25">
      <c r="G577" s="17"/>
    </row>
    <row r="578" spans="7:7" x14ac:dyDescent="0.25">
      <c r="G578" s="17"/>
    </row>
    <row r="579" spans="7:7" x14ac:dyDescent="0.25">
      <c r="G579" s="17"/>
    </row>
    <row r="580" spans="7:7" x14ac:dyDescent="0.25">
      <c r="G580" s="17"/>
    </row>
    <row r="581" spans="7:7" x14ac:dyDescent="0.25">
      <c r="G581" s="17"/>
    </row>
    <row r="582" spans="7:7" x14ac:dyDescent="0.25">
      <c r="G582" s="17"/>
    </row>
    <row r="583" spans="7:7" x14ac:dyDescent="0.25">
      <c r="G583" s="17"/>
    </row>
    <row r="584" spans="7:7" x14ac:dyDescent="0.25">
      <c r="G584" s="17"/>
    </row>
    <row r="585" spans="7:7" x14ac:dyDescent="0.25">
      <c r="G585" s="17"/>
    </row>
    <row r="586" spans="7:7" x14ac:dyDescent="0.25">
      <c r="G586" s="17"/>
    </row>
    <row r="587" spans="7:7" x14ac:dyDescent="0.25">
      <c r="G587" s="17"/>
    </row>
    <row r="588" spans="7:7" x14ac:dyDescent="0.25">
      <c r="G588" s="17"/>
    </row>
    <row r="589" spans="7:7" x14ac:dyDescent="0.25">
      <c r="G589" s="17"/>
    </row>
    <row r="590" spans="7:7" x14ac:dyDescent="0.25">
      <c r="G590" s="17"/>
    </row>
    <row r="591" spans="7:7" x14ac:dyDescent="0.25">
      <c r="G591" s="17"/>
    </row>
    <row r="592" spans="7:7" x14ac:dyDescent="0.25">
      <c r="G592" s="17"/>
    </row>
    <row r="593" spans="7:7" x14ac:dyDescent="0.25">
      <c r="G593" s="17"/>
    </row>
    <row r="594" spans="7:7" x14ac:dyDescent="0.25">
      <c r="G594" s="17"/>
    </row>
    <row r="595" spans="7:7" x14ac:dyDescent="0.25">
      <c r="G595" s="17"/>
    </row>
    <row r="596" spans="7:7" x14ac:dyDescent="0.25">
      <c r="G596" s="17"/>
    </row>
    <row r="597" spans="7:7" x14ac:dyDescent="0.25">
      <c r="G597" s="17"/>
    </row>
    <row r="598" spans="7:7" x14ac:dyDescent="0.25">
      <c r="G598" s="17"/>
    </row>
    <row r="599" spans="7:7" x14ac:dyDescent="0.25">
      <c r="G599" s="17"/>
    </row>
    <row r="600" spans="7:7" x14ac:dyDescent="0.25">
      <c r="G600" s="17"/>
    </row>
    <row r="601" spans="7:7" x14ac:dyDescent="0.25">
      <c r="G601" s="17"/>
    </row>
    <row r="602" spans="7:7" x14ac:dyDescent="0.25">
      <c r="G602" s="17"/>
    </row>
    <row r="603" spans="7:7" x14ac:dyDescent="0.25">
      <c r="G603" s="17"/>
    </row>
    <row r="604" spans="7:7" x14ac:dyDescent="0.25">
      <c r="G604" s="17"/>
    </row>
    <row r="605" spans="7:7" x14ac:dyDescent="0.25">
      <c r="G605" s="17"/>
    </row>
    <row r="606" spans="7:7" x14ac:dyDescent="0.25">
      <c r="G606" s="17"/>
    </row>
    <row r="607" spans="7:7" x14ac:dyDescent="0.25">
      <c r="G607" s="17"/>
    </row>
    <row r="608" spans="7:7" x14ac:dyDescent="0.25">
      <c r="G608" s="17"/>
    </row>
    <row r="609" spans="7:7" x14ac:dyDescent="0.25">
      <c r="G609" s="17"/>
    </row>
    <row r="610" spans="7:7" x14ac:dyDescent="0.25">
      <c r="G610" s="17"/>
    </row>
    <row r="611" spans="7:7" x14ac:dyDescent="0.25">
      <c r="G611" s="17"/>
    </row>
    <row r="612" spans="7:7" x14ac:dyDescent="0.25">
      <c r="G612" s="17"/>
    </row>
    <row r="613" spans="7:7" x14ac:dyDescent="0.25">
      <c r="G613" s="17"/>
    </row>
    <row r="614" spans="7:7" x14ac:dyDescent="0.25">
      <c r="G614" s="17"/>
    </row>
    <row r="615" spans="7:7" x14ac:dyDescent="0.25">
      <c r="G615" s="17"/>
    </row>
    <row r="616" spans="7:7" x14ac:dyDescent="0.25">
      <c r="G616" s="17"/>
    </row>
    <row r="617" spans="7:7" x14ac:dyDescent="0.25">
      <c r="G617" s="17"/>
    </row>
    <row r="618" spans="7:7" x14ac:dyDescent="0.25">
      <c r="G618" s="17"/>
    </row>
    <row r="619" spans="7:7" x14ac:dyDescent="0.25">
      <c r="G619" s="17"/>
    </row>
    <row r="620" spans="7:7" x14ac:dyDescent="0.25">
      <c r="G620" s="17"/>
    </row>
    <row r="621" spans="7:7" x14ac:dyDescent="0.25">
      <c r="G621" s="17"/>
    </row>
    <row r="622" spans="7:7" x14ac:dyDescent="0.25">
      <c r="G622" s="17"/>
    </row>
    <row r="623" spans="7:7" x14ac:dyDescent="0.25">
      <c r="G623" s="17"/>
    </row>
    <row r="624" spans="7:7" x14ac:dyDescent="0.25">
      <c r="G624" s="17"/>
    </row>
    <row r="625" spans="7:7" x14ac:dyDescent="0.25">
      <c r="G625" s="17"/>
    </row>
    <row r="626" spans="7:7" x14ac:dyDescent="0.25">
      <c r="G626" s="17"/>
    </row>
    <row r="627" spans="7:7" x14ac:dyDescent="0.25">
      <c r="G627" s="17"/>
    </row>
    <row r="628" spans="7:7" x14ac:dyDescent="0.25">
      <c r="G628" s="17"/>
    </row>
    <row r="629" spans="7:7" x14ac:dyDescent="0.25">
      <c r="G629" s="17"/>
    </row>
    <row r="630" spans="7:7" x14ac:dyDescent="0.25">
      <c r="G630" s="17"/>
    </row>
    <row r="631" spans="7:7" x14ac:dyDescent="0.25">
      <c r="G631" s="17"/>
    </row>
    <row r="632" spans="7:7" x14ac:dyDescent="0.25">
      <c r="G632" s="17"/>
    </row>
    <row r="633" spans="7:7" x14ac:dyDescent="0.25">
      <c r="G633" s="17"/>
    </row>
    <row r="634" spans="7:7" x14ac:dyDescent="0.25">
      <c r="G634" s="17"/>
    </row>
    <row r="635" spans="7:7" x14ac:dyDescent="0.25">
      <c r="G635" s="17"/>
    </row>
    <row r="636" spans="7:7" x14ac:dyDescent="0.25">
      <c r="G636" s="17"/>
    </row>
    <row r="637" spans="7:7" x14ac:dyDescent="0.25">
      <c r="G637" s="17"/>
    </row>
    <row r="638" spans="7:7" x14ac:dyDescent="0.25">
      <c r="G638" s="17"/>
    </row>
    <row r="639" spans="7:7" x14ac:dyDescent="0.25">
      <c r="G639" s="17"/>
    </row>
    <row r="640" spans="7:7" x14ac:dyDescent="0.25">
      <c r="G640" s="17"/>
    </row>
  </sheetData>
  <conditionalFormatting sqref="G1:G1048576">
    <cfRule type="duplicateValues" dxfId="45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9C9DE-2982-4BE4-900C-E44356E16658}">
  <sheetPr codeName="Hoja2"/>
  <dimension ref="A1:AC3"/>
  <sheetViews>
    <sheetView topLeftCell="L1" workbookViewId="0">
      <selection activeCell="S2" sqref="S2"/>
    </sheetView>
  </sheetViews>
  <sheetFormatPr baseColWidth="10" defaultRowHeight="15" x14ac:dyDescent="0.25"/>
  <cols>
    <col min="1" max="1" width="11.85546875" customWidth="1"/>
    <col min="2" max="3" width="11.140625" customWidth="1"/>
    <col min="4" max="4" width="14.5703125" customWidth="1"/>
    <col min="5" max="5" width="9.5703125" customWidth="1"/>
    <col min="6" max="6" width="15.140625" style="11" customWidth="1"/>
    <col min="7" max="7" width="11.140625" customWidth="1"/>
    <col min="8" max="8" width="15" customWidth="1"/>
    <col min="9" max="9" width="11.140625" customWidth="1"/>
    <col min="10" max="10" width="13.28515625" customWidth="1"/>
    <col min="11" max="11" width="7.5703125" customWidth="1"/>
    <col min="12" max="12" width="15.140625" style="11" customWidth="1"/>
    <col min="13" max="15" width="7.7109375" customWidth="1"/>
    <col min="16" max="16" width="15.140625" style="11" customWidth="1"/>
    <col min="17" max="17" width="11.140625" customWidth="1"/>
    <col min="21" max="22" width="20" customWidth="1"/>
    <col min="23" max="23" width="11.42578125" style="9"/>
    <col min="24" max="24" width="20" customWidth="1"/>
    <col min="25" max="25" width="29.7109375" customWidth="1"/>
  </cols>
  <sheetData>
    <row r="1" spans="1:29" s="1" customFormat="1" ht="42" customHeight="1" x14ac:dyDescent="0.25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0" t="s">
        <v>31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0" t="s">
        <v>32</v>
      </c>
      <c r="M1" s="1" t="s">
        <v>10</v>
      </c>
      <c r="N1" s="1" t="s">
        <v>11</v>
      </c>
      <c r="O1" s="1" t="s">
        <v>12</v>
      </c>
      <c r="P1" s="10" t="s">
        <v>29</v>
      </c>
      <c r="Q1" s="1" t="s">
        <v>13</v>
      </c>
      <c r="R1" s="2" t="s">
        <v>33</v>
      </c>
      <c r="S1" s="2" t="s">
        <v>34</v>
      </c>
      <c r="T1" s="2" t="s">
        <v>37</v>
      </c>
      <c r="U1" s="12" t="s">
        <v>39</v>
      </c>
      <c r="V1" s="12" t="s">
        <v>40</v>
      </c>
      <c r="W1" s="2" t="s">
        <v>41</v>
      </c>
      <c r="X1" s="2" t="s">
        <v>43</v>
      </c>
      <c r="Y1" s="2" t="s">
        <v>42</v>
      </c>
      <c r="Z1" s="13" t="s">
        <v>45</v>
      </c>
      <c r="AA1" s="13" t="s">
        <v>46</v>
      </c>
      <c r="AB1" s="13" t="s">
        <v>47</v>
      </c>
      <c r="AC1" s="13" t="s">
        <v>48</v>
      </c>
    </row>
    <row r="2" spans="1:29" x14ac:dyDescent="0.25">
      <c r="A2">
        <v>11535</v>
      </c>
      <c r="B2" t="s">
        <v>14</v>
      </c>
      <c r="C2" t="s">
        <v>15</v>
      </c>
      <c r="D2" t="s">
        <v>16</v>
      </c>
      <c r="E2" t="s">
        <v>17</v>
      </c>
      <c r="F2" s="11">
        <v>46094</v>
      </c>
      <c r="G2">
        <v>79540945</v>
      </c>
      <c r="H2" t="s">
        <v>18</v>
      </c>
      <c r="I2" t="s">
        <v>19</v>
      </c>
      <c r="J2" t="s">
        <v>44</v>
      </c>
      <c r="K2" t="s">
        <v>21</v>
      </c>
      <c r="L2" s="11">
        <v>46125</v>
      </c>
      <c r="M2">
        <v>31</v>
      </c>
      <c r="N2" t="s">
        <v>22</v>
      </c>
      <c r="O2" t="s">
        <v>22</v>
      </c>
      <c r="P2" s="11">
        <v>46072</v>
      </c>
      <c r="Q2" t="s">
        <v>23</v>
      </c>
      <c r="R2" t="str">
        <f>IFERROR(VLOOKUP(Tabla15[[#This Row],[Número de documento del contacto]],'Resoluciones 1 (Res)'!$A:$C,2,0),"")</f>
        <v/>
      </c>
      <c r="S2" t="str">
        <f>IFERROR(VLOOKUP(Tabla15[[#This Row],[Número de documento del contacto]],'Resoluciones 1 (Res)'!$A:$C,3,0),"")</f>
        <v/>
      </c>
      <c r="T2" t="str">
        <f>IFERROR(VLOOKUP(Tabla15[[#This Row],[Número de documento del contacto]],'Resoluciones 2 (Req)'!$A:$E,4,0),"")</f>
        <v/>
      </c>
      <c r="U2" s="7" t="str">
        <f t="shared" ref="U2:U3" si="0">TEXT(F2, "d ""de"" mmmm ""de"" yyyy")</f>
        <v>13 de marzo de 2026</v>
      </c>
      <c r="V2" s="7" t="str">
        <f t="shared" ref="V2:V3" si="1">TEXT(P2, "d ""de"" mmmm ""de"" yyyy")</f>
        <v>19 de febrero de 2026</v>
      </c>
      <c r="W2" s="8" t="str">
        <f>"1-" &amp; ROWS($W$2:W2) &amp; ".pdf"</f>
        <v>1-1.pdf</v>
      </c>
      <c r="X2" s="7" t="str">
        <f>Tabla15[[#This Row],[Número de documento del contacto]]&amp;"-"&amp;Tabla15[[#This Row],[Número de resolución de archivo]]&amp;".pdf"</f>
        <v>79540945-.pdf</v>
      </c>
      <c r="Y2" s="7" t="str">
        <f t="shared" ref="Y2:Y3" si="2">"ren """ &amp; W2 &amp; """ """ &amp; X2 &amp; """"</f>
        <v>ren "1-1.pdf" "79540945-.pdf"</v>
      </c>
      <c r="Z2" s="7" t="str">
        <f>Tabla15[[#This Row],[Número de documento del contacto]]&amp;" - "&amp;Tabla15[[#This Row],[Número de resolución de archivo]]&amp;".pdf"</f>
        <v>79540945 - .pdf</v>
      </c>
      <c r="AA2" s="7" t="s">
        <v>49</v>
      </c>
      <c r="AB2" s="7" t="str">
        <f>Tabla15[[#This Row],[Nombre PDF / cedula + num resolucion]]&amp;";"&amp;Tabla15[[#This Row],[instructivo]]</f>
        <v>79540945 - .pdf;10. Instructivo_Radicar_Activación_Credencial_DIGITAL_SIRNA.pdf</v>
      </c>
      <c r="AC2" s="7" t="str">
        <f>Tabla15[[#This Row],[Número de resolución de archivo]]&amp;" - "&amp;Tabla15[[#This Row],[Número de documento del contacto]]</f>
        <v xml:space="preserve"> - 79540945</v>
      </c>
    </row>
    <row r="3" spans="1:29" x14ac:dyDescent="0.25">
      <c r="A3">
        <v>15579</v>
      </c>
      <c r="B3" t="s">
        <v>14</v>
      </c>
      <c r="C3" t="s">
        <v>15</v>
      </c>
      <c r="D3" t="s">
        <v>16</v>
      </c>
      <c r="E3" t="s">
        <v>17</v>
      </c>
      <c r="F3" s="11">
        <v>46094</v>
      </c>
      <c r="G3">
        <v>80756495</v>
      </c>
      <c r="H3" t="s">
        <v>24</v>
      </c>
      <c r="I3" t="s">
        <v>25</v>
      </c>
      <c r="J3" t="s">
        <v>44</v>
      </c>
      <c r="K3" t="s">
        <v>21</v>
      </c>
      <c r="L3" s="11">
        <v>46125</v>
      </c>
      <c r="M3">
        <v>31</v>
      </c>
      <c r="N3" t="s">
        <v>22</v>
      </c>
      <c r="O3" t="s">
        <v>22</v>
      </c>
      <c r="P3" s="11">
        <v>46093</v>
      </c>
      <c r="Q3" t="s">
        <v>23</v>
      </c>
      <c r="R3" t="str">
        <f>IFERROR(VLOOKUP(Tabla15[[#This Row],[Número de documento del contacto]],'Resoluciones 1 (Res)'!$A:$C,2,0),"")</f>
        <v/>
      </c>
      <c r="S3" t="str">
        <f>IFERROR(VLOOKUP(Tabla15[[#This Row],[Número de documento del contacto]],'Resoluciones 1 (Res)'!$A:$C,3,0),"")</f>
        <v/>
      </c>
      <c r="T3" t="str">
        <f>IFERROR(VLOOKUP(Tabla15[[#This Row],[Número de documento del contacto]],'Resoluciones 2 (Req)'!$A:$E,4,0),"")</f>
        <v/>
      </c>
      <c r="U3" s="7" t="str">
        <f t="shared" si="0"/>
        <v>13 de marzo de 2026</v>
      </c>
      <c r="V3" s="7" t="str">
        <f t="shared" si="1"/>
        <v>12 de marzo de 2026</v>
      </c>
      <c r="W3" s="8" t="str">
        <f>"1-" &amp; ROWS($W$2:W3) &amp; ".pdf"</f>
        <v>1-2.pdf</v>
      </c>
      <c r="X3" s="7" t="str">
        <f>Tabla15[[#This Row],[Número de documento del contacto]]&amp;"-"&amp;Tabla15[[#This Row],[Número de resolución de archivo]]&amp;".pdf"</f>
        <v>80756495-.pdf</v>
      </c>
      <c r="Y3" s="7" t="str">
        <f t="shared" si="2"/>
        <v>ren "1-2.pdf" "80756495-.pdf"</v>
      </c>
      <c r="Z3" s="7" t="str">
        <f>Tabla15[[#This Row],[Número de documento del contacto]]&amp;" - "&amp;Tabla15[[#This Row],[Número de resolución de archivo]]&amp;".pdf"</f>
        <v>80756495 - .pdf</v>
      </c>
      <c r="AA3" s="7" t="s">
        <v>49</v>
      </c>
      <c r="AB3" s="7" t="str">
        <f>Tabla15[[#This Row],[Nombre PDF / cedula + num resolucion]]&amp;";"&amp;Tabla15[[#This Row],[instructivo]]</f>
        <v>80756495 - .pdf;10. Instructivo_Radicar_Activación_Credencial_DIGITAL_SIRNA.pdf</v>
      </c>
      <c r="AC3" s="7" t="str">
        <f>Tabla15[[#This Row],[Número de resolución de archivo]]&amp;" - "&amp;Tabla15[[#This Row],[Número de documento del contacto]]</f>
        <v xml:space="preserve"> - 80756495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DF255-01C7-4C82-93CC-6F94C9265F3C}">
  <sheetPr codeName="Hoja3"/>
  <dimension ref="A1:C320"/>
  <sheetViews>
    <sheetView workbookViewId="0">
      <pane ySplit="1" topLeftCell="A2" activePane="bottomLeft" state="frozen"/>
      <selection pane="bottomLeft" activeCell="A2" sqref="A2:A320"/>
    </sheetView>
  </sheetViews>
  <sheetFormatPr baseColWidth="10" defaultRowHeight="15" x14ac:dyDescent="0.25"/>
  <cols>
    <col min="1" max="1" width="15.28515625" customWidth="1"/>
    <col min="2" max="2" width="13" customWidth="1"/>
    <col min="3" max="3" width="20.140625" customWidth="1"/>
  </cols>
  <sheetData>
    <row r="1" spans="1:3" s="1" customFormat="1" ht="27" customHeight="1" x14ac:dyDescent="0.25">
      <c r="A1" s="6" t="s">
        <v>35</v>
      </c>
      <c r="B1" s="6" t="s">
        <v>36</v>
      </c>
      <c r="C1" s="6" t="s">
        <v>4</v>
      </c>
    </row>
    <row r="2" spans="1:3" x14ac:dyDescent="0.25">
      <c r="A2" s="7">
        <v>10002716</v>
      </c>
      <c r="B2" s="15">
        <v>7517</v>
      </c>
      <c r="C2" s="11">
        <v>46184.606747685197</v>
      </c>
    </row>
    <row r="3" spans="1:3" x14ac:dyDescent="0.25">
      <c r="A3" s="7">
        <v>1000576009</v>
      </c>
      <c r="B3" s="15">
        <v>7528</v>
      </c>
      <c r="C3" s="11">
        <v>46184.606747685197</v>
      </c>
    </row>
    <row r="4" spans="1:3" x14ac:dyDescent="0.25">
      <c r="A4" s="7">
        <v>1000613482</v>
      </c>
      <c r="B4" s="15">
        <v>7705</v>
      </c>
      <c r="C4" s="11">
        <v>46184.606747685197</v>
      </c>
    </row>
    <row r="5" spans="1:3" x14ac:dyDescent="0.25">
      <c r="A5" s="7">
        <v>1001219032</v>
      </c>
      <c r="B5" s="15">
        <v>7578</v>
      </c>
      <c r="C5" s="11">
        <v>46184.606747685197</v>
      </c>
    </row>
    <row r="6" spans="1:3" x14ac:dyDescent="0.25">
      <c r="A6" s="7">
        <v>1001687551</v>
      </c>
      <c r="B6" s="15">
        <v>7736</v>
      </c>
      <c r="C6" s="11">
        <v>46184.606747685197</v>
      </c>
    </row>
    <row r="7" spans="1:3" x14ac:dyDescent="0.25">
      <c r="A7" s="7">
        <v>10026088</v>
      </c>
      <c r="B7" s="15">
        <v>7565</v>
      </c>
      <c r="C7" s="11">
        <v>46184.606747685197</v>
      </c>
    </row>
    <row r="8" spans="1:3" x14ac:dyDescent="0.25">
      <c r="A8" s="7">
        <v>1003125775</v>
      </c>
      <c r="B8" s="15">
        <v>7590</v>
      </c>
      <c r="C8" s="11">
        <v>46184.606747685197</v>
      </c>
    </row>
    <row r="9" spans="1:3" x14ac:dyDescent="0.25">
      <c r="A9" s="7">
        <v>1004345578</v>
      </c>
      <c r="B9" s="15">
        <v>7556</v>
      </c>
      <c r="C9" s="11">
        <v>46184.606747685197</v>
      </c>
    </row>
    <row r="10" spans="1:3" x14ac:dyDescent="0.25">
      <c r="A10" s="7">
        <v>1004346158</v>
      </c>
      <c r="B10" s="15">
        <v>7497</v>
      </c>
      <c r="C10" s="11">
        <v>46184.606747685197</v>
      </c>
    </row>
    <row r="11" spans="1:3" x14ac:dyDescent="0.25">
      <c r="A11" s="7">
        <v>1005565168</v>
      </c>
      <c r="B11" s="15">
        <v>7441</v>
      </c>
      <c r="C11" s="11">
        <v>46184.606747685197</v>
      </c>
    </row>
    <row r="12" spans="1:3" x14ac:dyDescent="0.25">
      <c r="A12" s="7">
        <v>1005646617</v>
      </c>
      <c r="B12" s="15">
        <v>7473</v>
      </c>
      <c r="C12" s="11">
        <v>46184.606747685197</v>
      </c>
    </row>
    <row r="13" spans="1:3" x14ac:dyDescent="0.25">
      <c r="A13" s="7">
        <v>1005662415</v>
      </c>
      <c r="B13" s="15">
        <v>7466</v>
      </c>
      <c r="C13" s="11">
        <v>46184.606747685197</v>
      </c>
    </row>
    <row r="14" spans="1:3" x14ac:dyDescent="0.25">
      <c r="A14" s="7">
        <v>1006776418</v>
      </c>
      <c r="B14" s="15">
        <v>7526</v>
      </c>
      <c r="C14" s="11">
        <v>46184.606747685197</v>
      </c>
    </row>
    <row r="15" spans="1:3" x14ac:dyDescent="0.25">
      <c r="A15" s="7">
        <v>1006799173</v>
      </c>
      <c r="B15" s="15">
        <v>7715</v>
      </c>
      <c r="C15" s="11">
        <v>46184.606747685197</v>
      </c>
    </row>
    <row r="16" spans="1:3" x14ac:dyDescent="0.25">
      <c r="A16" s="7">
        <v>1010086773</v>
      </c>
      <c r="B16" s="15">
        <v>7732</v>
      </c>
      <c r="C16" s="11">
        <v>46184.606747685197</v>
      </c>
    </row>
    <row r="17" spans="1:3" x14ac:dyDescent="0.25">
      <c r="A17" s="7">
        <v>1010172991</v>
      </c>
      <c r="B17" s="15">
        <v>7463</v>
      </c>
      <c r="C17" s="11">
        <v>46184.606747685197</v>
      </c>
    </row>
    <row r="18" spans="1:3" x14ac:dyDescent="0.25">
      <c r="A18" s="7">
        <v>1010205321</v>
      </c>
      <c r="B18" s="15">
        <v>7723</v>
      </c>
      <c r="C18" s="11">
        <v>46184.606747685197</v>
      </c>
    </row>
    <row r="19" spans="1:3" x14ac:dyDescent="0.25">
      <c r="A19" s="7">
        <v>1010206822</v>
      </c>
      <c r="B19" s="15">
        <v>7603</v>
      </c>
      <c r="C19" s="11">
        <v>46184.606747685197</v>
      </c>
    </row>
    <row r="20" spans="1:3" x14ac:dyDescent="0.25">
      <c r="A20" s="7">
        <v>1010216084</v>
      </c>
      <c r="B20" s="15">
        <v>7620</v>
      </c>
      <c r="C20" s="11">
        <v>46184.606747685197</v>
      </c>
    </row>
    <row r="21" spans="1:3" x14ac:dyDescent="0.25">
      <c r="A21" s="7">
        <v>1010224297</v>
      </c>
      <c r="B21" s="15">
        <v>7552</v>
      </c>
      <c r="C21" s="11">
        <v>46184.606747685197</v>
      </c>
    </row>
    <row r="22" spans="1:3" x14ac:dyDescent="0.25">
      <c r="A22" s="7">
        <v>1012328702</v>
      </c>
      <c r="B22" s="15">
        <v>7624</v>
      </c>
      <c r="C22" s="11">
        <v>46184.606747685197</v>
      </c>
    </row>
    <row r="23" spans="1:3" x14ac:dyDescent="0.25">
      <c r="A23" s="7">
        <v>1013645155</v>
      </c>
      <c r="B23" s="15">
        <v>7602</v>
      </c>
      <c r="C23" s="11">
        <v>46184.606747685197</v>
      </c>
    </row>
    <row r="24" spans="1:3" x14ac:dyDescent="0.25">
      <c r="A24" s="7">
        <v>1014243708</v>
      </c>
      <c r="B24" s="15">
        <v>7573</v>
      </c>
      <c r="C24" s="11">
        <v>46184.606747685197</v>
      </c>
    </row>
    <row r="25" spans="1:3" x14ac:dyDescent="0.25">
      <c r="A25" s="7">
        <v>1014246794</v>
      </c>
      <c r="B25" s="15">
        <v>7675</v>
      </c>
      <c r="C25" s="11">
        <v>46184.606747685197</v>
      </c>
    </row>
    <row r="26" spans="1:3" x14ac:dyDescent="0.25">
      <c r="A26" s="7">
        <v>1014267848</v>
      </c>
      <c r="B26" s="15">
        <v>7455</v>
      </c>
      <c r="C26" s="11">
        <v>46184.606747685197</v>
      </c>
    </row>
    <row r="27" spans="1:3" x14ac:dyDescent="0.25">
      <c r="A27" s="7">
        <v>1014294602</v>
      </c>
      <c r="B27" s="15">
        <v>7724</v>
      </c>
      <c r="C27" s="11">
        <v>46184.606747685197</v>
      </c>
    </row>
    <row r="28" spans="1:3" x14ac:dyDescent="0.25">
      <c r="A28" s="7">
        <v>1015411920</v>
      </c>
      <c r="B28" s="15">
        <v>7547</v>
      </c>
      <c r="C28" s="11">
        <v>46184.606747685197</v>
      </c>
    </row>
    <row r="29" spans="1:3" x14ac:dyDescent="0.25">
      <c r="A29" s="7">
        <v>1015436436</v>
      </c>
      <c r="B29" s="15">
        <v>7628</v>
      </c>
      <c r="C29" s="11">
        <v>46184.606747685197</v>
      </c>
    </row>
    <row r="30" spans="1:3" x14ac:dyDescent="0.25">
      <c r="A30" s="7">
        <v>1016029320</v>
      </c>
      <c r="B30" s="15">
        <v>7553</v>
      </c>
      <c r="C30" s="11">
        <v>46184.606747685197</v>
      </c>
    </row>
    <row r="31" spans="1:3" x14ac:dyDescent="0.25">
      <c r="A31" s="7">
        <v>1016035426</v>
      </c>
      <c r="B31" s="15">
        <v>7708</v>
      </c>
      <c r="C31" s="11">
        <v>46184.606747685197</v>
      </c>
    </row>
    <row r="32" spans="1:3" x14ac:dyDescent="0.25">
      <c r="A32" s="7">
        <v>1017159163</v>
      </c>
      <c r="B32" s="15">
        <v>7656</v>
      </c>
      <c r="C32" s="11">
        <v>46184.606747685197</v>
      </c>
    </row>
    <row r="33" spans="1:3" x14ac:dyDescent="0.25">
      <c r="A33" s="7">
        <v>1017197568</v>
      </c>
      <c r="B33" s="15">
        <v>7700</v>
      </c>
      <c r="C33" s="11">
        <v>46184.606747685197</v>
      </c>
    </row>
    <row r="34" spans="1:3" x14ac:dyDescent="0.25">
      <c r="A34" s="7">
        <v>1017245718</v>
      </c>
      <c r="B34" s="15">
        <v>7629</v>
      </c>
      <c r="C34" s="11">
        <v>46184.606747685197</v>
      </c>
    </row>
    <row r="35" spans="1:3" x14ac:dyDescent="0.25">
      <c r="A35" s="7">
        <v>1017262283</v>
      </c>
      <c r="B35" s="15">
        <v>7471</v>
      </c>
      <c r="C35" s="11">
        <v>46184.606747685197</v>
      </c>
    </row>
    <row r="36" spans="1:3" x14ac:dyDescent="0.25">
      <c r="A36" s="7">
        <v>1018407768</v>
      </c>
      <c r="B36" s="15">
        <v>7663</v>
      </c>
      <c r="C36" s="11">
        <v>46184.606747685197</v>
      </c>
    </row>
    <row r="37" spans="1:3" x14ac:dyDescent="0.25">
      <c r="A37" s="7">
        <v>1018429230</v>
      </c>
      <c r="B37" s="15">
        <v>7529</v>
      </c>
      <c r="C37" s="11">
        <v>46184.606747685197</v>
      </c>
    </row>
    <row r="38" spans="1:3" x14ac:dyDescent="0.25">
      <c r="A38" s="7">
        <v>1019058607</v>
      </c>
      <c r="B38" s="15">
        <v>7467</v>
      </c>
      <c r="C38" s="11">
        <v>46184.606747685197</v>
      </c>
    </row>
    <row r="39" spans="1:3" x14ac:dyDescent="0.25">
      <c r="A39" s="7">
        <v>1019073821</v>
      </c>
      <c r="B39" s="15">
        <v>7742</v>
      </c>
      <c r="C39" s="11">
        <v>46184.606747685197</v>
      </c>
    </row>
    <row r="40" spans="1:3" x14ac:dyDescent="0.25">
      <c r="A40" s="7">
        <v>1019104435</v>
      </c>
      <c r="B40" s="15">
        <v>7717</v>
      </c>
      <c r="C40" s="11">
        <v>46184.606747685197</v>
      </c>
    </row>
    <row r="41" spans="1:3" x14ac:dyDescent="0.25">
      <c r="A41" s="7">
        <v>1019133523</v>
      </c>
      <c r="B41" s="15">
        <v>7601</v>
      </c>
      <c r="C41" s="11">
        <v>46184.606747685197</v>
      </c>
    </row>
    <row r="42" spans="1:3" x14ac:dyDescent="0.25">
      <c r="A42" s="7">
        <v>1020472210</v>
      </c>
      <c r="B42" s="15">
        <v>7477</v>
      </c>
      <c r="C42" s="11">
        <v>46184.606747685197</v>
      </c>
    </row>
    <row r="43" spans="1:3" x14ac:dyDescent="0.25">
      <c r="A43" s="7">
        <v>1020765272</v>
      </c>
      <c r="B43" s="15">
        <v>7483</v>
      </c>
      <c r="C43" s="11">
        <v>46184.606747685197</v>
      </c>
    </row>
    <row r="44" spans="1:3" x14ac:dyDescent="0.25">
      <c r="A44" s="7">
        <v>1020804799</v>
      </c>
      <c r="B44" s="15">
        <v>7561</v>
      </c>
      <c r="C44" s="11">
        <v>46184.606747685197</v>
      </c>
    </row>
    <row r="45" spans="1:3" x14ac:dyDescent="0.25">
      <c r="A45" s="7">
        <v>1020805548</v>
      </c>
      <c r="B45" s="15">
        <v>7557</v>
      </c>
      <c r="C45" s="11">
        <v>46184.606747685197</v>
      </c>
    </row>
    <row r="46" spans="1:3" x14ac:dyDescent="0.25">
      <c r="A46" s="7">
        <v>1020810434</v>
      </c>
      <c r="B46" s="15">
        <v>7445</v>
      </c>
      <c r="C46" s="11">
        <v>46184.606747685197</v>
      </c>
    </row>
    <row r="47" spans="1:3" x14ac:dyDescent="0.25">
      <c r="A47" s="7">
        <v>1022361627</v>
      </c>
      <c r="B47" s="15">
        <v>7505</v>
      </c>
      <c r="C47" s="11">
        <v>46184.606747685197</v>
      </c>
    </row>
    <row r="48" spans="1:3" x14ac:dyDescent="0.25">
      <c r="A48" s="7">
        <v>1022379779</v>
      </c>
      <c r="B48" s="15">
        <v>7533</v>
      </c>
      <c r="C48" s="11">
        <v>46184.606747685197</v>
      </c>
    </row>
    <row r="49" spans="1:3" x14ac:dyDescent="0.25">
      <c r="A49" s="7">
        <v>1022390561</v>
      </c>
      <c r="B49" s="15">
        <v>7550</v>
      </c>
      <c r="C49" s="11">
        <v>46184.606747685197</v>
      </c>
    </row>
    <row r="50" spans="1:3" x14ac:dyDescent="0.25">
      <c r="A50" s="7">
        <v>1026285095</v>
      </c>
      <c r="B50" s="15">
        <v>7464</v>
      </c>
      <c r="C50" s="11">
        <v>46184.606747685197</v>
      </c>
    </row>
    <row r="51" spans="1:3" x14ac:dyDescent="0.25">
      <c r="A51" s="7">
        <v>1026285777</v>
      </c>
      <c r="B51" s="15">
        <v>7540</v>
      </c>
      <c r="C51" s="11">
        <v>46184.606747685197</v>
      </c>
    </row>
    <row r="52" spans="1:3" x14ac:dyDescent="0.25">
      <c r="A52" s="7">
        <v>1026564480</v>
      </c>
      <c r="B52" s="15">
        <v>7480</v>
      </c>
      <c r="C52" s="11">
        <v>46184.606747685197</v>
      </c>
    </row>
    <row r="53" spans="1:3" x14ac:dyDescent="0.25">
      <c r="A53" s="7">
        <v>1026591819</v>
      </c>
      <c r="B53" s="15">
        <v>7653</v>
      </c>
      <c r="C53" s="11">
        <v>46184.606747685197</v>
      </c>
    </row>
    <row r="54" spans="1:3" x14ac:dyDescent="0.25">
      <c r="A54" s="7">
        <v>1027883766</v>
      </c>
      <c r="B54" s="15">
        <v>7738</v>
      </c>
      <c r="C54" s="11">
        <v>46184.606747685197</v>
      </c>
    </row>
    <row r="55" spans="1:3" x14ac:dyDescent="0.25">
      <c r="A55" s="7">
        <v>1027941930</v>
      </c>
      <c r="B55" s="15">
        <v>7668</v>
      </c>
      <c r="C55" s="11">
        <v>46184.606747685197</v>
      </c>
    </row>
    <row r="56" spans="1:3" x14ac:dyDescent="0.25">
      <c r="A56" s="7">
        <v>1027957037</v>
      </c>
      <c r="B56" s="15">
        <v>7522</v>
      </c>
      <c r="C56" s="11">
        <v>46184.606747685197</v>
      </c>
    </row>
    <row r="57" spans="1:3" x14ac:dyDescent="0.25">
      <c r="A57" s="7">
        <v>10300461</v>
      </c>
      <c r="B57" s="15">
        <v>7733</v>
      </c>
      <c r="C57" s="11">
        <v>46184.606747685197</v>
      </c>
    </row>
    <row r="58" spans="1:3" x14ac:dyDescent="0.25">
      <c r="A58" s="7">
        <v>1030642301</v>
      </c>
      <c r="B58" s="15">
        <v>7657</v>
      </c>
      <c r="C58" s="11">
        <v>46184.606747685197</v>
      </c>
    </row>
    <row r="59" spans="1:3" x14ac:dyDescent="0.25">
      <c r="A59" s="7">
        <v>1032382759</v>
      </c>
      <c r="B59" s="15">
        <v>7530</v>
      </c>
      <c r="C59" s="11">
        <v>46184.606747685197</v>
      </c>
    </row>
    <row r="60" spans="1:3" x14ac:dyDescent="0.25">
      <c r="A60" s="7">
        <v>1032497648</v>
      </c>
      <c r="B60" s="15">
        <v>7747</v>
      </c>
      <c r="C60" s="11">
        <v>46184.606747685197</v>
      </c>
    </row>
    <row r="61" spans="1:3" x14ac:dyDescent="0.25">
      <c r="A61" s="7">
        <v>1033339451</v>
      </c>
      <c r="B61" s="15">
        <v>7711</v>
      </c>
      <c r="C61" s="11">
        <v>46184.606747685197</v>
      </c>
    </row>
    <row r="62" spans="1:3" x14ac:dyDescent="0.25">
      <c r="A62" s="7">
        <v>1033712526</v>
      </c>
      <c r="B62" s="15">
        <v>7574</v>
      </c>
      <c r="C62" s="11">
        <v>46184.606747685197</v>
      </c>
    </row>
    <row r="63" spans="1:3" x14ac:dyDescent="0.25">
      <c r="A63" s="7">
        <v>1033802942</v>
      </c>
      <c r="B63" s="15">
        <v>7659</v>
      </c>
      <c r="C63" s="11">
        <v>46184.606747685197</v>
      </c>
    </row>
    <row r="64" spans="1:3" x14ac:dyDescent="0.25">
      <c r="A64" s="7">
        <v>1035871966</v>
      </c>
      <c r="B64" s="15">
        <v>7512</v>
      </c>
      <c r="C64" s="11">
        <v>46184.606747685197</v>
      </c>
    </row>
    <row r="65" spans="1:3" x14ac:dyDescent="0.25">
      <c r="A65" s="7">
        <v>1037634082</v>
      </c>
      <c r="B65" s="15">
        <v>7726</v>
      </c>
      <c r="C65" s="11">
        <v>46184.606747685197</v>
      </c>
    </row>
    <row r="66" spans="1:3" x14ac:dyDescent="0.25">
      <c r="A66" s="7">
        <v>1037644304</v>
      </c>
      <c r="B66" s="15">
        <v>7615</v>
      </c>
      <c r="C66" s="11">
        <v>46184.606747685197</v>
      </c>
    </row>
    <row r="67" spans="1:3" x14ac:dyDescent="0.25">
      <c r="A67" s="7">
        <v>1037661461</v>
      </c>
      <c r="B67" s="15">
        <v>7598</v>
      </c>
      <c r="C67" s="11">
        <v>46184.606747685197</v>
      </c>
    </row>
    <row r="68" spans="1:3" x14ac:dyDescent="0.25">
      <c r="A68" s="7">
        <v>1037663793</v>
      </c>
      <c r="B68" s="15">
        <v>7485</v>
      </c>
      <c r="C68" s="11">
        <v>46184.606747685197</v>
      </c>
    </row>
    <row r="69" spans="1:3" x14ac:dyDescent="0.25">
      <c r="A69" s="7">
        <v>1038809621</v>
      </c>
      <c r="B69" s="15">
        <v>7741</v>
      </c>
      <c r="C69" s="11">
        <v>46184.606747685197</v>
      </c>
    </row>
    <row r="70" spans="1:3" x14ac:dyDescent="0.25">
      <c r="A70" s="7">
        <v>1044429286</v>
      </c>
      <c r="B70" s="15">
        <v>7458</v>
      </c>
      <c r="C70" s="11">
        <v>46184.606747685197</v>
      </c>
    </row>
    <row r="71" spans="1:3" x14ac:dyDescent="0.25">
      <c r="A71" s="7">
        <v>1045669627</v>
      </c>
      <c r="B71" s="15">
        <v>7721</v>
      </c>
      <c r="C71" s="11">
        <v>46184.606747685197</v>
      </c>
    </row>
    <row r="72" spans="1:3" x14ac:dyDescent="0.25">
      <c r="A72" s="7">
        <v>1047336886</v>
      </c>
      <c r="B72" s="15">
        <v>7730</v>
      </c>
      <c r="C72" s="11">
        <v>46184.606747685197</v>
      </c>
    </row>
    <row r="73" spans="1:3" x14ac:dyDescent="0.25">
      <c r="A73" s="7">
        <v>1047410308</v>
      </c>
      <c r="B73" s="15">
        <v>7716</v>
      </c>
      <c r="C73" s="11">
        <v>46184.606747685197</v>
      </c>
    </row>
    <row r="74" spans="1:3" x14ac:dyDescent="0.25">
      <c r="A74" s="7">
        <v>1047480322</v>
      </c>
      <c r="B74" s="15">
        <v>7548</v>
      </c>
      <c r="C74" s="11">
        <v>46184.606747685197</v>
      </c>
    </row>
    <row r="75" spans="1:3" x14ac:dyDescent="0.25">
      <c r="A75" s="7">
        <v>1049635484</v>
      </c>
      <c r="B75" s="15">
        <v>7696</v>
      </c>
      <c r="C75" s="11">
        <v>46184.606747685197</v>
      </c>
    </row>
    <row r="76" spans="1:3" x14ac:dyDescent="0.25">
      <c r="A76" s="7">
        <v>1052985982</v>
      </c>
      <c r="B76" s="15">
        <v>7452</v>
      </c>
      <c r="C76" s="11">
        <v>46184.606747685197</v>
      </c>
    </row>
    <row r="77" spans="1:3" x14ac:dyDescent="0.25">
      <c r="A77" s="7">
        <v>1053003995</v>
      </c>
      <c r="B77" s="15">
        <v>7613</v>
      </c>
      <c r="C77" s="11">
        <v>46184.606747685197</v>
      </c>
    </row>
    <row r="78" spans="1:3" x14ac:dyDescent="0.25">
      <c r="A78" s="7">
        <v>1053348401</v>
      </c>
      <c r="B78" s="15">
        <v>7689</v>
      </c>
      <c r="C78" s="11">
        <v>46184.606747685197</v>
      </c>
    </row>
    <row r="79" spans="1:3" x14ac:dyDescent="0.25">
      <c r="A79" s="7">
        <v>1053609285</v>
      </c>
      <c r="B79" s="15">
        <v>7670</v>
      </c>
      <c r="C79" s="11">
        <v>46184.606747685197</v>
      </c>
    </row>
    <row r="80" spans="1:3" x14ac:dyDescent="0.25">
      <c r="A80" s="7">
        <v>1053770836</v>
      </c>
      <c r="B80" s="15">
        <v>7607</v>
      </c>
      <c r="C80" s="11">
        <v>46184.606747685197</v>
      </c>
    </row>
    <row r="81" spans="1:3" x14ac:dyDescent="0.25">
      <c r="A81" s="7">
        <v>1053791580</v>
      </c>
      <c r="B81" s="15">
        <v>7554</v>
      </c>
      <c r="C81" s="11">
        <v>46184.606747685197</v>
      </c>
    </row>
    <row r="82" spans="1:3" x14ac:dyDescent="0.25">
      <c r="A82" s="7">
        <v>1053841080</v>
      </c>
      <c r="B82" s="15">
        <v>7687</v>
      </c>
      <c r="C82" s="11">
        <v>46184.606747685197</v>
      </c>
    </row>
    <row r="83" spans="1:3" x14ac:dyDescent="0.25">
      <c r="A83" s="7">
        <v>1054540169</v>
      </c>
      <c r="B83" s="15">
        <v>7667</v>
      </c>
      <c r="C83" s="11">
        <v>46184.606747685197</v>
      </c>
    </row>
    <row r="84" spans="1:3" x14ac:dyDescent="0.25">
      <c r="A84" s="7">
        <v>1055962844</v>
      </c>
      <c r="B84" s="15">
        <v>7691</v>
      </c>
      <c r="C84" s="11">
        <v>46184.606747685197</v>
      </c>
    </row>
    <row r="85" spans="1:3" x14ac:dyDescent="0.25">
      <c r="A85" s="7">
        <v>1060654128</v>
      </c>
      <c r="B85" s="15">
        <v>7507</v>
      </c>
      <c r="C85" s="11">
        <v>46184.606747685197</v>
      </c>
    </row>
    <row r="86" spans="1:3" x14ac:dyDescent="0.25">
      <c r="A86" s="7">
        <v>1061686941</v>
      </c>
      <c r="B86" s="15">
        <v>7449</v>
      </c>
      <c r="C86" s="11">
        <v>46184.606747685197</v>
      </c>
    </row>
    <row r="87" spans="1:3" x14ac:dyDescent="0.25">
      <c r="A87" s="7">
        <v>1061693674</v>
      </c>
      <c r="B87" s="15">
        <v>7568</v>
      </c>
      <c r="C87" s="11">
        <v>46184.606747685197</v>
      </c>
    </row>
    <row r="88" spans="1:3" x14ac:dyDescent="0.25">
      <c r="A88" s="7">
        <v>1061787052</v>
      </c>
      <c r="B88" s="15">
        <v>7436</v>
      </c>
      <c r="C88" s="11">
        <v>46184.606747685197</v>
      </c>
    </row>
    <row r="89" spans="1:3" x14ac:dyDescent="0.25">
      <c r="A89" s="7">
        <v>1065002465</v>
      </c>
      <c r="B89" s="15">
        <v>7425</v>
      </c>
      <c r="C89" s="11">
        <v>46184.541458333297</v>
      </c>
    </row>
    <row r="90" spans="1:3" x14ac:dyDescent="0.25">
      <c r="A90" s="7">
        <v>1065599672</v>
      </c>
      <c r="B90" s="15">
        <v>7625</v>
      </c>
      <c r="C90" s="11">
        <v>46184.606747685197</v>
      </c>
    </row>
    <row r="91" spans="1:3" x14ac:dyDescent="0.25">
      <c r="A91" s="7">
        <v>1067885609</v>
      </c>
      <c r="B91" s="15">
        <v>7734</v>
      </c>
      <c r="C91" s="11">
        <v>46184.606747685197</v>
      </c>
    </row>
    <row r="92" spans="1:3" x14ac:dyDescent="0.25">
      <c r="A92" s="7">
        <v>1072421043</v>
      </c>
      <c r="B92" s="15">
        <v>7642</v>
      </c>
      <c r="C92" s="11">
        <v>46184.606747685197</v>
      </c>
    </row>
    <row r="93" spans="1:3" x14ac:dyDescent="0.25">
      <c r="A93" s="7">
        <v>1073506423</v>
      </c>
      <c r="B93" s="15">
        <v>7474</v>
      </c>
      <c r="C93" s="11">
        <v>46184.606747685197</v>
      </c>
    </row>
    <row r="94" spans="1:3" x14ac:dyDescent="0.25">
      <c r="A94" s="7">
        <v>1073678266</v>
      </c>
      <c r="B94" s="15">
        <v>7595</v>
      </c>
      <c r="C94" s="11">
        <v>46184.606747685197</v>
      </c>
    </row>
    <row r="95" spans="1:3" x14ac:dyDescent="0.25">
      <c r="A95" s="7">
        <v>1075229316</v>
      </c>
      <c r="B95" s="15">
        <v>7591</v>
      </c>
      <c r="C95" s="11">
        <v>46184.606747685197</v>
      </c>
    </row>
    <row r="96" spans="1:3" x14ac:dyDescent="0.25">
      <c r="A96" s="7">
        <v>1075235815</v>
      </c>
      <c r="B96" s="15">
        <v>7604</v>
      </c>
      <c r="C96" s="11">
        <v>46184.606747685197</v>
      </c>
    </row>
    <row r="97" spans="1:3" x14ac:dyDescent="0.25">
      <c r="A97" s="7">
        <v>1075293567</v>
      </c>
      <c r="B97" s="15">
        <v>7488</v>
      </c>
      <c r="C97" s="11">
        <v>46184.606747685197</v>
      </c>
    </row>
    <row r="98" spans="1:3" x14ac:dyDescent="0.25">
      <c r="A98" s="7">
        <v>1075300872</v>
      </c>
      <c r="B98" s="15">
        <v>7614</v>
      </c>
      <c r="C98" s="11">
        <v>46184.606747685197</v>
      </c>
    </row>
    <row r="99" spans="1:3" x14ac:dyDescent="0.25">
      <c r="A99" s="7">
        <v>1075661528</v>
      </c>
      <c r="B99" s="15">
        <v>7534</v>
      </c>
      <c r="C99" s="11">
        <v>46184.606747685197</v>
      </c>
    </row>
    <row r="100" spans="1:3" x14ac:dyDescent="0.25">
      <c r="A100" s="7">
        <v>1076329219</v>
      </c>
      <c r="B100" s="15">
        <v>7442</v>
      </c>
      <c r="C100" s="11">
        <v>46184.606747685197</v>
      </c>
    </row>
    <row r="101" spans="1:3" x14ac:dyDescent="0.25">
      <c r="A101" s="7">
        <v>1077942206</v>
      </c>
      <c r="B101" s="15">
        <v>7735</v>
      </c>
      <c r="C101" s="11">
        <v>46184.606747685197</v>
      </c>
    </row>
    <row r="102" spans="1:3" x14ac:dyDescent="0.25">
      <c r="A102" s="7">
        <v>1082958322</v>
      </c>
      <c r="B102" s="15">
        <v>7502</v>
      </c>
      <c r="C102" s="11">
        <v>46184.606747685197</v>
      </c>
    </row>
    <row r="103" spans="1:3" x14ac:dyDescent="0.25">
      <c r="A103" s="7">
        <v>1082961230</v>
      </c>
      <c r="B103" s="15">
        <v>7555</v>
      </c>
      <c r="C103" s="11">
        <v>46184.606747685197</v>
      </c>
    </row>
    <row r="104" spans="1:3" x14ac:dyDescent="0.25">
      <c r="A104" s="7">
        <v>1082967936</v>
      </c>
      <c r="B104" s="15">
        <v>7631</v>
      </c>
      <c r="C104" s="11">
        <v>46184.606747685197</v>
      </c>
    </row>
    <row r="105" spans="1:3" x14ac:dyDescent="0.25">
      <c r="A105" s="7">
        <v>1082998533</v>
      </c>
      <c r="B105" s="15">
        <v>7650</v>
      </c>
      <c r="C105" s="11">
        <v>46184.606747685197</v>
      </c>
    </row>
    <row r="106" spans="1:3" x14ac:dyDescent="0.25">
      <c r="A106" s="7">
        <v>1083876945</v>
      </c>
      <c r="B106" s="15">
        <v>7673</v>
      </c>
      <c r="C106" s="11">
        <v>46184.606747685197</v>
      </c>
    </row>
    <row r="107" spans="1:3" x14ac:dyDescent="0.25">
      <c r="A107" s="7">
        <v>1083879224</v>
      </c>
      <c r="B107" s="15">
        <v>7644</v>
      </c>
      <c r="C107" s="11">
        <v>46184.606747685197</v>
      </c>
    </row>
    <row r="108" spans="1:3" x14ac:dyDescent="0.25">
      <c r="A108" s="7">
        <v>1083881300</v>
      </c>
      <c r="B108" s="15">
        <v>7551</v>
      </c>
      <c r="C108" s="11">
        <v>46184.606747685197</v>
      </c>
    </row>
    <row r="109" spans="1:3" x14ac:dyDescent="0.25">
      <c r="A109" s="7">
        <v>1085244589</v>
      </c>
      <c r="B109" s="15">
        <v>7658</v>
      </c>
      <c r="C109" s="11">
        <v>46184.606747685197</v>
      </c>
    </row>
    <row r="110" spans="1:3" x14ac:dyDescent="0.25">
      <c r="A110" s="7">
        <v>1085306143</v>
      </c>
      <c r="B110" s="15">
        <v>7632</v>
      </c>
      <c r="C110" s="11">
        <v>46184.606747685197</v>
      </c>
    </row>
    <row r="111" spans="1:3" x14ac:dyDescent="0.25">
      <c r="A111" s="7">
        <v>1088003555</v>
      </c>
      <c r="B111" s="15">
        <v>7490</v>
      </c>
      <c r="C111" s="11">
        <v>46184.606747685197</v>
      </c>
    </row>
    <row r="112" spans="1:3" x14ac:dyDescent="0.25">
      <c r="A112" s="7">
        <v>1088306138</v>
      </c>
      <c r="B112" s="15">
        <v>7453</v>
      </c>
      <c r="C112" s="11">
        <v>46184.606747685197</v>
      </c>
    </row>
    <row r="113" spans="1:3" x14ac:dyDescent="0.25">
      <c r="A113" s="7">
        <v>1088316121</v>
      </c>
      <c r="B113" s="15">
        <v>7740</v>
      </c>
      <c r="C113" s="11">
        <v>46184.606747685197</v>
      </c>
    </row>
    <row r="114" spans="1:3" x14ac:dyDescent="0.25">
      <c r="A114" s="7">
        <v>1088339948</v>
      </c>
      <c r="B114" s="15">
        <v>7510</v>
      </c>
      <c r="C114" s="11">
        <v>46184.606747685197</v>
      </c>
    </row>
    <row r="115" spans="1:3" x14ac:dyDescent="0.25">
      <c r="A115" s="7">
        <v>1088347594</v>
      </c>
      <c r="B115" s="15">
        <v>7518</v>
      </c>
      <c r="C115" s="11">
        <v>46184.606747685197</v>
      </c>
    </row>
    <row r="116" spans="1:3" x14ac:dyDescent="0.25">
      <c r="A116" s="7">
        <v>1090416951</v>
      </c>
      <c r="B116" s="15">
        <v>7683</v>
      </c>
      <c r="C116" s="11">
        <v>46184.606747685197</v>
      </c>
    </row>
    <row r="117" spans="1:3" x14ac:dyDescent="0.25">
      <c r="A117" s="7">
        <v>1090472444</v>
      </c>
      <c r="B117" s="15">
        <v>7478</v>
      </c>
      <c r="C117" s="11">
        <v>46184.606747685197</v>
      </c>
    </row>
    <row r="118" spans="1:3" x14ac:dyDescent="0.25">
      <c r="A118" s="7">
        <v>1092362829</v>
      </c>
      <c r="B118" s="15">
        <v>7706</v>
      </c>
      <c r="C118" s="11">
        <v>46184.606747685197</v>
      </c>
    </row>
    <row r="119" spans="1:3" x14ac:dyDescent="0.25">
      <c r="A119" s="7">
        <v>1093736635</v>
      </c>
      <c r="B119" s="15">
        <v>7666</v>
      </c>
      <c r="C119" s="11">
        <v>46184.606747685197</v>
      </c>
    </row>
    <row r="120" spans="1:3" x14ac:dyDescent="0.25">
      <c r="A120" s="7">
        <v>1094247892</v>
      </c>
      <c r="B120" s="15">
        <v>7486</v>
      </c>
      <c r="C120" s="11">
        <v>46184.606747685197</v>
      </c>
    </row>
    <row r="121" spans="1:3" x14ac:dyDescent="0.25">
      <c r="A121" s="7">
        <v>1094265795</v>
      </c>
      <c r="B121" s="15">
        <v>7664</v>
      </c>
      <c r="C121" s="11">
        <v>46184.606747685197</v>
      </c>
    </row>
    <row r="122" spans="1:3" x14ac:dyDescent="0.25">
      <c r="A122" s="7">
        <v>1095806358</v>
      </c>
      <c r="B122" s="15">
        <v>7672</v>
      </c>
      <c r="C122" s="11">
        <v>46184.606747685197</v>
      </c>
    </row>
    <row r="123" spans="1:3" x14ac:dyDescent="0.25">
      <c r="A123" s="7">
        <v>1095825631</v>
      </c>
      <c r="B123" s="15">
        <v>7635</v>
      </c>
      <c r="C123" s="11">
        <v>46184.606747685197</v>
      </c>
    </row>
    <row r="124" spans="1:3" x14ac:dyDescent="0.25">
      <c r="A124" s="7">
        <v>1095828660</v>
      </c>
      <c r="B124" s="15">
        <v>7525</v>
      </c>
      <c r="C124" s="11">
        <v>46184.606747685197</v>
      </c>
    </row>
    <row r="125" spans="1:3" x14ac:dyDescent="0.25">
      <c r="A125" s="7">
        <v>1095840842</v>
      </c>
      <c r="B125" s="15">
        <v>7470</v>
      </c>
      <c r="C125" s="11">
        <v>46184.606747685197</v>
      </c>
    </row>
    <row r="126" spans="1:3" x14ac:dyDescent="0.25">
      <c r="A126" s="7">
        <v>1095943565</v>
      </c>
      <c r="B126" s="15">
        <v>7609</v>
      </c>
      <c r="C126" s="11">
        <v>46184.606747685197</v>
      </c>
    </row>
    <row r="127" spans="1:3" x14ac:dyDescent="0.25">
      <c r="A127" s="7">
        <v>1096213927</v>
      </c>
      <c r="B127" s="15">
        <v>7457</v>
      </c>
      <c r="C127" s="11">
        <v>46184.606747685197</v>
      </c>
    </row>
    <row r="128" spans="1:3" x14ac:dyDescent="0.25">
      <c r="A128" s="7">
        <v>1096241811</v>
      </c>
      <c r="B128" s="15">
        <v>7714</v>
      </c>
      <c r="C128" s="11">
        <v>46184.606747685197</v>
      </c>
    </row>
    <row r="129" spans="1:3" x14ac:dyDescent="0.25">
      <c r="A129" s="7">
        <v>1098101526</v>
      </c>
      <c r="B129" s="15">
        <v>7437</v>
      </c>
      <c r="C129" s="11">
        <v>46184.606747685197</v>
      </c>
    </row>
    <row r="130" spans="1:3" x14ac:dyDescent="0.25">
      <c r="A130" s="7">
        <v>1098654278</v>
      </c>
      <c r="B130" s="15">
        <v>7468</v>
      </c>
      <c r="C130" s="11">
        <v>46184.606747685197</v>
      </c>
    </row>
    <row r="131" spans="1:3" x14ac:dyDescent="0.25">
      <c r="A131" s="7">
        <v>1098668233</v>
      </c>
      <c r="B131" s="15">
        <v>7541</v>
      </c>
      <c r="C131" s="11">
        <v>46184.606747685197</v>
      </c>
    </row>
    <row r="132" spans="1:3" x14ac:dyDescent="0.25">
      <c r="A132" s="7">
        <v>1098674387</v>
      </c>
      <c r="B132" s="15">
        <v>7469</v>
      </c>
      <c r="C132" s="11">
        <v>46184.606747685197</v>
      </c>
    </row>
    <row r="133" spans="1:3" x14ac:dyDescent="0.25">
      <c r="A133" s="7">
        <v>1098730126</v>
      </c>
      <c r="B133" s="15">
        <v>7639</v>
      </c>
      <c r="C133" s="11">
        <v>46184.606747685197</v>
      </c>
    </row>
    <row r="134" spans="1:3" x14ac:dyDescent="0.25">
      <c r="A134" s="7">
        <v>1098789661</v>
      </c>
      <c r="B134" s="15">
        <v>7612</v>
      </c>
      <c r="C134" s="11">
        <v>46184.606747685197</v>
      </c>
    </row>
    <row r="135" spans="1:3" x14ac:dyDescent="0.25">
      <c r="A135" s="7">
        <v>1098822183</v>
      </c>
      <c r="B135" s="15">
        <v>7513</v>
      </c>
      <c r="C135" s="11">
        <v>46184.606747685197</v>
      </c>
    </row>
    <row r="136" spans="1:3" x14ac:dyDescent="0.25">
      <c r="A136" s="7">
        <v>1099203204</v>
      </c>
      <c r="B136" s="15">
        <v>7487</v>
      </c>
      <c r="C136" s="11">
        <v>46184.606747685197</v>
      </c>
    </row>
    <row r="137" spans="1:3" x14ac:dyDescent="0.25">
      <c r="A137" s="7">
        <v>1100954938</v>
      </c>
      <c r="B137" s="15">
        <v>7699</v>
      </c>
      <c r="C137" s="11">
        <v>46184.606747685197</v>
      </c>
    </row>
    <row r="138" spans="1:3" x14ac:dyDescent="0.25">
      <c r="A138" s="7">
        <v>1100960090</v>
      </c>
      <c r="B138" s="15">
        <v>7697</v>
      </c>
      <c r="C138" s="11">
        <v>46184.606747685197</v>
      </c>
    </row>
    <row r="139" spans="1:3" x14ac:dyDescent="0.25">
      <c r="A139" s="7">
        <v>1101018012</v>
      </c>
      <c r="B139" s="15">
        <v>7719</v>
      </c>
      <c r="C139" s="11">
        <v>46184.606747685197</v>
      </c>
    </row>
    <row r="140" spans="1:3" x14ac:dyDescent="0.25">
      <c r="A140" s="7">
        <v>1102358562</v>
      </c>
      <c r="B140" s="15">
        <v>7745</v>
      </c>
      <c r="C140" s="11">
        <v>46184.606747685197</v>
      </c>
    </row>
    <row r="141" spans="1:3" x14ac:dyDescent="0.25">
      <c r="A141" s="7">
        <v>1102884114</v>
      </c>
      <c r="B141" s="15">
        <v>7641</v>
      </c>
      <c r="C141" s="11">
        <v>46184.606747685197</v>
      </c>
    </row>
    <row r="142" spans="1:3" x14ac:dyDescent="0.25">
      <c r="A142" s="7">
        <v>11035837</v>
      </c>
      <c r="B142" s="15">
        <v>7605</v>
      </c>
      <c r="C142" s="11">
        <v>46184.606747685197</v>
      </c>
    </row>
    <row r="143" spans="1:3" x14ac:dyDescent="0.25">
      <c r="A143" s="7">
        <v>1107034607</v>
      </c>
      <c r="B143" s="15">
        <v>7495</v>
      </c>
      <c r="C143" s="11">
        <v>46184.606747685197</v>
      </c>
    </row>
    <row r="144" spans="1:3" x14ac:dyDescent="0.25">
      <c r="A144" s="7">
        <v>1107058576</v>
      </c>
      <c r="B144" s="15">
        <v>7571</v>
      </c>
      <c r="C144" s="11">
        <v>46184.606747685197</v>
      </c>
    </row>
    <row r="145" spans="1:3" x14ac:dyDescent="0.25">
      <c r="A145" s="7">
        <v>1107520651</v>
      </c>
      <c r="B145" s="15">
        <v>7575</v>
      </c>
      <c r="C145" s="11">
        <v>46184.606747685197</v>
      </c>
    </row>
    <row r="146" spans="1:3" x14ac:dyDescent="0.25">
      <c r="A146" s="7">
        <v>1110466829</v>
      </c>
      <c r="B146" s="15">
        <v>7739</v>
      </c>
      <c r="C146" s="11">
        <v>46184.606747685197</v>
      </c>
    </row>
    <row r="147" spans="1:3" x14ac:dyDescent="0.25">
      <c r="A147" s="7">
        <v>1110514278</v>
      </c>
      <c r="B147" s="15">
        <v>7444</v>
      </c>
      <c r="C147" s="11">
        <v>46184.606747685197</v>
      </c>
    </row>
    <row r="148" spans="1:3" x14ac:dyDescent="0.25">
      <c r="A148" s="7">
        <v>1111784782</v>
      </c>
      <c r="B148" s="15">
        <v>7450</v>
      </c>
      <c r="C148" s="11">
        <v>46184.606747685197</v>
      </c>
    </row>
    <row r="149" spans="1:3" x14ac:dyDescent="0.25">
      <c r="A149" s="7">
        <v>1113665605</v>
      </c>
      <c r="B149" s="15">
        <v>7596</v>
      </c>
      <c r="C149" s="11">
        <v>46184.606747685197</v>
      </c>
    </row>
    <row r="150" spans="1:3" x14ac:dyDescent="0.25">
      <c r="A150" s="7">
        <v>1114874471</v>
      </c>
      <c r="B150" s="15">
        <v>7542</v>
      </c>
      <c r="C150" s="11">
        <v>46184.606747685197</v>
      </c>
    </row>
    <row r="151" spans="1:3" x14ac:dyDescent="0.25">
      <c r="A151" s="7">
        <v>1115860506</v>
      </c>
      <c r="B151" s="15">
        <v>7712</v>
      </c>
      <c r="C151" s="11">
        <v>46184.606747685197</v>
      </c>
    </row>
    <row r="152" spans="1:3" x14ac:dyDescent="0.25">
      <c r="A152" s="7">
        <v>1116443033</v>
      </c>
      <c r="B152" s="15">
        <v>7718</v>
      </c>
      <c r="C152" s="11">
        <v>46184.606747685197</v>
      </c>
    </row>
    <row r="153" spans="1:3" x14ac:dyDescent="0.25">
      <c r="A153" s="7">
        <v>1116873414</v>
      </c>
      <c r="B153" s="15">
        <v>7582</v>
      </c>
      <c r="C153" s="11">
        <v>46184.606747685197</v>
      </c>
    </row>
    <row r="154" spans="1:3" x14ac:dyDescent="0.25">
      <c r="A154" s="7">
        <v>1118564585</v>
      </c>
      <c r="B154" s="15">
        <v>7681</v>
      </c>
      <c r="C154" s="11">
        <v>46184.606747685197</v>
      </c>
    </row>
    <row r="155" spans="1:3" x14ac:dyDescent="0.25">
      <c r="A155" s="7">
        <v>1118823654</v>
      </c>
      <c r="B155" s="15">
        <v>7676</v>
      </c>
      <c r="C155" s="11">
        <v>46184.606747685197</v>
      </c>
    </row>
    <row r="156" spans="1:3" x14ac:dyDescent="0.25">
      <c r="A156" s="7">
        <v>1119838015</v>
      </c>
      <c r="B156" s="15">
        <v>7472</v>
      </c>
      <c r="C156" s="11">
        <v>46184.606747685197</v>
      </c>
    </row>
    <row r="157" spans="1:3" x14ac:dyDescent="0.25">
      <c r="A157" s="7">
        <v>1120740876</v>
      </c>
      <c r="B157" s="15">
        <v>7460</v>
      </c>
      <c r="C157" s="11">
        <v>46184.606747685197</v>
      </c>
    </row>
    <row r="158" spans="1:3" x14ac:dyDescent="0.25">
      <c r="A158" s="7">
        <v>1121854055</v>
      </c>
      <c r="B158" s="15">
        <v>7475</v>
      </c>
      <c r="C158" s="11">
        <v>46184.606747685197</v>
      </c>
    </row>
    <row r="159" spans="1:3" x14ac:dyDescent="0.25">
      <c r="A159" s="7">
        <v>1121915932</v>
      </c>
      <c r="B159" s="15">
        <v>7506</v>
      </c>
      <c r="C159" s="11">
        <v>46184.606747685197</v>
      </c>
    </row>
    <row r="160" spans="1:3" x14ac:dyDescent="0.25">
      <c r="A160" s="7">
        <v>1121929214</v>
      </c>
      <c r="B160" s="15">
        <v>7743</v>
      </c>
      <c r="C160" s="11">
        <v>46184.606747685197</v>
      </c>
    </row>
    <row r="161" spans="1:3" x14ac:dyDescent="0.25">
      <c r="A161" s="7">
        <v>1121950314</v>
      </c>
      <c r="B161" s="15">
        <v>7544</v>
      </c>
      <c r="C161" s="11">
        <v>46184.606747685197</v>
      </c>
    </row>
    <row r="162" spans="1:3" x14ac:dyDescent="0.25">
      <c r="A162" s="7">
        <v>1122136757</v>
      </c>
      <c r="B162" s="15">
        <v>7545</v>
      </c>
      <c r="C162" s="11">
        <v>46184.606747685197</v>
      </c>
    </row>
    <row r="163" spans="1:3" x14ac:dyDescent="0.25">
      <c r="A163" s="7">
        <v>1128264345</v>
      </c>
      <c r="B163" s="15">
        <v>7727</v>
      </c>
      <c r="C163" s="11">
        <v>46184.606747685197</v>
      </c>
    </row>
    <row r="164" spans="1:3" x14ac:dyDescent="0.25">
      <c r="A164" s="7">
        <v>1128269259</v>
      </c>
      <c r="B164" s="15">
        <v>7722</v>
      </c>
      <c r="C164" s="11">
        <v>46184.606747685197</v>
      </c>
    </row>
    <row r="165" spans="1:3" x14ac:dyDescent="0.25">
      <c r="A165" s="7">
        <v>1128443360</v>
      </c>
      <c r="B165" s="15">
        <v>7564</v>
      </c>
      <c r="C165" s="11">
        <v>46184.606747685197</v>
      </c>
    </row>
    <row r="166" spans="1:3" x14ac:dyDescent="0.25">
      <c r="A166" s="7">
        <v>1129564497</v>
      </c>
      <c r="B166" s="15">
        <v>7572</v>
      </c>
      <c r="C166" s="11">
        <v>46184.606747685197</v>
      </c>
    </row>
    <row r="167" spans="1:3" x14ac:dyDescent="0.25">
      <c r="A167" s="7">
        <v>1130612352</v>
      </c>
      <c r="B167" s="15">
        <v>7630</v>
      </c>
      <c r="C167" s="11">
        <v>46184.606747685197</v>
      </c>
    </row>
    <row r="168" spans="1:3" x14ac:dyDescent="0.25">
      <c r="A168" s="7">
        <v>1130674198</v>
      </c>
      <c r="B168" s="15">
        <v>7503</v>
      </c>
      <c r="C168" s="11">
        <v>46184.606747685197</v>
      </c>
    </row>
    <row r="169" spans="1:3" x14ac:dyDescent="0.25">
      <c r="A169" s="7">
        <v>1140836304</v>
      </c>
      <c r="B169" s="15">
        <v>7462</v>
      </c>
      <c r="C169" s="11">
        <v>46184.606747685197</v>
      </c>
    </row>
    <row r="170" spans="1:3" x14ac:dyDescent="0.25">
      <c r="A170" s="7">
        <v>1140841729</v>
      </c>
      <c r="B170" s="15">
        <v>7633</v>
      </c>
      <c r="C170" s="11">
        <v>46184.606747685197</v>
      </c>
    </row>
    <row r="171" spans="1:3" x14ac:dyDescent="0.25">
      <c r="A171" s="7">
        <v>1143143662</v>
      </c>
      <c r="B171" s="15">
        <v>7592</v>
      </c>
      <c r="C171" s="11">
        <v>46184.606747685197</v>
      </c>
    </row>
    <row r="172" spans="1:3" x14ac:dyDescent="0.25">
      <c r="A172" s="7">
        <v>1143155797</v>
      </c>
      <c r="B172" s="15">
        <v>7587</v>
      </c>
      <c r="C172" s="11">
        <v>46184.606747685197</v>
      </c>
    </row>
    <row r="173" spans="1:3" x14ac:dyDescent="0.25">
      <c r="A173" s="7">
        <v>1143834378</v>
      </c>
      <c r="B173" s="15">
        <v>7694</v>
      </c>
      <c r="C173" s="11">
        <v>46184.606747685197</v>
      </c>
    </row>
    <row r="174" spans="1:3" x14ac:dyDescent="0.25">
      <c r="A174" s="7">
        <v>1144058287</v>
      </c>
      <c r="B174" s="15">
        <v>7440</v>
      </c>
      <c r="C174" s="11">
        <v>46184.606747685197</v>
      </c>
    </row>
    <row r="175" spans="1:3" x14ac:dyDescent="0.25">
      <c r="A175" s="7">
        <v>1144061236</v>
      </c>
      <c r="B175" s="15">
        <v>7521</v>
      </c>
      <c r="C175" s="11">
        <v>46184.606747685197</v>
      </c>
    </row>
    <row r="176" spans="1:3" x14ac:dyDescent="0.25">
      <c r="A176" s="7">
        <v>1144132126</v>
      </c>
      <c r="B176" s="15">
        <v>7456</v>
      </c>
      <c r="C176" s="11">
        <v>46184.606747685197</v>
      </c>
    </row>
    <row r="177" spans="1:3" x14ac:dyDescent="0.25">
      <c r="A177" s="7">
        <v>1151958968</v>
      </c>
      <c r="B177" s="15">
        <v>7744</v>
      </c>
      <c r="C177" s="11">
        <v>46184.606747685197</v>
      </c>
    </row>
    <row r="178" spans="1:3" x14ac:dyDescent="0.25">
      <c r="A178" s="7">
        <v>1152189596</v>
      </c>
      <c r="B178" s="15">
        <v>7508</v>
      </c>
      <c r="C178" s="11">
        <v>46184.606747685197</v>
      </c>
    </row>
    <row r="179" spans="1:3" x14ac:dyDescent="0.25">
      <c r="A179" s="7">
        <v>1152213811</v>
      </c>
      <c r="B179" s="15">
        <v>7579</v>
      </c>
      <c r="C179" s="11">
        <v>46184.606747685197</v>
      </c>
    </row>
    <row r="180" spans="1:3" x14ac:dyDescent="0.25">
      <c r="A180" s="7">
        <v>1152446170</v>
      </c>
      <c r="B180" s="15">
        <v>7481</v>
      </c>
      <c r="C180" s="11">
        <v>46184.606747685197</v>
      </c>
    </row>
    <row r="181" spans="1:3" x14ac:dyDescent="0.25">
      <c r="A181" s="7">
        <v>1152447244</v>
      </c>
      <c r="B181" s="15">
        <v>7566</v>
      </c>
      <c r="C181" s="11">
        <v>46184.606747685197</v>
      </c>
    </row>
    <row r="182" spans="1:3" x14ac:dyDescent="0.25">
      <c r="A182" s="7">
        <v>1192773090</v>
      </c>
      <c r="B182" s="15">
        <v>7532</v>
      </c>
      <c r="C182" s="11">
        <v>46184.606747685197</v>
      </c>
    </row>
    <row r="183" spans="1:3" x14ac:dyDescent="0.25">
      <c r="A183" s="7">
        <v>1193140588</v>
      </c>
      <c r="B183" s="15">
        <v>7588</v>
      </c>
      <c r="C183" s="11">
        <v>46184.606747685197</v>
      </c>
    </row>
    <row r="184" spans="1:3" x14ac:dyDescent="0.25">
      <c r="A184" s="7">
        <v>1193536637</v>
      </c>
      <c r="B184" s="15">
        <v>7679</v>
      </c>
      <c r="C184" s="11">
        <v>46184.606747685197</v>
      </c>
    </row>
    <row r="185" spans="1:3" x14ac:dyDescent="0.25">
      <c r="A185" s="7">
        <v>1193583166</v>
      </c>
      <c r="B185" s="15">
        <v>7535</v>
      </c>
      <c r="C185" s="11">
        <v>46184.606747685197</v>
      </c>
    </row>
    <row r="186" spans="1:3" x14ac:dyDescent="0.25">
      <c r="A186" s="7">
        <v>12180407</v>
      </c>
      <c r="B186" s="15">
        <v>7695</v>
      </c>
      <c r="C186" s="11">
        <v>46184.606747685197</v>
      </c>
    </row>
    <row r="187" spans="1:3" x14ac:dyDescent="0.25">
      <c r="A187" s="7">
        <v>1233191258</v>
      </c>
      <c r="B187" s="15">
        <v>7562</v>
      </c>
      <c r="C187" s="11">
        <v>46184.606747685197</v>
      </c>
    </row>
    <row r="188" spans="1:3" x14ac:dyDescent="0.25">
      <c r="A188" s="7">
        <v>1233507078</v>
      </c>
      <c r="B188" s="15">
        <v>7492</v>
      </c>
      <c r="C188" s="11">
        <v>46184.606747685197</v>
      </c>
    </row>
    <row r="189" spans="1:3" x14ac:dyDescent="0.25">
      <c r="A189" s="7">
        <v>1234094237</v>
      </c>
      <c r="B189" s="15">
        <v>7701</v>
      </c>
      <c r="C189" s="11">
        <v>46184.606747685197</v>
      </c>
    </row>
    <row r="190" spans="1:3" x14ac:dyDescent="0.25">
      <c r="A190" s="7">
        <v>1234890678</v>
      </c>
      <c r="B190" s="15">
        <v>7498</v>
      </c>
      <c r="C190" s="11">
        <v>46184.606747685197</v>
      </c>
    </row>
    <row r="191" spans="1:3" x14ac:dyDescent="0.25">
      <c r="A191" s="7">
        <v>12561747</v>
      </c>
      <c r="B191" s="15">
        <v>7499</v>
      </c>
      <c r="C191" s="11">
        <v>46184.606747685197</v>
      </c>
    </row>
    <row r="192" spans="1:3" x14ac:dyDescent="0.25">
      <c r="A192" s="7">
        <v>12984718</v>
      </c>
      <c r="B192" s="15">
        <v>7652</v>
      </c>
      <c r="C192" s="11">
        <v>46184.606747685197</v>
      </c>
    </row>
    <row r="193" spans="1:3" x14ac:dyDescent="0.25">
      <c r="A193" s="7">
        <v>13235501</v>
      </c>
      <c r="B193" s="15">
        <v>7634</v>
      </c>
      <c r="C193" s="11">
        <v>46184.606747685197</v>
      </c>
    </row>
    <row r="194" spans="1:3" x14ac:dyDescent="0.25">
      <c r="A194" s="7">
        <v>13276287</v>
      </c>
      <c r="B194" s="15">
        <v>7531</v>
      </c>
      <c r="C194" s="11">
        <v>46184.606747685197</v>
      </c>
    </row>
    <row r="195" spans="1:3" x14ac:dyDescent="0.25">
      <c r="A195" s="7">
        <v>13361702</v>
      </c>
      <c r="B195" s="15">
        <v>7647</v>
      </c>
      <c r="C195" s="11">
        <v>46184.606747685197</v>
      </c>
    </row>
    <row r="196" spans="1:3" x14ac:dyDescent="0.25">
      <c r="A196" s="7">
        <v>13458633</v>
      </c>
      <c r="B196" s="15">
        <v>7686</v>
      </c>
      <c r="C196" s="11">
        <v>46184.606747685197</v>
      </c>
    </row>
    <row r="197" spans="1:3" x14ac:dyDescent="0.25">
      <c r="A197" s="7">
        <v>13830706</v>
      </c>
      <c r="B197" s="15">
        <v>7511</v>
      </c>
      <c r="C197" s="11">
        <v>46184.606747685197</v>
      </c>
    </row>
    <row r="198" spans="1:3" x14ac:dyDescent="0.25">
      <c r="A198" s="7">
        <v>14696040</v>
      </c>
      <c r="B198" s="15">
        <v>7636</v>
      </c>
      <c r="C198" s="11">
        <v>46184.606747685197</v>
      </c>
    </row>
    <row r="199" spans="1:3" x14ac:dyDescent="0.25">
      <c r="A199" s="7">
        <v>14795665</v>
      </c>
      <c r="B199" s="15">
        <v>7539</v>
      </c>
      <c r="C199" s="11">
        <v>46184.606747685197</v>
      </c>
    </row>
    <row r="200" spans="1:3" x14ac:dyDescent="0.25">
      <c r="A200" s="7">
        <v>14800905</v>
      </c>
      <c r="B200" s="15">
        <v>7698</v>
      </c>
      <c r="C200" s="11">
        <v>46184.606747685197</v>
      </c>
    </row>
    <row r="201" spans="1:3" x14ac:dyDescent="0.25">
      <c r="A201" s="7">
        <v>15186482</v>
      </c>
      <c r="B201" s="15">
        <v>7678</v>
      </c>
      <c r="C201" s="11">
        <v>46184.606747685197</v>
      </c>
    </row>
    <row r="202" spans="1:3" x14ac:dyDescent="0.25">
      <c r="A202" s="7">
        <v>15338579</v>
      </c>
      <c r="B202" s="15">
        <v>7643</v>
      </c>
      <c r="C202" s="11">
        <v>46184.606747685197</v>
      </c>
    </row>
    <row r="203" spans="1:3" x14ac:dyDescent="0.25">
      <c r="A203" s="7">
        <v>15442240</v>
      </c>
      <c r="B203" s="15">
        <v>7748</v>
      </c>
      <c r="C203" s="11">
        <v>46184.606747685197</v>
      </c>
    </row>
    <row r="204" spans="1:3" x14ac:dyDescent="0.25">
      <c r="A204" s="7">
        <v>15515098</v>
      </c>
      <c r="B204" s="15">
        <v>7546</v>
      </c>
      <c r="C204" s="11">
        <v>46184.606747685197</v>
      </c>
    </row>
    <row r="205" spans="1:3" x14ac:dyDescent="0.25">
      <c r="A205" s="7">
        <v>16677472</v>
      </c>
      <c r="B205" s="15">
        <v>7660</v>
      </c>
      <c r="C205" s="11">
        <v>46184.606747685197</v>
      </c>
    </row>
    <row r="206" spans="1:3" x14ac:dyDescent="0.25">
      <c r="A206" s="7">
        <v>18463533</v>
      </c>
      <c r="B206" s="15">
        <v>7720</v>
      </c>
      <c r="C206" s="11">
        <v>46184.606747685197</v>
      </c>
    </row>
    <row r="207" spans="1:3" x14ac:dyDescent="0.25">
      <c r="A207" s="7">
        <v>18493774</v>
      </c>
      <c r="B207" s="15">
        <v>7616</v>
      </c>
      <c r="C207" s="11">
        <v>46184.606747685197</v>
      </c>
    </row>
    <row r="208" spans="1:3" x14ac:dyDescent="0.25">
      <c r="A208" s="7">
        <v>18497207</v>
      </c>
      <c r="B208" s="15">
        <v>7569</v>
      </c>
      <c r="C208" s="11">
        <v>46184.606747685197</v>
      </c>
    </row>
    <row r="209" spans="1:3" x14ac:dyDescent="0.25">
      <c r="A209" s="7">
        <v>18507721</v>
      </c>
      <c r="B209" s="15">
        <v>7451</v>
      </c>
      <c r="C209" s="11">
        <v>46184.606747685197</v>
      </c>
    </row>
    <row r="210" spans="1:3" x14ac:dyDescent="0.25">
      <c r="A210" s="7">
        <v>19255661</v>
      </c>
      <c r="B210" s="15">
        <v>7648</v>
      </c>
      <c r="C210" s="11">
        <v>46184.606747685197</v>
      </c>
    </row>
    <row r="211" spans="1:3" x14ac:dyDescent="0.25">
      <c r="A211" s="7">
        <v>19444266</v>
      </c>
      <c r="B211" s="15">
        <v>7640</v>
      </c>
      <c r="C211" s="11">
        <v>46184.606747685197</v>
      </c>
    </row>
    <row r="212" spans="1:3" x14ac:dyDescent="0.25">
      <c r="A212" s="7">
        <v>19493959</v>
      </c>
      <c r="B212" s="15">
        <v>7600</v>
      </c>
      <c r="C212" s="11">
        <v>46184.606747685197</v>
      </c>
    </row>
    <row r="213" spans="1:3" x14ac:dyDescent="0.25">
      <c r="A213" s="7">
        <v>21872564</v>
      </c>
      <c r="B213" s="15">
        <v>7654</v>
      </c>
      <c r="C213" s="11">
        <v>46184.606747685197</v>
      </c>
    </row>
    <row r="214" spans="1:3" x14ac:dyDescent="0.25">
      <c r="A214" s="7">
        <v>22478665</v>
      </c>
      <c r="B214" s="15">
        <v>7651</v>
      </c>
      <c r="C214" s="11">
        <v>46184.606747685197</v>
      </c>
    </row>
    <row r="215" spans="1:3" x14ac:dyDescent="0.25">
      <c r="A215" s="7">
        <v>22668225</v>
      </c>
      <c r="B215" s="15">
        <v>7655</v>
      </c>
      <c r="C215" s="11">
        <v>46184.606747685197</v>
      </c>
    </row>
    <row r="216" spans="1:3" x14ac:dyDescent="0.25">
      <c r="A216" s="7">
        <v>25097220</v>
      </c>
      <c r="B216" s="15">
        <v>7520</v>
      </c>
      <c r="C216" s="11">
        <v>46184.606747685197</v>
      </c>
    </row>
    <row r="217" spans="1:3" x14ac:dyDescent="0.25">
      <c r="A217" s="7">
        <v>27123017</v>
      </c>
      <c r="B217" s="15">
        <v>7501</v>
      </c>
      <c r="C217" s="11">
        <v>46184.606747685197</v>
      </c>
    </row>
    <row r="218" spans="1:3" x14ac:dyDescent="0.25">
      <c r="A218" s="7">
        <v>29285093</v>
      </c>
      <c r="B218" s="15">
        <v>7725</v>
      </c>
      <c r="C218" s="11">
        <v>46184.606747685197</v>
      </c>
    </row>
    <row r="219" spans="1:3" x14ac:dyDescent="0.25">
      <c r="A219" s="7">
        <v>31574945</v>
      </c>
      <c r="B219" s="15">
        <v>7728</v>
      </c>
      <c r="C219" s="11">
        <v>46184.606747685197</v>
      </c>
    </row>
    <row r="220" spans="1:3" x14ac:dyDescent="0.25">
      <c r="A220" s="7">
        <v>31912811</v>
      </c>
      <c r="B220" s="15">
        <v>7649</v>
      </c>
      <c r="C220" s="11">
        <v>46184.606747685197</v>
      </c>
    </row>
    <row r="221" spans="1:3" x14ac:dyDescent="0.25">
      <c r="A221" s="7">
        <v>32299164</v>
      </c>
      <c r="B221" s="15">
        <v>7665</v>
      </c>
      <c r="C221" s="11">
        <v>46184.606747685197</v>
      </c>
    </row>
    <row r="222" spans="1:3" x14ac:dyDescent="0.25">
      <c r="A222" s="7">
        <v>32503786</v>
      </c>
      <c r="B222" s="15">
        <v>7465</v>
      </c>
      <c r="C222" s="11">
        <v>46184.606747685197</v>
      </c>
    </row>
    <row r="223" spans="1:3" x14ac:dyDescent="0.25">
      <c r="A223" s="7">
        <v>35262016</v>
      </c>
      <c r="B223" s="15">
        <v>7489</v>
      </c>
      <c r="C223" s="11">
        <v>46184.606747685197</v>
      </c>
    </row>
    <row r="224" spans="1:3" x14ac:dyDescent="0.25">
      <c r="A224" s="7">
        <v>35501971</v>
      </c>
      <c r="B224" s="15">
        <v>7439</v>
      </c>
      <c r="C224" s="11">
        <v>46184.606747685197</v>
      </c>
    </row>
    <row r="225" spans="1:3" x14ac:dyDescent="0.25">
      <c r="A225" s="7">
        <v>37229945</v>
      </c>
      <c r="B225" s="15">
        <v>7684</v>
      </c>
      <c r="C225" s="11">
        <v>46184.606747685197</v>
      </c>
    </row>
    <row r="226" spans="1:3" x14ac:dyDescent="0.25">
      <c r="A226" s="7">
        <v>37581200</v>
      </c>
      <c r="B226" s="15">
        <v>7583</v>
      </c>
      <c r="C226" s="11">
        <v>46184.606747685197</v>
      </c>
    </row>
    <row r="227" spans="1:3" x14ac:dyDescent="0.25">
      <c r="A227" s="7">
        <v>37752355</v>
      </c>
      <c r="B227" s="15">
        <v>7707</v>
      </c>
      <c r="C227" s="11">
        <v>46184.606747685197</v>
      </c>
    </row>
    <row r="228" spans="1:3" x14ac:dyDescent="0.25">
      <c r="A228" s="7">
        <v>38251970</v>
      </c>
      <c r="B228" s="15">
        <v>7580</v>
      </c>
      <c r="C228" s="11">
        <v>46184.606747685197</v>
      </c>
    </row>
    <row r="229" spans="1:3" x14ac:dyDescent="0.25">
      <c r="A229" s="7">
        <v>41561606</v>
      </c>
      <c r="B229" s="15">
        <v>7621</v>
      </c>
      <c r="C229" s="11">
        <v>46184.606747685197</v>
      </c>
    </row>
    <row r="230" spans="1:3" x14ac:dyDescent="0.25">
      <c r="A230" s="7">
        <v>41898314</v>
      </c>
      <c r="B230" s="15">
        <v>7608</v>
      </c>
      <c r="C230" s="11">
        <v>46184.606747685197</v>
      </c>
    </row>
    <row r="231" spans="1:3" x14ac:dyDescent="0.25">
      <c r="A231" s="7">
        <v>42898106</v>
      </c>
      <c r="B231" s="15">
        <v>7680</v>
      </c>
      <c r="C231" s="11">
        <v>46184.606747685197</v>
      </c>
    </row>
    <row r="232" spans="1:3" x14ac:dyDescent="0.25">
      <c r="A232" s="7">
        <v>43200568</v>
      </c>
      <c r="B232" s="15">
        <v>7692</v>
      </c>
      <c r="C232" s="11">
        <v>46184.606747685197</v>
      </c>
    </row>
    <row r="233" spans="1:3" x14ac:dyDescent="0.25">
      <c r="A233" s="7">
        <v>45565551</v>
      </c>
      <c r="B233" s="15">
        <v>7448</v>
      </c>
      <c r="C233" s="11">
        <v>46184.606747685197</v>
      </c>
    </row>
    <row r="234" spans="1:3" x14ac:dyDescent="0.25">
      <c r="A234" s="7">
        <v>50970199</v>
      </c>
      <c r="B234" s="15">
        <v>7661</v>
      </c>
      <c r="C234" s="11">
        <v>46184.606747685197</v>
      </c>
    </row>
    <row r="235" spans="1:3" x14ac:dyDescent="0.25">
      <c r="A235" s="7">
        <v>51648546</v>
      </c>
      <c r="B235" s="15">
        <v>7577</v>
      </c>
      <c r="C235" s="11">
        <v>46184.606747685197</v>
      </c>
    </row>
    <row r="236" spans="1:3" x14ac:dyDescent="0.25">
      <c r="A236" s="7">
        <v>51816157</v>
      </c>
      <c r="B236" s="15">
        <v>7476</v>
      </c>
      <c r="C236" s="11">
        <v>46184.606747685197</v>
      </c>
    </row>
    <row r="237" spans="1:3" x14ac:dyDescent="0.25">
      <c r="A237" s="7">
        <v>52080276</v>
      </c>
      <c r="B237" s="15">
        <v>7484</v>
      </c>
      <c r="C237" s="11">
        <v>46184.606747685197</v>
      </c>
    </row>
    <row r="238" spans="1:3" x14ac:dyDescent="0.25">
      <c r="A238" s="7">
        <v>52122911</v>
      </c>
      <c r="B238" s="15">
        <v>7703</v>
      </c>
      <c r="C238" s="11">
        <v>46184.606747685197</v>
      </c>
    </row>
    <row r="239" spans="1:3" x14ac:dyDescent="0.25">
      <c r="A239" s="7">
        <v>52204835</v>
      </c>
      <c r="B239" s="15">
        <v>7669</v>
      </c>
      <c r="C239" s="11">
        <v>46184.606747685197</v>
      </c>
    </row>
    <row r="240" spans="1:3" x14ac:dyDescent="0.25">
      <c r="A240" s="7">
        <v>52310091</v>
      </c>
      <c r="B240" s="15">
        <v>7584</v>
      </c>
      <c r="C240" s="11">
        <v>46184.606747685197</v>
      </c>
    </row>
    <row r="241" spans="1:3" x14ac:dyDescent="0.25">
      <c r="A241" s="7">
        <v>52344530</v>
      </c>
      <c r="B241" s="15">
        <v>7619</v>
      </c>
      <c r="C241" s="11">
        <v>46184.606747685197</v>
      </c>
    </row>
    <row r="242" spans="1:3" x14ac:dyDescent="0.25">
      <c r="A242" s="7">
        <v>52383139</v>
      </c>
      <c r="B242" s="15">
        <v>7702</v>
      </c>
      <c r="C242" s="11">
        <v>46184.606747685197</v>
      </c>
    </row>
    <row r="243" spans="1:3" x14ac:dyDescent="0.25">
      <c r="A243" s="7">
        <v>52535938</v>
      </c>
      <c r="B243" s="15">
        <v>7446</v>
      </c>
      <c r="C243" s="11">
        <v>46184.606747685197</v>
      </c>
    </row>
    <row r="244" spans="1:3" x14ac:dyDescent="0.25">
      <c r="A244" s="7">
        <v>52539381</v>
      </c>
      <c r="B244" s="15">
        <v>7709</v>
      </c>
      <c r="C244" s="11">
        <v>46184.606747685197</v>
      </c>
    </row>
    <row r="245" spans="1:3" x14ac:dyDescent="0.25">
      <c r="A245" s="7">
        <v>52698656</v>
      </c>
      <c r="B245" s="15">
        <v>7731</v>
      </c>
      <c r="C245" s="11">
        <v>46184.606747685197</v>
      </c>
    </row>
    <row r="246" spans="1:3" x14ac:dyDescent="0.25">
      <c r="A246" s="7">
        <v>52815887</v>
      </c>
      <c r="B246" s="15">
        <v>7690</v>
      </c>
      <c r="C246" s="11">
        <v>46184.606747685197</v>
      </c>
    </row>
    <row r="247" spans="1:3" x14ac:dyDescent="0.25">
      <c r="A247" s="7">
        <v>52860256</v>
      </c>
      <c r="B247" s="15">
        <v>7560</v>
      </c>
      <c r="C247" s="11">
        <v>46184.606747685197</v>
      </c>
    </row>
    <row r="248" spans="1:3" x14ac:dyDescent="0.25">
      <c r="A248" s="7">
        <v>52887271</v>
      </c>
      <c r="B248" s="15">
        <v>7570</v>
      </c>
      <c r="C248" s="11">
        <v>46184.606747685197</v>
      </c>
    </row>
    <row r="249" spans="1:3" x14ac:dyDescent="0.25">
      <c r="A249" s="7">
        <v>52929041</v>
      </c>
      <c r="B249" s="15">
        <v>7606</v>
      </c>
      <c r="C249" s="11">
        <v>46184.606747685197</v>
      </c>
    </row>
    <row r="250" spans="1:3" x14ac:dyDescent="0.25">
      <c r="A250" s="7">
        <v>52993493</v>
      </c>
      <c r="B250" s="15">
        <v>7549</v>
      </c>
      <c r="C250" s="11">
        <v>46184.606747685197</v>
      </c>
    </row>
    <row r="251" spans="1:3" x14ac:dyDescent="0.25">
      <c r="A251" s="7">
        <v>52998490</v>
      </c>
      <c r="B251" s="15">
        <v>7581</v>
      </c>
      <c r="C251" s="11">
        <v>46184.606747685197</v>
      </c>
    </row>
    <row r="252" spans="1:3" x14ac:dyDescent="0.25">
      <c r="A252" s="7">
        <v>53073866</v>
      </c>
      <c r="B252" s="15">
        <v>7447</v>
      </c>
      <c r="C252" s="11">
        <v>46184.606747685197</v>
      </c>
    </row>
    <row r="253" spans="1:3" x14ac:dyDescent="0.25">
      <c r="A253" s="7">
        <v>5307571</v>
      </c>
      <c r="B253" s="15">
        <v>7693</v>
      </c>
      <c r="C253" s="11">
        <v>46184.606747685197</v>
      </c>
    </row>
    <row r="254" spans="1:3" x14ac:dyDescent="0.25">
      <c r="A254" s="7">
        <v>53107105</v>
      </c>
      <c r="B254" s="15">
        <v>7567</v>
      </c>
      <c r="C254" s="11">
        <v>46184.606747685197</v>
      </c>
    </row>
    <row r="255" spans="1:3" x14ac:dyDescent="0.25">
      <c r="A255" s="7">
        <v>53116921</v>
      </c>
      <c r="B255" s="15">
        <v>7638</v>
      </c>
      <c r="C255" s="11">
        <v>46184.606747685197</v>
      </c>
    </row>
    <row r="256" spans="1:3" x14ac:dyDescent="0.25">
      <c r="A256" s="7">
        <v>53121892</v>
      </c>
      <c r="B256" s="15">
        <v>7433</v>
      </c>
      <c r="C256" s="11">
        <v>46184.606747685197</v>
      </c>
    </row>
    <row r="257" spans="1:3" x14ac:dyDescent="0.25">
      <c r="A257" s="7">
        <v>53123035</v>
      </c>
      <c r="B257" s="15">
        <v>7610</v>
      </c>
      <c r="C257" s="11">
        <v>46184.606747685197</v>
      </c>
    </row>
    <row r="258" spans="1:3" x14ac:dyDescent="0.25">
      <c r="A258" s="7">
        <v>57466263</v>
      </c>
      <c r="B258" s="15">
        <v>7677</v>
      </c>
      <c r="C258" s="11">
        <v>46184.606747685197</v>
      </c>
    </row>
    <row r="259" spans="1:3" x14ac:dyDescent="0.25">
      <c r="A259" s="7">
        <v>6102742</v>
      </c>
      <c r="B259" s="15">
        <v>7527</v>
      </c>
      <c r="C259" s="11">
        <v>46184.606747685197</v>
      </c>
    </row>
    <row r="260" spans="1:3" x14ac:dyDescent="0.25">
      <c r="A260" s="7">
        <v>65820550</v>
      </c>
      <c r="B260" s="15">
        <v>7536</v>
      </c>
      <c r="C260" s="11">
        <v>46184.606747685197</v>
      </c>
    </row>
    <row r="261" spans="1:3" x14ac:dyDescent="0.25">
      <c r="A261" s="7">
        <v>66832939</v>
      </c>
      <c r="B261" s="15">
        <v>7515</v>
      </c>
      <c r="C261" s="11">
        <v>46184.606747685197</v>
      </c>
    </row>
    <row r="262" spans="1:3" x14ac:dyDescent="0.25">
      <c r="A262" s="7">
        <v>66855547</v>
      </c>
      <c r="B262" s="15">
        <v>7500</v>
      </c>
      <c r="C262" s="11">
        <v>46184.606747685197</v>
      </c>
    </row>
    <row r="263" spans="1:3" x14ac:dyDescent="0.25">
      <c r="A263" s="7">
        <v>70041851</v>
      </c>
      <c r="B263" s="15">
        <v>7432</v>
      </c>
      <c r="C263" s="11">
        <v>46184.606747685197</v>
      </c>
    </row>
    <row r="264" spans="1:3" x14ac:dyDescent="0.25">
      <c r="A264" s="7">
        <v>70253086</v>
      </c>
      <c r="B264" s="15">
        <v>7585</v>
      </c>
      <c r="C264" s="11">
        <v>46184.606747685197</v>
      </c>
    </row>
    <row r="265" spans="1:3" x14ac:dyDescent="0.25">
      <c r="A265" s="7">
        <v>71261876</v>
      </c>
      <c r="B265" s="15">
        <v>7713</v>
      </c>
      <c r="C265" s="11">
        <v>46184.606747685197</v>
      </c>
    </row>
    <row r="266" spans="1:3" x14ac:dyDescent="0.25">
      <c r="A266" s="7">
        <v>71394549</v>
      </c>
      <c r="B266" s="15">
        <v>7623</v>
      </c>
      <c r="C266" s="11">
        <v>46184.606747685197</v>
      </c>
    </row>
    <row r="267" spans="1:3" x14ac:dyDescent="0.25">
      <c r="A267" s="7">
        <v>71608951</v>
      </c>
      <c r="B267" s="15">
        <v>7496</v>
      </c>
      <c r="C267" s="11">
        <v>46184.606747685197</v>
      </c>
    </row>
    <row r="268" spans="1:3" x14ac:dyDescent="0.25">
      <c r="A268" s="7">
        <v>7179039</v>
      </c>
      <c r="B268" s="15">
        <v>7434</v>
      </c>
      <c r="C268" s="11">
        <v>46184.606747685197</v>
      </c>
    </row>
    <row r="269" spans="1:3" x14ac:dyDescent="0.25">
      <c r="A269" s="7">
        <v>7182978</v>
      </c>
      <c r="B269" s="15">
        <v>7516</v>
      </c>
      <c r="C269" s="11">
        <v>46184.606747685197</v>
      </c>
    </row>
    <row r="270" spans="1:3" x14ac:dyDescent="0.25">
      <c r="A270" s="7">
        <v>72009647</v>
      </c>
      <c r="B270" s="15">
        <v>7461</v>
      </c>
      <c r="C270" s="11">
        <v>46184.606747685197</v>
      </c>
    </row>
    <row r="271" spans="1:3" x14ac:dyDescent="0.25">
      <c r="A271" s="7">
        <v>72043549</v>
      </c>
      <c r="B271" s="15">
        <v>7537</v>
      </c>
      <c r="C271" s="11">
        <v>46184.606747685197</v>
      </c>
    </row>
    <row r="272" spans="1:3" x14ac:dyDescent="0.25">
      <c r="A272" s="7">
        <v>72184935</v>
      </c>
      <c r="B272" s="15">
        <v>7746</v>
      </c>
      <c r="C272" s="11">
        <v>46184.606747685197</v>
      </c>
    </row>
    <row r="273" spans="1:3" x14ac:dyDescent="0.25">
      <c r="A273" s="7">
        <v>72221615</v>
      </c>
      <c r="B273" s="15">
        <v>7494</v>
      </c>
      <c r="C273" s="11">
        <v>46184.606747685197</v>
      </c>
    </row>
    <row r="274" spans="1:3" x14ac:dyDescent="0.25">
      <c r="A274" s="7">
        <v>72297823</v>
      </c>
      <c r="B274" s="15">
        <v>7576</v>
      </c>
      <c r="C274" s="11">
        <v>46184.606747685197</v>
      </c>
    </row>
    <row r="275" spans="1:3" x14ac:dyDescent="0.25">
      <c r="A275" s="7">
        <v>73155325</v>
      </c>
      <c r="B275" s="15">
        <v>7523</v>
      </c>
      <c r="C275" s="11">
        <v>46184.606747685197</v>
      </c>
    </row>
    <row r="276" spans="1:3" x14ac:dyDescent="0.25">
      <c r="A276" s="7">
        <v>73161974</v>
      </c>
      <c r="B276" s="15">
        <v>7626</v>
      </c>
      <c r="C276" s="11">
        <v>46184.606747685197</v>
      </c>
    </row>
    <row r="277" spans="1:3" x14ac:dyDescent="0.25">
      <c r="A277" s="7">
        <v>73580419</v>
      </c>
      <c r="B277" s="15">
        <v>7543</v>
      </c>
      <c r="C277" s="11">
        <v>46184.606747685197</v>
      </c>
    </row>
    <row r="278" spans="1:3" x14ac:dyDescent="0.25">
      <c r="A278" s="7">
        <v>74186873</v>
      </c>
      <c r="B278" s="15">
        <v>7749</v>
      </c>
      <c r="C278" s="11">
        <v>46184.606747685197</v>
      </c>
    </row>
    <row r="279" spans="1:3" x14ac:dyDescent="0.25">
      <c r="A279" s="7">
        <v>75065982</v>
      </c>
      <c r="B279" s="15">
        <v>7617</v>
      </c>
      <c r="C279" s="11">
        <v>46184.606747685197</v>
      </c>
    </row>
    <row r="280" spans="1:3" x14ac:dyDescent="0.25">
      <c r="A280" s="7">
        <v>75074526</v>
      </c>
      <c r="B280" s="15">
        <v>7645</v>
      </c>
      <c r="C280" s="11">
        <v>46184.606747685197</v>
      </c>
    </row>
    <row r="281" spans="1:3" x14ac:dyDescent="0.25">
      <c r="A281" s="7">
        <v>75090362</v>
      </c>
      <c r="B281" s="15">
        <v>7685</v>
      </c>
      <c r="C281" s="11">
        <v>46184.606747685197</v>
      </c>
    </row>
    <row r="282" spans="1:3" x14ac:dyDescent="0.25">
      <c r="A282" s="7">
        <v>75090762</v>
      </c>
      <c r="B282" s="15">
        <v>7491</v>
      </c>
      <c r="C282" s="11">
        <v>46184.606747685197</v>
      </c>
    </row>
    <row r="283" spans="1:3" x14ac:dyDescent="0.25">
      <c r="A283" s="7">
        <v>76317803</v>
      </c>
      <c r="B283" s="15">
        <v>7563</v>
      </c>
      <c r="C283" s="11">
        <v>46184.606747685197</v>
      </c>
    </row>
    <row r="284" spans="1:3" x14ac:dyDescent="0.25">
      <c r="A284" s="7">
        <v>77176617</v>
      </c>
      <c r="B284" s="15">
        <v>7509</v>
      </c>
      <c r="C284" s="11">
        <v>46184.606747685197</v>
      </c>
    </row>
    <row r="285" spans="1:3" x14ac:dyDescent="0.25">
      <c r="A285" s="7">
        <v>78687557</v>
      </c>
      <c r="B285" s="15">
        <v>7589</v>
      </c>
      <c r="C285" s="11">
        <v>46184.606747685197</v>
      </c>
    </row>
    <row r="286" spans="1:3" x14ac:dyDescent="0.25">
      <c r="A286" s="7">
        <v>79205515</v>
      </c>
      <c r="B286" s="15">
        <v>7519</v>
      </c>
      <c r="C286" s="11">
        <v>46184.606747685197</v>
      </c>
    </row>
    <row r="287" spans="1:3" x14ac:dyDescent="0.25">
      <c r="A287" s="7">
        <v>79294059</v>
      </c>
      <c r="B287" s="15">
        <v>7646</v>
      </c>
      <c r="C287" s="11">
        <v>46184.606747685197</v>
      </c>
    </row>
    <row r="288" spans="1:3" x14ac:dyDescent="0.25">
      <c r="A288" s="7">
        <v>79472895</v>
      </c>
      <c r="B288" s="15">
        <v>7459</v>
      </c>
      <c r="C288" s="11">
        <v>46184.606747685197</v>
      </c>
    </row>
    <row r="289" spans="1:3" x14ac:dyDescent="0.25">
      <c r="A289" s="7">
        <v>79563930</v>
      </c>
      <c r="B289" s="15">
        <v>7597</v>
      </c>
      <c r="C289" s="11">
        <v>46184.606747685197</v>
      </c>
    </row>
    <row r="290" spans="1:3" x14ac:dyDescent="0.25">
      <c r="A290" s="7">
        <v>79648801</v>
      </c>
      <c r="B290" s="15">
        <v>7618</v>
      </c>
      <c r="C290" s="11">
        <v>46184.606747685197</v>
      </c>
    </row>
    <row r="291" spans="1:3" x14ac:dyDescent="0.25">
      <c r="A291" s="7">
        <v>79708167</v>
      </c>
      <c r="B291" s="15">
        <v>7671</v>
      </c>
      <c r="C291" s="11">
        <v>46184.606747685197</v>
      </c>
    </row>
    <row r="292" spans="1:3" x14ac:dyDescent="0.25">
      <c r="A292" s="7">
        <v>79904263</v>
      </c>
      <c r="B292" s="15">
        <v>7524</v>
      </c>
      <c r="C292" s="11">
        <v>46184.606747685197</v>
      </c>
    </row>
    <row r="293" spans="1:3" x14ac:dyDescent="0.25">
      <c r="A293" s="7">
        <v>79924828</v>
      </c>
      <c r="B293" s="15">
        <v>7622</v>
      </c>
      <c r="C293" s="11">
        <v>46184.606747685197</v>
      </c>
    </row>
    <row r="294" spans="1:3" x14ac:dyDescent="0.25">
      <c r="A294" s="7">
        <v>79951457</v>
      </c>
      <c r="B294" s="15">
        <v>7682</v>
      </c>
      <c r="C294" s="11">
        <v>46184.606747685197</v>
      </c>
    </row>
    <row r="295" spans="1:3" x14ac:dyDescent="0.25">
      <c r="A295" s="7">
        <v>79961501</v>
      </c>
      <c r="B295" s="15">
        <v>7594</v>
      </c>
      <c r="C295" s="11">
        <v>46184.606747685197</v>
      </c>
    </row>
    <row r="296" spans="1:3" x14ac:dyDescent="0.25">
      <c r="A296" s="7">
        <v>79963564</v>
      </c>
      <c r="B296" s="15">
        <v>7435</v>
      </c>
      <c r="C296" s="11">
        <v>46184.606747685197</v>
      </c>
    </row>
    <row r="297" spans="1:3" x14ac:dyDescent="0.25">
      <c r="A297" s="7">
        <v>80061835</v>
      </c>
      <c r="B297" s="15">
        <v>7637</v>
      </c>
      <c r="C297" s="11">
        <v>46184.606747685197</v>
      </c>
    </row>
    <row r="298" spans="1:3" x14ac:dyDescent="0.25">
      <c r="A298" s="7">
        <v>80097885</v>
      </c>
      <c r="B298" s="15">
        <v>7454</v>
      </c>
      <c r="C298" s="11">
        <v>46184.606747685197</v>
      </c>
    </row>
    <row r="299" spans="1:3" x14ac:dyDescent="0.25">
      <c r="A299" s="7">
        <v>80191315</v>
      </c>
      <c r="B299" s="15">
        <v>7559</v>
      </c>
      <c r="C299" s="11">
        <v>46184.606747685197</v>
      </c>
    </row>
    <row r="300" spans="1:3" x14ac:dyDescent="0.25">
      <c r="A300" s="7">
        <v>80233071</v>
      </c>
      <c r="B300" s="15">
        <v>7704</v>
      </c>
      <c r="C300" s="11">
        <v>46184.606747685197</v>
      </c>
    </row>
    <row r="301" spans="1:3" x14ac:dyDescent="0.25">
      <c r="A301" s="7">
        <v>80756259</v>
      </c>
      <c r="B301" s="15">
        <v>7662</v>
      </c>
      <c r="C301" s="11">
        <v>46184.606747685197</v>
      </c>
    </row>
    <row r="302" spans="1:3" x14ac:dyDescent="0.25">
      <c r="A302" s="7">
        <v>80766004</v>
      </c>
      <c r="B302" s="15">
        <v>7514</v>
      </c>
      <c r="C302" s="11">
        <v>46184.606747685197</v>
      </c>
    </row>
    <row r="303" spans="1:3" x14ac:dyDescent="0.25">
      <c r="A303" s="7">
        <v>80842586</v>
      </c>
      <c r="B303" s="15">
        <v>7586</v>
      </c>
      <c r="C303" s="11">
        <v>46184.606747685197</v>
      </c>
    </row>
    <row r="304" spans="1:3" x14ac:dyDescent="0.25">
      <c r="A304" s="7">
        <v>80897306</v>
      </c>
      <c r="B304" s="15">
        <v>7627</v>
      </c>
      <c r="C304" s="11">
        <v>46184.606747685197</v>
      </c>
    </row>
    <row r="305" spans="1:3" x14ac:dyDescent="0.25">
      <c r="A305" s="7">
        <v>8432855</v>
      </c>
      <c r="B305" s="15">
        <v>7674</v>
      </c>
      <c r="C305" s="11">
        <v>46184.606747685197</v>
      </c>
    </row>
    <row r="306" spans="1:3" x14ac:dyDescent="0.25">
      <c r="A306" s="7">
        <v>85166119</v>
      </c>
      <c r="B306" s="15">
        <v>7482</v>
      </c>
      <c r="C306" s="11">
        <v>46184.606747685197</v>
      </c>
    </row>
    <row r="307" spans="1:3" x14ac:dyDescent="0.25">
      <c r="A307" s="7">
        <v>85472624</v>
      </c>
      <c r="B307" s="15">
        <v>7593</v>
      </c>
      <c r="C307" s="11">
        <v>46184.606747685197</v>
      </c>
    </row>
    <row r="308" spans="1:3" x14ac:dyDescent="0.25">
      <c r="A308" s="7">
        <v>87068688</v>
      </c>
      <c r="B308" s="15">
        <v>7737</v>
      </c>
      <c r="C308" s="11">
        <v>46184.606747685197</v>
      </c>
    </row>
    <row r="309" spans="1:3" x14ac:dyDescent="0.25">
      <c r="A309" s="7">
        <v>87714039</v>
      </c>
      <c r="B309" s="15">
        <v>7538</v>
      </c>
      <c r="C309" s="11">
        <v>46184.606747685197</v>
      </c>
    </row>
    <row r="310" spans="1:3" x14ac:dyDescent="0.25">
      <c r="A310" s="7">
        <v>8787731</v>
      </c>
      <c r="B310" s="15">
        <v>7493</v>
      </c>
      <c r="C310" s="11">
        <v>46184.606747685197</v>
      </c>
    </row>
    <row r="311" spans="1:3" x14ac:dyDescent="0.25">
      <c r="A311" s="7">
        <v>91255345</v>
      </c>
      <c r="B311" s="15">
        <v>7688</v>
      </c>
      <c r="C311" s="11">
        <v>46184.606747685197</v>
      </c>
    </row>
    <row r="312" spans="1:3" x14ac:dyDescent="0.25">
      <c r="A312" s="7">
        <v>91518907</v>
      </c>
      <c r="B312" s="15">
        <v>7443</v>
      </c>
      <c r="C312" s="11">
        <v>46184.606747685197</v>
      </c>
    </row>
    <row r="313" spans="1:3" x14ac:dyDescent="0.25">
      <c r="A313" s="7">
        <v>91523563</v>
      </c>
      <c r="B313" s="15">
        <v>7504</v>
      </c>
      <c r="C313" s="11">
        <v>46184.606747685197</v>
      </c>
    </row>
    <row r="314" spans="1:3" x14ac:dyDescent="0.25">
      <c r="A314" s="7">
        <v>91527008</v>
      </c>
      <c r="B314" s="15">
        <v>7729</v>
      </c>
      <c r="C314" s="11">
        <v>46184.606747685197</v>
      </c>
    </row>
    <row r="315" spans="1:3" x14ac:dyDescent="0.25">
      <c r="A315" s="7">
        <v>93339137</v>
      </c>
      <c r="B315" s="15">
        <v>7710</v>
      </c>
      <c r="C315" s="11">
        <v>46184.606747685197</v>
      </c>
    </row>
    <row r="316" spans="1:3" x14ac:dyDescent="0.25">
      <c r="A316" s="7">
        <v>93409235</v>
      </c>
      <c r="B316" s="15">
        <v>7611</v>
      </c>
      <c r="C316" s="11">
        <v>46184.606747685197</v>
      </c>
    </row>
    <row r="317" spans="1:3" x14ac:dyDescent="0.25">
      <c r="A317" s="7">
        <v>94418248</v>
      </c>
      <c r="B317" s="15">
        <v>7479</v>
      </c>
      <c r="C317" s="11">
        <v>46184.606747685197</v>
      </c>
    </row>
    <row r="318" spans="1:3" x14ac:dyDescent="0.25">
      <c r="A318" s="7">
        <v>94515940</v>
      </c>
      <c r="B318" s="15">
        <v>7438</v>
      </c>
      <c r="C318" s="11">
        <v>46184.606747685197</v>
      </c>
    </row>
    <row r="319" spans="1:3" x14ac:dyDescent="0.25">
      <c r="A319" s="7">
        <v>98662898</v>
      </c>
      <c r="B319" s="15">
        <v>7599</v>
      </c>
      <c r="C319" s="11">
        <v>46184.606747685197</v>
      </c>
    </row>
    <row r="320" spans="1:3" x14ac:dyDescent="0.25">
      <c r="A320" s="7">
        <v>98762001</v>
      </c>
      <c r="B320" s="15">
        <v>7558</v>
      </c>
      <c r="C320" s="11">
        <v>46184.606747685197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2CB64-16AC-4DFC-898B-43466B93D3AE}">
  <sheetPr codeName="Hoja4"/>
  <dimension ref="A1:E3971"/>
  <sheetViews>
    <sheetView workbookViewId="0">
      <selection activeCell="J7" sqref="J7"/>
    </sheetView>
  </sheetViews>
  <sheetFormatPr baseColWidth="10" defaultRowHeight="15" x14ac:dyDescent="0.25"/>
  <cols>
    <col min="1" max="1" width="14.42578125" customWidth="1"/>
    <col min="2" max="2" width="14.7109375" customWidth="1"/>
    <col min="3" max="3" width="21.5703125" customWidth="1"/>
    <col min="4" max="4" width="10.7109375" customWidth="1"/>
    <col min="5" max="5" width="12.28515625" customWidth="1"/>
  </cols>
  <sheetData>
    <row r="1" spans="1:5" s="1" customFormat="1" ht="33.75" customHeight="1" x14ac:dyDescent="0.25">
      <c r="A1" s="5" t="s">
        <v>26</v>
      </c>
      <c r="B1" s="5" t="s">
        <v>27</v>
      </c>
      <c r="C1" s="3" t="s">
        <v>4</v>
      </c>
      <c r="D1" s="3" t="s">
        <v>28</v>
      </c>
      <c r="E1" s="4" t="s">
        <v>38</v>
      </c>
    </row>
    <row r="2" spans="1:5" x14ac:dyDescent="0.25">
      <c r="A2" s="15">
        <v>27510</v>
      </c>
      <c r="B2" s="7">
        <v>1000001669</v>
      </c>
      <c r="C2" s="11">
        <v>45874.656400462998</v>
      </c>
      <c r="D2" s="17" t="s">
        <v>1274</v>
      </c>
      <c r="E2" t="str">
        <f>IF(COUNTIF($B$2:B2,B2)&gt;1,"Duplicado","Único")</f>
        <v>Único</v>
      </c>
    </row>
    <row r="3" spans="1:5" x14ac:dyDescent="0.25">
      <c r="A3" s="15">
        <v>39269</v>
      </c>
      <c r="B3" s="7">
        <v>1000047149</v>
      </c>
      <c r="C3" s="11">
        <v>45930.376851851899</v>
      </c>
      <c r="D3" s="17" t="s">
        <v>1874</v>
      </c>
      <c r="E3" t="str">
        <f>IF(COUNTIF($B$2:B3,B3)&gt;1,"Duplicado","Único")</f>
        <v>Único</v>
      </c>
    </row>
    <row r="4" spans="1:5" x14ac:dyDescent="0.25">
      <c r="A4" s="15">
        <v>19178</v>
      </c>
      <c r="B4" s="7">
        <v>1000048096</v>
      </c>
      <c r="C4" s="11">
        <v>45813.738796296297</v>
      </c>
      <c r="D4" s="17" t="s">
        <v>816</v>
      </c>
      <c r="E4" t="str">
        <f>IF(COUNTIF($B$2:B4,B4)&gt;1,"Duplicado","Único")</f>
        <v>Único</v>
      </c>
    </row>
    <row r="5" spans="1:5" x14ac:dyDescent="0.25">
      <c r="A5" s="15">
        <v>23728</v>
      </c>
      <c r="B5" s="7">
        <v>1000076907</v>
      </c>
      <c r="C5" s="11">
        <v>45842.490601851903</v>
      </c>
      <c r="D5" s="17" t="s">
        <v>1055</v>
      </c>
      <c r="E5" t="str">
        <f>IF(COUNTIF($B$2:B5,B5)&gt;1,"Duplicado","Único")</f>
        <v>Único</v>
      </c>
    </row>
    <row r="6" spans="1:5" x14ac:dyDescent="0.25">
      <c r="A6" s="15">
        <v>28593</v>
      </c>
      <c r="B6" s="7">
        <v>1000090178</v>
      </c>
      <c r="C6" s="11">
        <v>45888.595937500002</v>
      </c>
      <c r="D6" s="17" t="s">
        <v>1346</v>
      </c>
      <c r="E6" t="str">
        <f>IF(COUNTIF($B$2:B6,B6)&gt;1,"Duplicado","Único")</f>
        <v>Único</v>
      </c>
    </row>
    <row r="7" spans="1:5" x14ac:dyDescent="0.25">
      <c r="A7" s="15">
        <v>26579</v>
      </c>
      <c r="B7" s="7">
        <v>1000145846</v>
      </c>
      <c r="C7" s="11">
        <v>45867.614780092597</v>
      </c>
      <c r="D7" s="17" t="s">
        <v>1215</v>
      </c>
      <c r="E7" t="str">
        <f>IF(COUNTIF($B$2:B7,B7)&gt;1,"Duplicado","Único")</f>
        <v>Único</v>
      </c>
    </row>
    <row r="8" spans="1:5" x14ac:dyDescent="0.25">
      <c r="A8" s="15">
        <v>50960</v>
      </c>
      <c r="B8" s="7">
        <v>1000179029</v>
      </c>
      <c r="C8" s="11">
        <v>46050.686388888898</v>
      </c>
      <c r="D8" s="17" t="s">
        <v>3405</v>
      </c>
      <c r="E8" t="str">
        <f>IF(COUNTIF($B$2:B8,B8)&gt;1,"Duplicado","Único")</f>
        <v>Único</v>
      </c>
    </row>
    <row r="9" spans="1:5" hidden="1" x14ac:dyDescent="0.25">
      <c r="A9" s="15">
        <v>50960</v>
      </c>
      <c r="B9" s="7">
        <v>1000179029</v>
      </c>
      <c r="C9" s="11">
        <v>46000.614907407398</v>
      </c>
      <c r="D9" s="17" t="s">
        <v>2833</v>
      </c>
      <c r="E9" t="str">
        <f>IF(COUNTIF($B$2:B9,B9)&gt;1,"Duplicado","Único")</f>
        <v>Duplicado</v>
      </c>
    </row>
    <row r="10" spans="1:5" x14ac:dyDescent="0.25">
      <c r="A10" s="15">
        <v>44237</v>
      </c>
      <c r="B10" s="7">
        <v>1000180852</v>
      </c>
      <c r="C10" s="11">
        <v>45958.423020833303</v>
      </c>
      <c r="D10" s="17" t="s">
        <v>2117</v>
      </c>
      <c r="E10" t="str">
        <f>IF(COUNTIF($B$2:B10,B10)&gt;1,"Duplicado","Único")</f>
        <v>Único</v>
      </c>
    </row>
    <row r="11" spans="1:5" hidden="1" x14ac:dyDescent="0.25">
      <c r="A11" s="15">
        <v>44237</v>
      </c>
      <c r="B11" s="7">
        <v>1000180852</v>
      </c>
      <c r="C11" s="11">
        <v>45958.4223263889</v>
      </c>
      <c r="D11" s="17" t="s">
        <v>2116</v>
      </c>
      <c r="E11" t="str">
        <f>IF(COUNTIF($B$2:B11,B11)&gt;1,"Duplicado","Único")</f>
        <v>Duplicado</v>
      </c>
    </row>
    <row r="12" spans="1:5" x14ac:dyDescent="0.25">
      <c r="A12" s="15">
        <v>19985</v>
      </c>
      <c r="B12" s="7">
        <v>1000225493</v>
      </c>
      <c r="C12" s="11">
        <v>45819.6589467593</v>
      </c>
      <c r="D12" s="17" t="s">
        <v>852</v>
      </c>
      <c r="E12" t="str">
        <f>IF(COUNTIF($B$2:B12,B12)&gt;1,"Duplicado","Único")</f>
        <v>Único</v>
      </c>
    </row>
    <row r="13" spans="1:5" x14ac:dyDescent="0.25">
      <c r="A13" s="15">
        <v>17276</v>
      </c>
      <c r="B13" s="7">
        <v>1000252520</v>
      </c>
      <c r="C13" s="11">
        <v>45790.517986111103</v>
      </c>
      <c r="D13" s="17" t="s">
        <v>692</v>
      </c>
      <c r="E13" t="str">
        <f>IF(COUNTIF($B$2:B13,B13)&gt;1,"Duplicado","Único")</f>
        <v>Único</v>
      </c>
    </row>
    <row r="14" spans="1:5" x14ac:dyDescent="0.25">
      <c r="A14" s="15">
        <v>50491</v>
      </c>
      <c r="B14" s="7">
        <v>1000268542</v>
      </c>
      <c r="C14" s="11">
        <v>46050.643912036998</v>
      </c>
      <c r="D14" s="17" t="s">
        <v>3353</v>
      </c>
      <c r="E14" t="str">
        <f>IF(COUNTIF($B$2:B14,B14)&gt;1,"Duplicado","Único")</f>
        <v>Único</v>
      </c>
    </row>
    <row r="15" spans="1:5" hidden="1" x14ac:dyDescent="0.25">
      <c r="A15" s="15">
        <v>50491</v>
      </c>
      <c r="B15" s="7">
        <v>1000268542</v>
      </c>
      <c r="C15" s="11">
        <v>45989.335543981499</v>
      </c>
      <c r="D15" s="17" t="s">
        <v>2770</v>
      </c>
      <c r="E15" t="str">
        <f>IF(COUNTIF($B$2:B15,B15)&gt;1,"Duplicado","Único")</f>
        <v>Duplicado</v>
      </c>
    </row>
    <row r="16" spans="1:5" x14ac:dyDescent="0.25">
      <c r="A16" s="15">
        <v>15785</v>
      </c>
      <c r="B16" s="7">
        <v>10002716</v>
      </c>
      <c r="C16" s="11">
        <v>46121.388969907399</v>
      </c>
      <c r="D16" s="17" t="s">
        <v>4344</v>
      </c>
      <c r="E16" t="str">
        <f>IF(COUNTIF($B$2:B16,B16)&gt;1,"Duplicado","Único")</f>
        <v>Único</v>
      </c>
    </row>
    <row r="17" spans="1:5" hidden="1" x14ac:dyDescent="0.25">
      <c r="A17" s="15">
        <v>15785</v>
      </c>
      <c r="B17" s="7">
        <v>10002716</v>
      </c>
      <c r="C17" s="11">
        <v>46101.626493055599</v>
      </c>
      <c r="D17" s="17" t="s">
        <v>4093</v>
      </c>
      <c r="E17" t="str">
        <f>IF(COUNTIF($B$2:B17,B17)&gt;1,"Duplicado","Único")</f>
        <v>Duplicado</v>
      </c>
    </row>
    <row r="18" spans="1:5" hidden="1" x14ac:dyDescent="0.25">
      <c r="A18" s="15">
        <v>46526</v>
      </c>
      <c r="B18" s="7">
        <v>10002716</v>
      </c>
      <c r="C18" s="11">
        <v>45966.662881944401</v>
      </c>
      <c r="D18" s="17" t="s">
        <v>2336</v>
      </c>
      <c r="E18" t="str">
        <f>IF(COUNTIF($B$2:B18,B18)&gt;1,"Duplicado","Único")</f>
        <v>Duplicado</v>
      </c>
    </row>
    <row r="19" spans="1:5" x14ac:dyDescent="0.25">
      <c r="A19" s="15">
        <v>27062</v>
      </c>
      <c r="B19" s="7">
        <v>1000284187</v>
      </c>
      <c r="C19" s="11">
        <v>45874.402152777802</v>
      </c>
      <c r="D19" s="17" t="s">
        <v>1240</v>
      </c>
      <c r="E19" t="str">
        <f>IF(COUNTIF($B$2:B19,B19)&gt;1,"Duplicado","Único")</f>
        <v>Único</v>
      </c>
    </row>
    <row r="20" spans="1:5" x14ac:dyDescent="0.25">
      <c r="A20" s="15">
        <v>18239</v>
      </c>
      <c r="B20" s="7">
        <v>1000295874</v>
      </c>
      <c r="C20" s="11">
        <v>45800.517442129603</v>
      </c>
      <c r="D20" s="17" t="s">
        <v>754</v>
      </c>
      <c r="E20" t="str">
        <f>IF(COUNTIF($B$2:B20,B20)&gt;1,"Duplicado","Único")</f>
        <v>Único</v>
      </c>
    </row>
    <row r="21" spans="1:5" x14ac:dyDescent="0.25">
      <c r="A21" s="15">
        <v>50245</v>
      </c>
      <c r="B21" s="7">
        <v>1000319742</v>
      </c>
      <c r="C21" s="11">
        <v>46050.596516203703</v>
      </c>
      <c r="D21" s="17" t="s">
        <v>3293</v>
      </c>
      <c r="E21" t="str">
        <f>IF(COUNTIF($B$2:B21,B21)&gt;1,"Duplicado","Único")</f>
        <v>Único</v>
      </c>
    </row>
    <row r="22" spans="1:5" hidden="1" x14ac:dyDescent="0.25">
      <c r="A22" s="15">
        <v>50245</v>
      </c>
      <c r="B22" s="7">
        <v>1000319742</v>
      </c>
      <c r="C22" s="11">
        <v>45987.449386574102</v>
      </c>
      <c r="D22" s="17" t="s">
        <v>2736</v>
      </c>
      <c r="E22" t="str">
        <f>IF(COUNTIF($B$2:B22,B22)&gt;1,"Duplicado","Único")</f>
        <v>Duplicado</v>
      </c>
    </row>
    <row r="23" spans="1:5" x14ac:dyDescent="0.25">
      <c r="A23" s="15">
        <v>39639</v>
      </c>
      <c r="B23" s="7">
        <v>1000321441</v>
      </c>
      <c r="C23" s="11">
        <v>45930.4709953704</v>
      </c>
      <c r="D23" s="17" t="s">
        <v>1890</v>
      </c>
      <c r="E23" t="str">
        <f>IF(COUNTIF($B$2:B23,B23)&gt;1,"Duplicado","Único")</f>
        <v>Único</v>
      </c>
    </row>
    <row r="24" spans="1:5" x14ac:dyDescent="0.25">
      <c r="A24" s="15">
        <v>50383</v>
      </c>
      <c r="B24" s="7">
        <v>1000329776</v>
      </c>
      <c r="C24" s="11">
        <v>46050.615717592598</v>
      </c>
      <c r="D24" s="17" t="s">
        <v>3325</v>
      </c>
      <c r="E24" t="str">
        <f>IF(COUNTIF($B$2:B24,B24)&gt;1,"Duplicado","Único")</f>
        <v>Único</v>
      </c>
    </row>
    <row r="25" spans="1:5" hidden="1" x14ac:dyDescent="0.25">
      <c r="A25" s="15">
        <v>50383</v>
      </c>
      <c r="B25" s="7">
        <v>1000329776</v>
      </c>
      <c r="C25" s="11">
        <v>45988.381851851896</v>
      </c>
      <c r="D25" s="17" t="s">
        <v>2754</v>
      </c>
      <c r="E25" t="str">
        <f>IF(COUNTIF($B$2:B25,B25)&gt;1,"Duplicado","Único")</f>
        <v>Duplicado</v>
      </c>
    </row>
    <row r="26" spans="1:5" x14ac:dyDescent="0.25">
      <c r="A26" s="15">
        <v>52171</v>
      </c>
      <c r="B26" s="7">
        <v>1000334446</v>
      </c>
      <c r="C26" s="11">
        <v>46051.511712963002</v>
      </c>
      <c r="D26" s="17" t="s">
        <v>3512</v>
      </c>
      <c r="E26" t="str">
        <f>IF(COUNTIF($B$2:B26,B26)&gt;1,"Duplicado","Único")</f>
        <v>Único</v>
      </c>
    </row>
    <row r="27" spans="1:5" hidden="1" x14ac:dyDescent="0.25">
      <c r="A27" s="15">
        <v>52171</v>
      </c>
      <c r="B27" s="7">
        <v>1000334446</v>
      </c>
      <c r="C27" s="11">
        <v>46007.483796296299</v>
      </c>
      <c r="D27" s="17" t="s">
        <v>2944</v>
      </c>
      <c r="E27" t="str">
        <f>IF(COUNTIF($B$2:B27,B27)&gt;1,"Duplicado","Único")</f>
        <v>Duplicado</v>
      </c>
    </row>
    <row r="28" spans="1:5" x14ac:dyDescent="0.25">
      <c r="A28" s="15">
        <v>37414</v>
      </c>
      <c r="B28" s="7">
        <v>1000348329</v>
      </c>
      <c r="C28" s="11">
        <v>45923.445682870399</v>
      </c>
      <c r="D28" s="17" t="s">
        <v>1797</v>
      </c>
      <c r="E28" t="str">
        <f>IF(COUNTIF($B$2:B28,B28)&gt;1,"Duplicado","Único")</f>
        <v>Único</v>
      </c>
    </row>
    <row r="29" spans="1:5" hidden="1" x14ac:dyDescent="0.25">
      <c r="A29" s="15">
        <v>20016</v>
      </c>
      <c r="B29" s="7">
        <v>1000348329</v>
      </c>
      <c r="C29" s="11">
        <v>45819.666388888902</v>
      </c>
      <c r="D29" s="17" t="s">
        <v>853</v>
      </c>
      <c r="E29" t="str">
        <f>IF(COUNTIF($B$2:B29,B29)&gt;1,"Duplicado","Único")</f>
        <v>Duplicado</v>
      </c>
    </row>
    <row r="30" spans="1:5" x14ac:dyDescent="0.25">
      <c r="A30" s="15">
        <v>44319</v>
      </c>
      <c r="B30" s="7">
        <v>1000372250</v>
      </c>
      <c r="C30" s="11">
        <v>45958.4508333333</v>
      </c>
      <c r="D30" s="17" t="s">
        <v>2124</v>
      </c>
      <c r="E30" t="str">
        <f>IF(COUNTIF($B$2:B30,B30)&gt;1,"Duplicado","Único")</f>
        <v>Único</v>
      </c>
    </row>
    <row r="31" spans="1:5" x14ac:dyDescent="0.25">
      <c r="A31" s="15">
        <v>3889</v>
      </c>
      <c r="B31" s="7">
        <v>1000411818</v>
      </c>
      <c r="C31" s="11">
        <v>46086.778831018499</v>
      </c>
      <c r="D31" s="17" t="s">
        <v>3967</v>
      </c>
      <c r="E31" t="str">
        <f>IF(COUNTIF($B$2:B31,B31)&gt;1,"Duplicado","Único")</f>
        <v>Único</v>
      </c>
    </row>
    <row r="32" spans="1:5" hidden="1" x14ac:dyDescent="0.25">
      <c r="A32" s="15">
        <v>3889</v>
      </c>
      <c r="B32" s="7">
        <v>1000411818</v>
      </c>
      <c r="C32" s="11">
        <v>46055.452951388899</v>
      </c>
      <c r="D32" s="17" t="s">
        <v>3598</v>
      </c>
      <c r="E32" t="str">
        <f>IF(COUNTIF($B$2:B32,B32)&gt;1,"Duplicado","Único")</f>
        <v>Duplicado</v>
      </c>
    </row>
    <row r="33" spans="1:5" x14ac:dyDescent="0.25">
      <c r="A33" s="15">
        <v>21425</v>
      </c>
      <c r="B33" s="7">
        <v>1000505053</v>
      </c>
      <c r="C33" s="11">
        <v>45825.337534722203</v>
      </c>
      <c r="D33" s="17" t="s">
        <v>940</v>
      </c>
      <c r="E33" t="str">
        <f>IF(COUNTIF($B$2:B33,B33)&gt;1,"Duplicado","Único")</f>
        <v>Único</v>
      </c>
    </row>
    <row r="34" spans="1:5" x14ac:dyDescent="0.25">
      <c r="A34" s="15">
        <v>39971</v>
      </c>
      <c r="B34" s="7">
        <v>1000506170</v>
      </c>
      <c r="C34" s="11">
        <v>45931.388634259303</v>
      </c>
      <c r="D34" s="17" t="s">
        <v>1905</v>
      </c>
      <c r="E34" t="str">
        <f>IF(COUNTIF($B$2:B34,B34)&gt;1,"Duplicado","Único")</f>
        <v>Único</v>
      </c>
    </row>
    <row r="35" spans="1:5" x14ac:dyDescent="0.25">
      <c r="A35" s="15">
        <v>13481</v>
      </c>
      <c r="B35" s="7">
        <v>1000576009</v>
      </c>
      <c r="C35" s="11">
        <v>46149.670069444401</v>
      </c>
      <c r="D35" s="17" t="s">
        <v>4554</v>
      </c>
      <c r="E35" t="str">
        <f>IF(COUNTIF($B$2:B35,B35)&gt;1,"Duplicado","Único")</f>
        <v>Único</v>
      </c>
    </row>
    <row r="36" spans="1:5" hidden="1" x14ac:dyDescent="0.25">
      <c r="A36" s="15">
        <v>13481</v>
      </c>
      <c r="B36" s="7">
        <v>1000576009</v>
      </c>
      <c r="C36" s="11">
        <v>46084.478263888901</v>
      </c>
      <c r="D36" s="17" t="s">
        <v>3774</v>
      </c>
      <c r="E36" t="str">
        <f>IF(COUNTIF($B$2:B36,B36)&gt;1,"Duplicado","Único")</f>
        <v>Duplicado</v>
      </c>
    </row>
    <row r="37" spans="1:5" x14ac:dyDescent="0.25">
      <c r="A37" s="15">
        <v>14721</v>
      </c>
      <c r="B37" s="7">
        <v>1000613482</v>
      </c>
      <c r="C37" s="11">
        <v>46120.468969907401</v>
      </c>
      <c r="D37" s="17" t="s">
        <v>4262</v>
      </c>
      <c r="E37" t="str">
        <f>IF(COUNTIF($B$2:B37,B37)&gt;1,"Duplicado","Único")</f>
        <v>Único</v>
      </c>
    </row>
    <row r="38" spans="1:5" hidden="1" x14ac:dyDescent="0.25">
      <c r="A38" s="15">
        <v>14721</v>
      </c>
      <c r="B38" s="7">
        <v>1000613482</v>
      </c>
      <c r="C38" s="11">
        <v>46090.476793981499</v>
      </c>
      <c r="D38" s="17" t="s">
        <v>4009</v>
      </c>
      <c r="E38" t="str">
        <f>IF(COUNTIF($B$2:B38,B38)&gt;1,"Duplicado","Único")</f>
        <v>Duplicado</v>
      </c>
    </row>
    <row r="39" spans="1:5" x14ac:dyDescent="0.25">
      <c r="A39" s="15">
        <v>48069</v>
      </c>
      <c r="B39" s="7">
        <v>1000617026</v>
      </c>
      <c r="C39" s="11">
        <v>45974.387974537</v>
      </c>
      <c r="D39" s="17" t="s">
        <v>2494</v>
      </c>
      <c r="E39" t="str">
        <f>IF(COUNTIF($B$2:B39,B39)&gt;1,"Duplicado","Único")</f>
        <v>Único</v>
      </c>
    </row>
    <row r="40" spans="1:5" x14ac:dyDescent="0.25">
      <c r="A40" s="15">
        <v>45121</v>
      </c>
      <c r="B40" s="7">
        <v>1000623625</v>
      </c>
      <c r="C40" s="11">
        <v>45958.705474536997</v>
      </c>
      <c r="D40" s="17" t="s">
        <v>2192</v>
      </c>
      <c r="E40" t="str">
        <f>IF(COUNTIF($B$2:B40,B40)&gt;1,"Duplicado","Único")</f>
        <v>Único</v>
      </c>
    </row>
    <row r="41" spans="1:5" x14ac:dyDescent="0.25">
      <c r="A41" s="15">
        <v>30807</v>
      </c>
      <c r="B41" s="7">
        <v>1000687833</v>
      </c>
      <c r="C41" s="11">
        <v>45901.507395833301</v>
      </c>
      <c r="D41" s="17" t="s">
        <v>1487</v>
      </c>
      <c r="E41" t="str">
        <f>IF(COUNTIF($B$2:B41,B41)&gt;1,"Duplicado","Único")</f>
        <v>Único</v>
      </c>
    </row>
    <row r="42" spans="1:5" x14ac:dyDescent="0.25">
      <c r="A42" s="15">
        <v>49989</v>
      </c>
      <c r="B42" s="7">
        <v>1000802985</v>
      </c>
      <c r="C42" s="11">
        <v>46050.482835648101</v>
      </c>
      <c r="D42" s="17" t="s">
        <v>3266</v>
      </c>
      <c r="E42" t="str">
        <f>IF(COUNTIF($B$2:B42,B42)&gt;1,"Duplicado","Único")</f>
        <v>Único</v>
      </c>
    </row>
    <row r="43" spans="1:5" hidden="1" x14ac:dyDescent="0.25">
      <c r="A43" s="15">
        <v>49989</v>
      </c>
      <c r="B43" s="7">
        <v>1000802985</v>
      </c>
      <c r="C43" s="11">
        <v>45986.387615740699</v>
      </c>
      <c r="D43" s="17" t="s">
        <v>2712</v>
      </c>
      <c r="E43" t="str">
        <f>IF(COUNTIF($B$2:B43,B43)&gt;1,"Duplicado","Único")</f>
        <v>Duplicado</v>
      </c>
    </row>
    <row r="44" spans="1:5" x14ac:dyDescent="0.25">
      <c r="A44" s="15">
        <v>31831</v>
      </c>
      <c r="B44" s="7">
        <v>1000831326</v>
      </c>
      <c r="C44" s="11">
        <v>45905.657627314802</v>
      </c>
      <c r="D44" s="17" t="s">
        <v>1570</v>
      </c>
      <c r="E44" t="str">
        <f>IF(COUNTIF($B$2:B44,B44)&gt;1,"Duplicado","Único")</f>
        <v>Único</v>
      </c>
    </row>
    <row r="45" spans="1:5" x14ac:dyDescent="0.25">
      <c r="A45" s="15">
        <v>28798</v>
      </c>
      <c r="B45" s="7">
        <v>10009232</v>
      </c>
      <c r="C45" s="11">
        <v>45888.679537037002</v>
      </c>
      <c r="D45" s="17" t="s">
        <v>1362</v>
      </c>
      <c r="E45" t="str">
        <f>IF(COUNTIF($B$2:B45,B45)&gt;1,"Duplicado","Único")</f>
        <v>Único</v>
      </c>
    </row>
    <row r="46" spans="1:5" x14ac:dyDescent="0.25">
      <c r="A46" s="15">
        <v>33067</v>
      </c>
      <c r="B46" s="7">
        <v>1000971091</v>
      </c>
      <c r="C46" s="11">
        <v>45947.475011574097</v>
      </c>
      <c r="D46" s="17" t="s">
        <v>1997</v>
      </c>
      <c r="E46" t="str">
        <f>IF(COUNTIF($B$2:B46,B46)&gt;1,"Duplicado","Único")</f>
        <v>Único</v>
      </c>
    </row>
    <row r="47" spans="1:5" hidden="1" x14ac:dyDescent="0.25">
      <c r="A47" s="15">
        <v>33067</v>
      </c>
      <c r="B47" s="7">
        <v>1000971091</v>
      </c>
      <c r="C47" s="11">
        <v>45911.529282407399</v>
      </c>
      <c r="D47" s="17" t="s">
        <v>1674</v>
      </c>
      <c r="E47" t="str">
        <f>IF(COUNTIF($B$2:B47,B47)&gt;1,"Duplicado","Único")</f>
        <v>Duplicado</v>
      </c>
    </row>
    <row r="48" spans="1:5" x14ac:dyDescent="0.25">
      <c r="A48" s="15">
        <v>44016</v>
      </c>
      <c r="B48" s="7">
        <v>1000990118</v>
      </c>
      <c r="C48" s="11">
        <v>45957.722986111097</v>
      </c>
      <c r="D48" s="17" t="s">
        <v>2105</v>
      </c>
      <c r="E48" t="str">
        <f>IF(COUNTIF($B$2:B48,B48)&gt;1,"Duplicado","Único")</f>
        <v>Único</v>
      </c>
    </row>
    <row r="49" spans="1:5" x14ac:dyDescent="0.25">
      <c r="A49" s="15">
        <v>42957</v>
      </c>
      <c r="B49" s="7">
        <v>1001017625</v>
      </c>
      <c r="C49" s="11">
        <v>45954.6191666667</v>
      </c>
      <c r="D49" s="17" t="s">
        <v>2072</v>
      </c>
      <c r="E49" t="str">
        <f>IF(COUNTIF($B$2:B49,B49)&gt;1,"Duplicado","Único")</f>
        <v>Único</v>
      </c>
    </row>
    <row r="50" spans="1:5" x14ac:dyDescent="0.25">
      <c r="A50" s="15">
        <v>2505</v>
      </c>
      <c r="B50" s="7">
        <v>1001052909</v>
      </c>
      <c r="C50" s="11">
        <v>46086.747060185196</v>
      </c>
      <c r="D50" s="17" t="s">
        <v>3936</v>
      </c>
      <c r="E50" t="str">
        <f>IF(COUNTIF($B$2:B50,B50)&gt;1,"Duplicado","Único")</f>
        <v>Único</v>
      </c>
    </row>
    <row r="51" spans="1:5" hidden="1" x14ac:dyDescent="0.25">
      <c r="A51" s="15">
        <v>2505</v>
      </c>
      <c r="B51" s="7">
        <v>1001052909</v>
      </c>
      <c r="C51" s="11">
        <v>46051.404548611099</v>
      </c>
      <c r="D51" s="17" t="s">
        <v>3440</v>
      </c>
      <c r="E51" t="str">
        <f>IF(COUNTIF($B$2:B51,B51)&gt;1,"Duplicado","Único")</f>
        <v>Duplicado</v>
      </c>
    </row>
    <row r="52" spans="1:5" hidden="1" x14ac:dyDescent="0.25">
      <c r="A52" s="15">
        <v>29923</v>
      </c>
      <c r="B52" s="7">
        <v>1001052909</v>
      </c>
      <c r="C52" s="11">
        <v>45908.402604166702</v>
      </c>
      <c r="D52" s="17" t="s">
        <v>1598</v>
      </c>
      <c r="E52" t="str">
        <f>IF(COUNTIF($B$2:B52,B52)&gt;1,"Duplicado","Único")</f>
        <v>Duplicado</v>
      </c>
    </row>
    <row r="53" spans="1:5" hidden="1" x14ac:dyDescent="0.25">
      <c r="A53" s="15">
        <v>29923</v>
      </c>
      <c r="B53" s="7">
        <v>1001052909</v>
      </c>
      <c r="C53" s="11">
        <v>45898.490590277797</v>
      </c>
      <c r="D53" s="17" t="s">
        <v>1463</v>
      </c>
      <c r="E53" t="str">
        <f>IF(COUNTIF($B$2:B53,B53)&gt;1,"Duplicado","Único")</f>
        <v>Duplicado</v>
      </c>
    </row>
    <row r="54" spans="1:5" x14ac:dyDescent="0.25">
      <c r="A54" s="15">
        <v>33214</v>
      </c>
      <c r="B54" s="7">
        <v>1001053761</v>
      </c>
      <c r="C54" s="11">
        <v>45912.688240740703</v>
      </c>
      <c r="D54" s="17" t="s">
        <v>1686</v>
      </c>
      <c r="E54" t="str">
        <f>IF(COUNTIF($B$2:B54,B54)&gt;1,"Duplicado","Único")</f>
        <v>Único</v>
      </c>
    </row>
    <row r="55" spans="1:5" x14ac:dyDescent="0.25">
      <c r="A55" s="15">
        <v>38105</v>
      </c>
      <c r="B55" s="7">
        <v>10010792</v>
      </c>
      <c r="C55" s="11">
        <v>45924.430347222202</v>
      </c>
      <c r="D55" s="17" t="s">
        <v>1809</v>
      </c>
      <c r="E55" t="str">
        <f>IF(COUNTIF($B$2:B55,B55)&gt;1,"Duplicado","Único")</f>
        <v>Único</v>
      </c>
    </row>
    <row r="56" spans="1:5" x14ac:dyDescent="0.25">
      <c r="A56" s="15">
        <v>45029</v>
      </c>
      <c r="B56" s="7">
        <v>1001084178</v>
      </c>
      <c r="C56" s="11">
        <v>45958.686932870398</v>
      </c>
      <c r="D56" s="17" t="s">
        <v>2185</v>
      </c>
      <c r="E56" t="str">
        <f>IF(COUNTIF($B$2:B56,B56)&gt;1,"Duplicado","Único")</f>
        <v>Único</v>
      </c>
    </row>
    <row r="57" spans="1:5" x14ac:dyDescent="0.25">
      <c r="A57" s="15">
        <v>51697</v>
      </c>
      <c r="B57" s="7">
        <v>1001174714</v>
      </c>
      <c r="C57" s="11">
        <v>46051.4358333333</v>
      </c>
      <c r="D57" s="17" t="s">
        <v>3456</v>
      </c>
      <c r="E57" t="str">
        <f>IF(COUNTIF($B$2:B57,B57)&gt;1,"Duplicado","Único")</f>
        <v>Único</v>
      </c>
    </row>
    <row r="58" spans="1:5" hidden="1" x14ac:dyDescent="0.25">
      <c r="A58" s="15">
        <v>51697</v>
      </c>
      <c r="B58" s="7">
        <v>1001174714</v>
      </c>
      <c r="C58" s="11">
        <v>46002.682002314803</v>
      </c>
      <c r="D58" s="17" t="s">
        <v>2902</v>
      </c>
      <c r="E58" t="str">
        <f>IF(COUNTIF($B$2:B58,B58)&gt;1,"Duplicado","Único")</f>
        <v>Duplicado</v>
      </c>
    </row>
    <row r="59" spans="1:5" x14ac:dyDescent="0.25">
      <c r="A59" s="15">
        <v>23486</v>
      </c>
      <c r="B59" s="7">
        <v>1001202594</v>
      </c>
      <c r="C59" s="11">
        <v>45842.465671296297</v>
      </c>
      <c r="D59" s="17" t="s">
        <v>1047</v>
      </c>
      <c r="E59" t="str">
        <f>IF(COUNTIF($B$2:B59,B59)&gt;1,"Duplicado","Único")</f>
        <v>Único</v>
      </c>
    </row>
    <row r="60" spans="1:5" x14ac:dyDescent="0.25">
      <c r="A60" s="15">
        <v>17577</v>
      </c>
      <c r="B60" s="7">
        <v>1001219032</v>
      </c>
      <c r="C60" s="11">
        <v>46149.452488425901</v>
      </c>
      <c r="D60" s="17" t="s">
        <v>4490</v>
      </c>
      <c r="E60" t="str">
        <f>IF(COUNTIF($B$2:B60,B60)&gt;1,"Duplicado","Único")</f>
        <v>Único</v>
      </c>
    </row>
    <row r="61" spans="1:5" hidden="1" x14ac:dyDescent="0.25">
      <c r="A61" s="15">
        <v>17577</v>
      </c>
      <c r="B61" s="7">
        <v>1001219032</v>
      </c>
      <c r="C61" s="11">
        <v>46108.774664351899</v>
      </c>
      <c r="D61" s="17" t="s">
        <v>4227</v>
      </c>
      <c r="E61" t="str">
        <f>IF(COUNTIF($B$2:B61,B61)&gt;1,"Duplicado","Único")</f>
        <v>Duplicado</v>
      </c>
    </row>
    <row r="62" spans="1:5" x14ac:dyDescent="0.25">
      <c r="A62" s="15">
        <v>45332</v>
      </c>
      <c r="B62" s="7">
        <v>1001310194</v>
      </c>
      <c r="C62" s="11">
        <v>46050.644583333298</v>
      </c>
      <c r="D62" s="17" t="s">
        <v>3354</v>
      </c>
      <c r="E62" t="str">
        <f>IF(COUNTIF($B$2:B62,B62)&gt;1,"Duplicado","Único")</f>
        <v>Único</v>
      </c>
    </row>
    <row r="63" spans="1:5" hidden="1" x14ac:dyDescent="0.25">
      <c r="A63" s="15">
        <v>45332</v>
      </c>
      <c r="B63" s="7">
        <v>1001310194</v>
      </c>
      <c r="C63" s="11">
        <v>45989.600648148102</v>
      </c>
      <c r="D63" s="17" t="s">
        <v>2796</v>
      </c>
      <c r="E63" t="str">
        <f>IF(COUNTIF($B$2:B63,B63)&gt;1,"Duplicado","Único")</f>
        <v>Duplicado</v>
      </c>
    </row>
    <row r="64" spans="1:5" hidden="1" x14ac:dyDescent="0.25">
      <c r="A64" s="15">
        <v>45332</v>
      </c>
      <c r="B64" s="7">
        <v>1001310194</v>
      </c>
      <c r="C64" s="11">
        <v>45959.356284722198</v>
      </c>
      <c r="D64" s="17" t="s">
        <v>2208</v>
      </c>
      <c r="E64" t="str">
        <f>IF(COUNTIF($B$2:B64,B64)&gt;1,"Duplicado","Único")</f>
        <v>Duplicado</v>
      </c>
    </row>
    <row r="65" spans="1:5" x14ac:dyDescent="0.25">
      <c r="A65" s="15">
        <v>45208</v>
      </c>
      <c r="B65" s="7">
        <v>1001332163</v>
      </c>
      <c r="C65" s="11">
        <v>45958.743321759299</v>
      </c>
      <c r="D65" s="17" t="s">
        <v>2197</v>
      </c>
      <c r="E65" t="str">
        <f>IF(COUNTIF($B$2:B65,B65)&gt;1,"Duplicado","Único")</f>
        <v>Único</v>
      </c>
    </row>
    <row r="66" spans="1:5" x14ac:dyDescent="0.25">
      <c r="A66" s="15">
        <v>32226</v>
      </c>
      <c r="B66" s="7">
        <v>1001535222</v>
      </c>
      <c r="C66" s="11">
        <v>45908.454062500001</v>
      </c>
      <c r="D66" s="17" t="s">
        <v>1603</v>
      </c>
      <c r="E66" t="str">
        <f>IF(COUNTIF($B$2:B66,B66)&gt;1,"Duplicado","Único")</f>
        <v>Único</v>
      </c>
    </row>
    <row r="67" spans="1:5" x14ac:dyDescent="0.25">
      <c r="A67" s="15">
        <v>14216</v>
      </c>
      <c r="B67" s="7">
        <v>1001687551</v>
      </c>
      <c r="C67" s="11">
        <v>46149.520729166703</v>
      </c>
      <c r="D67" s="17" t="s">
        <v>4528</v>
      </c>
      <c r="E67" t="str">
        <f>IF(COUNTIF($B$2:B67,B67)&gt;1,"Duplicado","Único")</f>
        <v>Único</v>
      </c>
    </row>
    <row r="68" spans="1:5" hidden="1" x14ac:dyDescent="0.25">
      <c r="A68" s="15">
        <v>14216</v>
      </c>
      <c r="B68" s="7">
        <v>1001687551</v>
      </c>
      <c r="C68" s="11">
        <v>46086.6816666667</v>
      </c>
      <c r="D68" s="17" t="s">
        <v>983</v>
      </c>
      <c r="E68" t="str">
        <f>IF(COUNTIF($B$2:B68,B68)&gt;1,"Duplicado","Único")</f>
        <v>Duplicado</v>
      </c>
    </row>
    <row r="69" spans="1:5" x14ac:dyDescent="0.25">
      <c r="A69" s="15">
        <v>22902</v>
      </c>
      <c r="B69" s="7">
        <v>1001747657</v>
      </c>
      <c r="C69" s="11">
        <v>45842.352256944403</v>
      </c>
      <c r="D69" s="17" t="s">
        <v>1033</v>
      </c>
      <c r="E69" t="str">
        <f>IF(COUNTIF($B$2:B69,B69)&gt;1,"Duplicado","Único")</f>
        <v>Único</v>
      </c>
    </row>
    <row r="70" spans="1:5" x14ac:dyDescent="0.25">
      <c r="A70" s="15">
        <v>18845</v>
      </c>
      <c r="B70" s="7">
        <v>1001804094</v>
      </c>
      <c r="C70" s="11">
        <v>45821.328773148103</v>
      </c>
      <c r="D70" s="17" t="s">
        <v>897</v>
      </c>
      <c r="E70" t="str">
        <f>IF(COUNTIF($B$2:B70,B70)&gt;1,"Duplicado","Único")</f>
        <v>Único</v>
      </c>
    </row>
    <row r="71" spans="1:5" hidden="1" x14ac:dyDescent="0.25">
      <c r="A71" s="15">
        <v>18845</v>
      </c>
      <c r="B71" s="7">
        <v>1001804094</v>
      </c>
      <c r="C71" s="11">
        <v>45813.658460648097</v>
      </c>
      <c r="D71" s="17" t="s">
        <v>805</v>
      </c>
      <c r="E71" t="str">
        <f>IF(COUNTIF($B$2:B71,B71)&gt;1,"Duplicado","Único")</f>
        <v>Duplicado</v>
      </c>
    </row>
    <row r="72" spans="1:5" x14ac:dyDescent="0.25">
      <c r="A72" s="15">
        <v>29657</v>
      </c>
      <c r="B72" s="7">
        <v>10018407</v>
      </c>
      <c r="C72" s="11">
        <v>45894.715324074103</v>
      </c>
      <c r="D72" s="17" t="s">
        <v>1420</v>
      </c>
      <c r="E72" t="str">
        <f>IF(COUNTIF($B$2:B72,B72)&gt;1,"Duplicado","Único")</f>
        <v>Único</v>
      </c>
    </row>
    <row r="73" spans="1:5" x14ac:dyDescent="0.25">
      <c r="A73" s="15">
        <v>28473</v>
      </c>
      <c r="B73" s="7">
        <v>1001902739</v>
      </c>
      <c r="C73" s="11">
        <v>45888.517094907402</v>
      </c>
      <c r="D73" s="17" t="s">
        <v>1335</v>
      </c>
      <c r="E73" t="str">
        <f>IF(COUNTIF($B$2:B73,B73)&gt;1,"Duplicado","Único")</f>
        <v>Único</v>
      </c>
    </row>
    <row r="74" spans="1:5" x14ac:dyDescent="0.25">
      <c r="A74" s="15">
        <v>41555</v>
      </c>
      <c r="B74" s="7">
        <v>1001903965</v>
      </c>
      <c r="C74" s="11">
        <v>45938.437152777798</v>
      </c>
      <c r="D74" s="17" t="s">
        <v>1987</v>
      </c>
      <c r="E74" t="str">
        <f>IF(COUNTIF($B$2:B74,B74)&gt;1,"Duplicado","Único")</f>
        <v>Único</v>
      </c>
    </row>
    <row r="75" spans="1:5" x14ac:dyDescent="0.25">
      <c r="A75" s="15">
        <v>37174</v>
      </c>
      <c r="B75" s="7">
        <v>1001911637</v>
      </c>
      <c r="C75" s="11">
        <v>45922.453460648103</v>
      </c>
      <c r="D75" s="17" t="s">
        <v>1782</v>
      </c>
      <c r="E75" t="str">
        <f>IF(COUNTIF($B$2:B75,B75)&gt;1,"Duplicado","Único")</f>
        <v>Único</v>
      </c>
    </row>
    <row r="76" spans="1:5" x14ac:dyDescent="0.25">
      <c r="A76" s="15">
        <v>32536</v>
      </c>
      <c r="B76" s="7">
        <v>1001913974</v>
      </c>
      <c r="C76" s="11">
        <v>45909.664629629602</v>
      </c>
      <c r="D76" s="17" t="s">
        <v>1625</v>
      </c>
      <c r="E76" t="str">
        <f>IF(COUNTIF($B$2:B76,B76)&gt;1,"Duplicado","Único")</f>
        <v>Único</v>
      </c>
    </row>
    <row r="77" spans="1:5" x14ac:dyDescent="0.25">
      <c r="A77" s="15">
        <v>22070</v>
      </c>
      <c r="B77" s="7">
        <v>1001914952</v>
      </c>
      <c r="C77" s="11">
        <v>45834.639293981498</v>
      </c>
      <c r="D77" s="17" t="s">
        <v>987</v>
      </c>
      <c r="E77" t="str">
        <f>IF(COUNTIF($B$2:B77,B77)&gt;1,"Duplicado","Único")</f>
        <v>Único</v>
      </c>
    </row>
    <row r="78" spans="1:5" x14ac:dyDescent="0.25">
      <c r="A78" s="15">
        <v>50881</v>
      </c>
      <c r="B78" s="7">
        <v>10019154</v>
      </c>
      <c r="C78" s="11">
        <v>46050.654780092598</v>
      </c>
      <c r="D78" s="17" t="s">
        <v>3367</v>
      </c>
      <c r="E78" t="str">
        <f>IF(COUNTIF($B$2:B78,B78)&gt;1,"Duplicado","Único")</f>
        <v>Único</v>
      </c>
    </row>
    <row r="79" spans="1:5" hidden="1" x14ac:dyDescent="0.25">
      <c r="A79" s="15">
        <v>50881</v>
      </c>
      <c r="B79" s="7">
        <v>10019154</v>
      </c>
      <c r="C79" s="11">
        <v>45992.596250000002</v>
      </c>
      <c r="D79" s="17" t="s">
        <v>2822</v>
      </c>
      <c r="E79" t="str">
        <f>IF(COUNTIF($B$2:B79,B79)&gt;1,"Duplicado","Único")</f>
        <v>Duplicado</v>
      </c>
    </row>
    <row r="80" spans="1:5" x14ac:dyDescent="0.25">
      <c r="A80" s="15">
        <v>27059</v>
      </c>
      <c r="B80" s="7">
        <v>1001936563</v>
      </c>
      <c r="C80" s="11">
        <v>45874.400752314803</v>
      </c>
      <c r="D80" s="17" t="s">
        <v>1239</v>
      </c>
      <c r="E80" t="str">
        <f>IF(COUNTIF($B$2:B80,B80)&gt;1,"Duplicado","Único")</f>
        <v>Único</v>
      </c>
    </row>
    <row r="81" spans="1:5" x14ac:dyDescent="0.25">
      <c r="A81" s="15">
        <v>49758</v>
      </c>
      <c r="B81" s="7">
        <v>1001939285</v>
      </c>
      <c r="C81" s="11">
        <v>46050.430821759299</v>
      </c>
      <c r="D81" s="17" t="s">
        <v>3234</v>
      </c>
      <c r="E81" t="str">
        <f>IF(COUNTIF($B$2:B81,B81)&gt;1,"Duplicado","Único")</f>
        <v>Único</v>
      </c>
    </row>
    <row r="82" spans="1:5" hidden="1" x14ac:dyDescent="0.25">
      <c r="A82" s="15">
        <v>49758</v>
      </c>
      <c r="B82" s="7">
        <v>1001939285</v>
      </c>
      <c r="C82" s="11">
        <v>45985.592824074098</v>
      </c>
      <c r="D82" s="17" t="s">
        <v>2696</v>
      </c>
      <c r="E82" t="str">
        <f>IF(COUNTIF($B$2:B82,B82)&gt;1,"Duplicado","Único")</f>
        <v>Duplicado</v>
      </c>
    </row>
    <row r="83" spans="1:5" x14ac:dyDescent="0.25">
      <c r="A83" s="15">
        <v>26190</v>
      </c>
      <c r="B83" s="7">
        <v>1001971140</v>
      </c>
      <c r="C83" s="11">
        <v>45867.352974537003</v>
      </c>
      <c r="D83" s="17" t="s">
        <v>1176</v>
      </c>
      <c r="E83" t="str">
        <f>IF(COUNTIF($B$2:B83,B83)&gt;1,"Duplicado","Único")</f>
        <v>Único</v>
      </c>
    </row>
    <row r="84" spans="1:5" x14ac:dyDescent="0.25">
      <c r="A84" s="15">
        <v>45479</v>
      </c>
      <c r="B84" s="7">
        <v>1001975692</v>
      </c>
      <c r="C84" s="11">
        <v>45960.441759259302</v>
      </c>
      <c r="D84" s="17" t="s">
        <v>2239</v>
      </c>
      <c r="E84" t="str">
        <f>IF(COUNTIF($B$2:B84,B84)&gt;1,"Duplicado","Único")</f>
        <v>Único</v>
      </c>
    </row>
    <row r="85" spans="1:5" x14ac:dyDescent="0.25">
      <c r="A85" s="15">
        <v>42655</v>
      </c>
      <c r="B85" s="7">
        <v>1001993836</v>
      </c>
      <c r="C85" s="11">
        <v>45953.690289351798</v>
      </c>
      <c r="D85" s="17" t="s">
        <v>2057</v>
      </c>
      <c r="E85" t="str">
        <f>IF(COUNTIF($B$2:B85,B85)&gt;1,"Duplicado","Único")</f>
        <v>Único</v>
      </c>
    </row>
    <row r="86" spans="1:5" x14ac:dyDescent="0.25">
      <c r="A86" s="15">
        <v>49828</v>
      </c>
      <c r="B86" s="7">
        <v>1002096911</v>
      </c>
      <c r="C86" s="11">
        <v>46050.431597222203</v>
      </c>
      <c r="D86" s="17" t="s">
        <v>3235</v>
      </c>
      <c r="E86" t="str">
        <f>IF(COUNTIF($B$2:B86,B86)&gt;1,"Duplicado","Único")</f>
        <v>Único</v>
      </c>
    </row>
    <row r="87" spans="1:5" hidden="1" x14ac:dyDescent="0.25">
      <c r="A87" s="15">
        <v>49828</v>
      </c>
      <c r="B87" s="7">
        <v>1002096911</v>
      </c>
      <c r="C87" s="11">
        <v>45985.6309259259</v>
      </c>
      <c r="D87" s="17" t="s">
        <v>2699</v>
      </c>
      <c r="E87" t="str">
        <f>IF(COUNTIF($B$2:B87,B87)&gt;1,"Duplicado","Único")</f>
        <v>Duplicado</v>
      </c>
    </row>
    <row r="88" spans="1:5" x14ac:dyDescent="0.25">
      <c r="A88" s="15">
        <v>50722</v>
      </c>
      <c r="B88" s="7">
        <v>1002128731</v>
      </c>
      <c r="C88" s="11">
        <v>46050.659189814804</v>
      </c>
      <c r="D88" s="17" t="s">
        <v>3373</v>
      </c>
      <c r="E88" t="str">
        <f>IF(COUNTIF($B$2:B88,B88)&gt;1,"Duplicado","Único")</f>
        <v>Único</v>
      </c>
    </row>
    <row r="89" spans="1:5" hidden="1" x14ac:dyDescent="0.25">
      <c r="A89" s="15">
        <v>50722</v>
      </c>
      <c r="B89" s="7">
        <v>1002128731</v>
      </c>
      <c r="C89" s="11">
        <v>45992.452731481499</v>
      </c>
      <c r="D89" s="17" t="s">
        <v>2814</v>
      </c>
      <c r="E89" t="str">
        <f>IF(COUNTIF($B$2:B89,B89)&gt;1,"Duplicado","Único")</f>
        <v>Duplicado</v>
      </c>
    </row>
    <row r="90" spans="1:5" x14ac:dyDescent="0.25">
      <c r="A90" s="15">
        <v>28549</v>
      </c>
      <c r="B90" s="7">
        <v>10022469</v>
      </c>
      <c r="C90" s="11">
        <v>45915.5307523148</v>
      </c>
      <c r="D90" s="17" t="s">
        <v>1710</v>
      </c>
      <c r="E90" t="str">
        <f>IF(COUNTIF($B$2:B90,B90)&gt;1,"Duplicado","Único")</f>
        <v>Único</v>
      </c>
    </row>
    <row r="91" spans="1:5" hidden="1" x14ac:dyDescent="0.25">
      <c r="A91" s="15">
        <v>28549</v>
      </c>
      <c r="B91" s="7">
        <v>10022469</v>
      </c>
      <c r="C91" s="11">
        <v>45888.5872453704</v>
      </c>
      <c r="D91" s="17" t="s">
        <v>1343</v>
      </c>
      <c r="E91" t="str">
        <f>IF(COUNTIF($B$2:B91,B91)&gt;1,"Duplicado","Único")</f>
        <v>Duplicado</v>
      </c>
    </row>
    <row r="92" spans="1:5" x14ac:dyDescent="0.25">
      <c r="A92" s="15">
        <v>15901</v>
      </c>
      <c r="B92" s="7">
        <v>1002248299</v>
      </c>
      <c r="C92" s="11">
        <v>46108.419097222199</v>
      </c>
      <c r="D92" s="17" t="s">
        <v>4178</v>
      </c>
      <c r="E92" t="str">
        <f>IF(COUNTIF($B$2:B92,B92)&gt;1,"Duplicado","Único")</f>
        <v>Único</v>
      </c>
    </row>
    <row r="93" spans="1:5" hidden="1" x14ac:dyDescent="0.25">
      <c r="A93" s="15">
        <v>15901</v>
      </c>
      <c r="B93" s="7">
        <v>1002248299</v>
      </c>
      <c r="C93" s="11">
        <v>46101.630231481497</v>
      </c>
      <c r="D93" s="17" t="s">
        <v>1134</v>
      </c>
      <c r="E93" t="str">
        <f>IF(COUNTIF($B$2:B93,B93)&gt;1,"Duplicado","Único")</f>
        <v>Duplicado</v>
      </c>
    </row>
    <row r="94" spans="1:5" x14ac:dyDescent="0.25">
      <c r="A94" s="15">
        <v>29150</v>
      </c>
      <c r="B94" s="7">
        <v>1002394848</v>
      </c>
      <c r="C94" s="11">
        <v>45891.669618055603</v>
      </c>
      <c r="D94" s="17" t="s">
        <v>1393</v>
      </c>
      <c r="E94" t="str">
        <f>IF(COUNTIF($B$2:B94,B94)&gt;1,"Duplicado","Único")</f>
        <v>Único</v>
      </c>
    </row>
    <row r="95" spans="1:5" x14ac:dyDescent="0.25">
      <c r="A95" s="15">
        <v>27070</v>
      </c>
      <c r="B95" s="7">
        <v>1002414078</v>
      </c>
      <c r="C95" s="11">
        <v>45874.404965277798</v>
      </c>
      <c r="D95" s="17" t="s">
        <v>1241</v>
      </c>
      <c r="E95" t="str">
        <f>IF(COUNTIF($B$2:B95,B95)&gt;1,"Duplicado","Único")</f>
        <v>Único</v>
      </c>
    </row>
    <row r="96" spans="1:5" x14ac:dyDescent="0.25">
      <c r="A96" s="15">
        <v>31774</v>
      </c>
      <c r="B96" s="7">
        <v>1002429252</v>
      </c>
      <c r="C96" s="11">
        <v>45905.655266203699</v>
      </c>
      <c r="D96" s="17" t="s">
        <v>1569</v>
      </c>
      <c r="E96" t="str">
        <f>IF(COUNTIF($B$2:B96,B96)&gt;1,"Duplicado","Único")</f>
        <v>Único</v>
      </c>
    </row>
    <row r="97" spans="1:5" x14ac:dyDescent="0.25">
      <c r="A97" s="15">
        <v>43643</v>
      </c>
      <c r="B97" s="7">
        <v>1002440227</v>
      </c>
      <c r="C97" s="11">
        <v>45957.5334953704</v>
      </c>
      <c r="D97" s="17" t="s">
        <v>2094</v>
      </c>
      <c r="E97" t="str">
        <f>IF(COUNTIF($B$2:B97,B97)&gt;1,"Duplicado","Único")</f>
        <v>Único</v>
      </c>
    </row>
    <row r="98" spans="1:5" x14ac:dyDescent="0.25">
      <c r="A98" s="15">
        <v>51149</v>
      </c>
      <c r="B98" s="7">
        <v>1002455054</v>
      </c>
      <c r="C98" s="11">
        <v>46050.698263888902</v>
      </c>
      <c r="D98" s="17" t="s">
        <v>3420</v>
      </c>
      <c r="E98" t="str">
        <f>IF(COUNTIF($B$2:B98,B98)&gt;1,"Duplicado","Único")</f>
        <v>Único</v>
      </c>
    </row>
    <row r="99" spans="1:5" hidden="1" x14ac:dyDescent="0.25">
      <c r="A99" s="15">
        <v>51149</v>
      </c>
      <c r="B99" s="7">
        <v>1002455054</v>
      </c>
      <c r="C99" s="11">
        <v>46001.4288310185</v>
      </c>
      <c r="D99" s="17" t="s">
        <v>2850</v>
      </c>
      <c r="E99" t="str">
        <f>IF(COUNTIF($B$2:B99,B99)&gt;1,"Duplicado","Único")</f>
        <v>Duplicado</v>
      </c>
    </row>
    <row r="100" spans="1:5" x14ac:dyDescent="0.25">
      <c r="A100" s="15">
        <v>17445</v>
      </c>
      <c r="B100" s="7">
        <v>10026088</v>
      </c>
      <c r="C100" s="11">
        <v>46149.428217592598</v>
      </c>
      <c r="D100" s="17" t="s">
        <v>4466</v>
      </c>
      <c r="E100" t="str">
        <f>IF(COUNTIF($B$2:B100,B100)&gt;1,"Duplicado","Único")</f>
        <v>Único</v>
      </c>
    </row>
    <row r="101" spans="1:5" hidden="1" x14ac:dyDescent="0.25">
      <c r="A101" s="15">
        <v>17445</v>
      </c>
      <c r="B101" s="7">
        <v>10026088</v>
      </c>
      <c r="C101" s="11">
        <v>46108.5753819444</v>
      </c>
      <c r="D101" s="17" t="s">
        <v>4224</v>
      </c>
      <c r="E101" t="str">
        <f>IF(COUNTIF($B$2:B101,B101)&gt;1,"Duplicado","Único")</f>
        <v>Duplicado</v>
      </c>
    </row>
    <row r="102" spans="1:5" x14ac:dyDescent="0.25">
      <c r="A102" s="15">
        <v>32832</v>
      </c>
      <c r="B102" s="7">
        <v>1002653253</v>
      </c>
      <c r="C102" s="11">
        <v>45910.519398148099</v>
      </c>
      <c r="D102" s="17" t="s">
        <v>1654</v>
      </c>
      <c r="E102" t="str">
        <f>IF(COUNTIF($B$2:B102,B102)&gt;1,"Duplicado","Único")</f>
        <v>Único</v>
      </c>
    </row>
    <row r="103" spans="1:5" x14ac:dyDescent="0.25">
      <c r="A103" s="15">
        <v>28492</v>
      </c>
      <c r="B103" s="7">
        <v>1002777164</v>
      </c>
      <c r="C103" s="11">
        <v>45888.522384259297</v>
      </c>
      <c r="D103" s="17" t="s">
        <v>1336</v>
      </c>
      <c r="E103" t="str">
        <f>IF(COUNTIF($B$2:B103,B103)&gt;1,"Duplicado","Único")</f>
        <v>Único</v>
      </c>
    </row>
    <row r="104" spans="1:5" x14ac:dyDescent="0.25">
      <c r="A104" s="15">
        <v>25709</v>
      </c>
      <c r="B104" s="7">
        <v>1002800687</v>
      </c>
      <c r="C104" s="11">
        <v>45869.608287037001</v>
      </c>
      <c r="D104" s="17" t="s">
        <v>1220</v>
      </c>
      <c r="E104" t="str">
        <f>IF(COUNTIF($B$2:B104,B104)&gt;1,"Duplicado","Único")</f>
        <v>Único</v>
      </c>
    </row>
    <row r="105" spans="1:5" x14ac:dyDescent="0.25">
      <c r="A105" s="15">
        <v>22812</v>
      </c>
      <c r="B105" s="7">
        <v>1002930151</v>
      </c>
      <c r="C105" s="11">
        <v>45841.701840277798</v>
      </c>
      <c r="D105" s="17" t="s">
        <v>1018</v>
      </c>
      <c r="E105" t="str">
        <f>IF(COUNTIF($B$2:B105,B105)&gt;1,"Duplicado","Único")</f>
        <v>Único</v>
      </c>
    </row>
    <row r="106" spans="1:5" x14ac:dyDescent="0.25">
      <c r="A106" s="15">
        <v>54642</v>
      </c>
      <c r="B106" s="7">
        <v>1002957322</v>
      </c>
      <c r="C106" s="11">
        <v>46086.796122685198</v>
      </c>
      <c r="D106" s="17" t="s">
        <v>3994</v>
      </c>
      <c r="E106" t="str">
        <f>IF(COUNTIF($B$2:B106,B106)&gt;1,"Duplicado","Único")</f>
        <v>Único</v>
      </c>
    </row>
    <row r="107" spans="1:5" hidden="1" x14ac:dyDescent="0.25">
      <c r="A107" s="15">
        <v>54642</v>
      </c>
      <c r="B107" s="7">
        <v>1002957322</v>
      </c>
      <c r="C107" s="11">
        <v>46020.591087963003</v>
      </c>
      <c r="D107" s="17" t="s">
        <v>3096</v>
      </c>
      <c r="E107" t="str">
        <f>IF(COUNTIF($B$2:B107,B107)&gt;1,"Duplicado","Único")</f>
        <v>Duplicado</v>
      </c>
    </row>
    <row r="108" spans="1:5" x14ac:dyDescent="0.25">
      <c r="A108" s="15">
        <v>2398</v>
      </c>
      <c r="B108" s="7">
        <v>1003050678</v>
      </c>
      <c r="C108" s="11">
        <v>46086.7184837963</v>
      </c>
      <c r="D108" s="17" t="s">
        <v>3902</v>
      </c>
      <c r="E108" t="str">
        <f>IF(COUNTIF($B$2:B108,B108)&gt;1,"Duplicado","Único")</f>
        <v>Único</v>
      </c>
    </row>
    <row r="109" spans="1:5" hidden="1" x14ac:dyDescent="0.25">
      <c r="A109" s="15">
        <v>2398</v>
      </c>
      <c r="B109" s="7">
        <v>1003050678</v>
      </c>
      <c r="C109" s="11">
        <v>46049.737511574102</v>
      </c>
      <c r="D109" s="17" t="s">
        <v>3225</v>
      </c>
      <c r="E109" t="str">
        <f>IF(COUNTIF($B$2:B109,B109)&gt;1,"Duplicado","Único")</f>
        <v>Duplicado</v>
      </c>
    </row>
    <row r="110" spans="1:5" x14ac:dyDescent="0.25">
      <c r="A110" s="15">
        <v>31105</v>
      </c>
      <c r="B110" s="7">
        <v>1003069844</v>
      </c>
      <c r="C110" s="11">
        <v>45903.666979166701</v>
      </c>
      <c r="D110" s="17" t="s">
        <v>1507</v>
      </c>
      <c r="E110" t="str">
        <f>IF(COUNTIF($B$2:B110,B110)&gt;1,"Duplicado","Único")</f>
        <v>Único</v>
      </c>
    </row>
    <row r="111" spans="1:5" x14ac:dyDescent="0.25">
      <c r="A111" s="15">
        <v>51994</v>
      </c>
      <c r="B111" s="7">
        <v>1003083152</v>
      </c>
      <c r="C111" s="11">
        <v>46051.4766550926</v>
      </c>
      <c r="D111" s="17" t="s">
        <v>3501</v>
      </c>
      <c r="E111" t="str">
        <f>IF(COUNTIF($B$2:B111,B111)&gt;1,"Duplicado","Único")</f>
        <v>Único</v>
      </c>
    </row>
    <row r="112" spans="1:5" hidden="1" x14ac:dyDescent="0.25">
      <c r="A112" s="15">
        <v>51994</v>
      </c>
      <c r="B112" s="7">
        <v>1003083152</v>
      </c>
      <c r="C112" s="11">
        <v>46003.701585648101</v>
      </c>
      <c r="D112" s="17" t="s">
        <v>2927</v>
      </c>
      <c r="E112" t="str">
        <f>IF(COUNTIF($B$2:B112,B112)&gt;1,"Duplicado","Único")</f>
        <v>Duplicado</v>
      </c>
    </row>
    <row r="113" spans="1:5" x14ac:dyDescent="0.25">
      <c r="A113" s="15">
        <v>17786</v>
      </c>
      <c r="B113" s="7">
        <v>1003125775</v>
      </c>
      <c r="C113" s="11">
        <v>46149.452939814801</v>
      </c>
      <c r="D113" s="17" t="s">
        <v>4491</v>
      </c>
      <c r="E113" t="str">
        <f>IF(COUNTIF($B$2:B113,B113)&gt;1,"Duplicado","Único")</f>
        <v>Único</v>
      </c>
    </row>
    <row r="114" spans="1:5" hidden="1" x14ac:dyDescent="0.25">
      <c r="A114" s="15">
        <v>17786</v>
      </c>
      <c r="B114" s="7">
        <v>1003125775</v>
      </c>
      <c r="C114" s="11">
        <v>46108.833078703698</v>
      </c>
      <c r="D114" s="17" t="s">
        <v>4234</v>
      </c>
      <c r="E114" t="str">
        <f>IF(COUNTIF($B$2:B114,B114)&gt;1,"Duplicado","Único")</f>
        <v>Duplicado</v>
      </c>
    </row>
    <row r="115" spans="1:5" x14ac:dyDescent="0.25">
      <c r="A115" s="15">
        <v>22128</v>
      </c>
      <c r="B115" s="7">
        <v>1003245934</v>
      </c>
      <c r="C115" s="11">
        <v>45835.677233796298</v>
      </c>
      <c r="D115" s="17" t="s">
        <v>992</v>
      </c>
      <c r="E115" t="str">
        <f>IF(COUNTIF($B$2:B115,B115)&gt;1,"Duplicado","Único")</f>
        <v>Único</v>
      </c>
    </row>
    <row r="116" spans="1:5" x14ac:dyDescent="0.25">
      <c r="A116" s="15">
        <v>50680</v>
      </c>
      <c r="B116" s="7">
        <v>1003258694</v>
      </c>
      <c r="C116" s="11">
        <v>46050.659976851799</v>
      </c>
      <c r="D116" s="17" t="s">
        <v>3374</v>
      </c>
      <c r="E116" t="str">
        <f>IF(COUNTIF($B$2:B116,B116)&gt;1,"Duplicado","Único")</f>
        <v>Único</v>
      </c>
    </row>
    <row r="117" spans="1:5" hidden="1" x14ac:dyDescent="0.25">
      <c r="A117" s="15">
        <v>50680</v>
      </c>
      <c r="B117" s="7">
        <v>1003258694</v>
      </c>
      <c r="C117" s="11">
        <v>45992.446747685201</v>
      </c>
      <c r="D117" s="17" t="s">
        <v>2812</v>
      </c>
      <c r="E117" t="str">
        <f>IF(COUNTIF($B$2:B117,B117)&gt;1,"Duplicado","Único")</f>
        <v>Duplicado</v>
      </c>
    </row>
    <row r="118" spans="1:5" x14ac:dyDescent="0.25">
      <c r="A118" s="15">
        <v>24387</v>
      </c>
      <c r="B118" s="7">
        <v>1003433851</v>
      </c>
      <c r="C118" s="11">
        <v>45856.458900463003</v>
      </c>
      <c r="D118" s="17" t="s">
        <v>1078</v>
      </c>
      <c r="E118" t="str">
        <f>IF(COUNTIF($B$2:B118,B118)&gt;1,"Duplicado","Único")</f>
        <v>Único</v>
      </c>
    </row>
    <row r="119" spans="1:5" x14ac:dyDescent="0.25">
      <c r="A119" s="15">
        <v>25658</v>
      </c>
      <c r="B119" s="7">
        <v>1003526530</v>
      </c>
      <c r="C119" s="11">
        <v>45866.587662037004</v>
      </c>
      <c r="D119" s="17" t="s">
        <v>1141</v>
      </c>
      <c r="E119" t="str">
        <f>IF(COUNTIF($B$2:B119,B119)&gt;1,"Duplicado","Único")</f>
        <v>Único</v>
      </c>
    </row>
    <row r="120" spans="1:5" x14ac:dyDescent="0.25">
      <c r="A120" s="15">
        <v>48022</v>
      </c>
      <c r="B120" s="7">
        <v>1003595292</v>
      </c>
      <c r="C120" s="11">
        <v>45974.529386574097</v>
      </c>
      <c r="D120" s="17" t="s">
        <v>2511</v>
      </c>
      <c r="E120" t="str">
        <f>IF(COUNTIF($B$2:B120,B120)&gt;1,"Duplicado","Único")</f>
        <v>Único</v>
      </c>
    </row>
    <row r="121" spans="1:5" x14ac:dyDescent="0.25">
      <c r="A121" s="15">
        <v>21109</v>
      </c>
      <c r="B121" s="7">
        <v>1003802699</v>
      </c>
      <c r="C121" s="11">
        <v>45824.364594907398</v>
      </c>
      <c r="D121" s="17" t="s">
        <v>925</v>
      </c>
      <c r="E121" t="str">
        <f>IF(COUNTIF($B$2:B121,B121)&gt;1,"Duplicado","Único")</f>
        <v>Único</v>
      </c>
    </row>
    <row r="122" spans="1:5" x14ac:dyDescent="0.25">
      <c r="A122" s="15">
        <v>31580</v>
      </c>
      <c r="B122" s="7">
        <v>1003811404</v>
      </c>
      <c r="C122" s="11">
        <v>45904.647372685198</v>
      </c>
      <c r="D122" s="17" t="s">
        <v>1531</v>
      </c>
      <c r="E122" t="str">
        <f>IF(COUNTIF($B$2:B122,B122)&gt;1,"Duplicado","Único")</f>
        <v>Único</v>
      </c>
    </row>
    <row r="123" spans="1:5" x14ac:dyDescent="0.25">
      <c r="A123" s="15">
        <v>17900</v>
      </c>
      <c r="B123" s="7">
        <v>1003812248</v>
      </c>
      <c r="C123" s="11">
        <v>45820.665844907402</v>
      </c>
      <c r="D123" s="17" t="s">
        <v>895</v>
      </c>
      <c r="E123" t="str">
        <f>IF(COUNTIF($B$2:B123,B123)&gt;1,"Duplicado","Único")</f>
        <v>Único</v>
      </c>
    </row>
    <row r="124" spans="1:5" hidden="1" x14ac:dyDescent="0.25">
      <c r="A124" s="15">
        <v>17900</v>
      </c>
      <c r="B124" s="7">
        <v>1003812248</v>
      </c>
      <c r="C124" s="11">
        <v>45804.419837963003</v>
      </c>
      <c r="D124" s="17" t="s">
        <v>783</v>
      </c>
      <c r="E124" t="str">
        <f>IF(COUNTIF($B$2:B124,B124)&gt;1,"Duplicado","Único")</f>
        <v>Duplicado</v>
      </c>
    </row>
    <row r="125" spans="1:5" hidden="1" x14ac:dyDescent="0.25">
      <c r="A125" s="15">
        <v>17900</v>
      </c>
      <c r="B125" s="7">
        <v>1003812248</v>
      </c>
      <c r="C125" s="11">
        <v>45797.729120370401</v>
      </c>
      <c r="D125" s="17" t="s">
        <v>733</v>
      </c>
      <c r="E125" t="str">
        <f>IF(COUNTIF($B$2:B125,B125)&gt;1,"Duplicado","Único")</f>
        <v>Duplicado</v>
      </c>
    </row>
    <row r="126" spans="1:5" x14ac:dyDescent="0.25">
      <c r="A126" s="15">
        <v>18001</v>
      </c>
      <c r="B126" s="7">
        <v>1003951678</v>
      </c>
      <c r="C126" s="11">
        <v>45804.686388888898</v>
      </c>
      <c r="D126" s="17" t="s">
        <v>785</v>
      </c>
      <c r="E126" t="str">
        <f>IF(COUNTIF($B$2:B126,B126)&gt;1,"Duplicado","Único")</f>
        <v>Único</v>
      </c>
    </row>
    <row r="127" spans="1:5" hidden="1" x14ac:dyDescent="0.25">
      <c r="A127" s="15">
        <v>18001</v>
      </c>
      <c r="B127" s="7">
        <v>1003951678</v>
      </c>
      <c r="C127" s="11">
        <v>45798.400023148097</v>
      </c>
      <c r="D127" s="17" t="s">
        <v>741</v>
      </c>
      <c r="E127" t="str">
        <f>IF(COUNTIF($B$2:B127,B127)&gt;1,"Duplicado","Único")</f>
        <v>Duplicado</v>
      </c>
    </row>
    <row r="128" spans="1:5" x14ac:dyDescent="0.25">
      <c r="A128" s="15">
        <v>24232</v>
      </c>
      <c r="B128" s="7">
        <v>1003971110</v>
      </c>
      <c r="C128" s="11">
        <v>45852.551585648202</v>
      </c>
      <c r="D128" s="17" t="s">
        <v>1072</v>
      </c>
      <c r="E128" t="str">
        <f>IF(COUNTIF($B$2:B128,B128)&gt;1,"Duplicado","Único")</f>
        <v>Único</v>
      </c>
    </row>
    <row r="129" spans="1:5" x14ac:dyDescent="0.25">
      <c r="A129" s="15">
        <v>29525</v>
      </c>
      <c r="B129" s="7">
        <v>1004136783</v>
      </c>
      <c r="C129" s="11">
        <v>45908.398148148102</v>
      </c>
      <c r="D129" s="17" t="s">
        <v>1597</v>
      </c>
      <c r="E129" t="str">
        <f>IF(COUNTIF($B$2:B129,B129)&gt;1,"Duplicado","Único")</f>
        <v>Único</v>
      </c>
    </row>
    <row r="130" spans="1:5" hidden="1" x14ac:dyDescent="0.25">
      <c r="A130" s="15">
        <v>29525</v>
      </c>
      <c r="B130" s="7">
        <v>1004136783</v>
      </c>
      <c r="C130" s="11">
        <v>45894.648206018501</v>
      </c>
      <c r="D130" s="17" t="s">
        <v>1415</v>
      </c>
      <c r="E130" t="str">
        <f>IF(COUNTIF($B$2:B130,B130)&gt;1,"Duplicado","Único")</f>
        <v>Duplicado</v>
      </c>
    </row>
    <row r="131" spans="1:5" x14ac:dyDescent="0.25">
      <c r="A131" s="15">
        <v>41609</v>
      </c>
      <c r="B131" s="7">
        <v>1004162564</v>
      </c>
      <c r="C131" s="11">
        <v>45938.443206018499</v>
      </c>
      <c r="D131" s="17" t="s">
        <v>1992</v>
      </c>
      <c r="E131" t="str">
        <f>IF(COUNTIF($B$2:B131,B131)&gt;1,"Duplicado","Único")</f>
        <v>Único</v>
      </c>
    </row>
    <row r="132" spans="1:5" x14ac:dyDescent="0.25">
      <c r="A132" s="15">
        <v>42254</v>
      </c>
      <c r="B132" s="7">
        <v>1004190057</v>
      </c>
      <c r="C132" s="11">
        <v>45951.601956018501</v>
      </c>
      <c r="D132" s="17" t="s">
        <v>2016</v>
      </c>
      <c r="E132" t="str">
        <f>IF(COUNTIF($B$2:B132,B132)&gt;1,"Duplicado","Único")</f>
        <v>Único</v>
      </c>
    </row>
    <row r="133" spans="1:5" x14ac:dyDescent="0.25">
      <c r="A133" s="15">
        <v>45042</v>
      </c>
      <c r="B133" s="7">
        <v>1004214618</v>
      </c>
      <c r="C133" s="11">
        <v>45958.689351851899</v>
      </c>
      <c r="D133" s="17" t="s">
        <v>2186</v>
      </c>
      <c r="E133" t="str">
        <f>IF(COUNTIF($B$2:B133,B133)&gt;1,"Duplicado","Único")</f>
        <v>Único</v>
      </c>
    </row>
    <row r="134" spans="1:5" x14ac:dyDescent="0.25">
      <c r="A134" s="15">
        <v>35656</v>
      </c>
      <c r="B134" s="7">
        <v>1004232073</v>
      </c>
      <c r="C134" s="11">
        <v>45917.4530787037</v>
      </c>
      <c r="D134" s="17" t="s">
        <v>1735</v>
      </c>
      <c r="E134" t="str">
        <f>IF(COUNTIF($B$2:B134,B134)&gt;1,"Duplicado","Único")</f>
        <v>Único</v>
      </c>
    </row>
    <row r="135" spans="1:5" x14ac:dyDescent="0.25">
      <c r="A135" s="15">
        <v>27509</v>
      </c>
      <c r="B135" s="7">
        <v>1004251549</v>
      </c>
      <c r="C135" s="11">
        <v>45874.655613425901</v>
      </c>
      <c r="D135" s="17" t="s">
        <v>1273</v>
      </c>
      <c r="E135" t="str">
        <f>IF(COUNTIF($B$2:B135,B135)&gt;1,"Duplicado","Único")</f>
        <v>Único</v>
      </c>
    </row>
    <row r="136" spans="1:5" x14ac:dyDescent="0.25">
      <c r="A136" s="15">
        <v>48413</v>
      </c>
      <c r="B136" s="7">
        <v>1004275307</v>
      </c>
      <c r="C136" s="11">
        <v>45975.687395833302</v>
      </c>
      <c r="D136" s="17" t="s">
        <v>2536</v>
      </c>
      <c r="E136" t="str">
        <f>IF(COUNTIF($B$2:B136,B136)&gt;1,"Duplicado","Único")</f>
        <v>Único</v>
      </c>
    </row>
    <row r="137" spans="1:5" x14ac:dyDescent="0.25">
      <c r="A137" s="15">
        <v>49231</v>
      </c>
      <c r="B137" s="7">
        <v>1004307876</v>
      </c>
      <c r="C137" s="11">
        <v>45981.400601851798</v>
      </c>
      <c r="D137" s="17" t="s">
        <v>2633</v>
      </c>
      <c r="E137" t="str">
        <f>IF(COUNTIF($B$2:B137,B137)&gt;1,"Duplicado","Único")</f>
        <v>Único</v>
      </c>
    </row>
    <row r="138" spans="1:5" x14ac:dyDescent="0.25">
      <c r="A138" s="15">
        <v>14225</v>
      </c>
      <c r="B138" s="7">
        <v>1004345578</v>
      </c>
      <c r="C138" s="11">
        <v>46120.4706365741</v>
      </c>
      <c r="D138" s="17" t="s">
        <v>4263</v>
      </c>
      <c r="E138" t="str">
        <f>IF(COUNTIF($B$2:B138,B138)&gt;1,"Duplicado","Único")</f>
        <v>Único</v>
      </c>
    </row>
    <row r="139" spans="1:5" hidden="1" x14ac:dyDescent="0.25">
      <c r="A139" s="15">
        <v>14225</v>
      </c>
      <c r="B139" s="7">
        <v>1004345578</v>
      </c>
      <c r="C139" s="11">
        <v>46090.600613425901</v>
      </c>
      <c r="D139" s="17" t="s">
        <v>4010</v>
      </c>
      <c r="E139" t="str">
        <f>IF(COUNTIF($B$2:B139,B139)&gt;1,"Duplicado","Único")</f>
        <v>Duplicado</v>
      </c>
    </row>
    <row r="140" spans="1:5" x14ac:dyDescent="0.25">
      <c r="A140" s="15">
        <v>15873</v>
      </c>
      <c r="B140" s="7">
        <v>1004346158</v>
      </c>
      <c r="C140" s="11">
        <v>46121.444490740701</v>
      </c>
      <c r="D140" s="17" t="s">
        <v>4381</v>
      </c>
      <c r="E140" t="str">
        <f>IF(COUNTIF($B$2:B140,B140)&gt;1,"Duplicado","Único")</f>
        <v>Único</v>
      </c>
    </row>
    <row r="141" spans="1:5" hidden="1" x14ac:dyDescent="0.25">
      <c r="A141" s="15">
        <v>15873</v>
      </c>
      <c r="B141" s="7">
        <v>1004346158</v>
      </c>
      <c r="C141" s="11">
        <v>46101.689062500001</v>
      </c>
      <c r="D141" s="17" t="s">
        <v>4118</v>
      </c>
      <c r="E141" t="str">
        <f>IF(COUNTIF($B$2:B141,B141)&gt;1,"Duplicado","Único")</f>
        <v>Duplicado</v>
      </c>
    </row>
    <row r="142" spans="1:5" x14ac:dyDescent="0.25">
      <c r="A142" s="15">
        <v>18788</v>
      </c>
      <c r="B142" s="7">
        <v>1004370592</v>
      </c>
      <c r="C142" s="11">
        <v>45805.495254629597</v>
      </c>
      <c r="D142" s="17" t="s">
        <v>790</v>
      </c>
      <c r="E142" t="str">
        <f>IF(COUNTIF($B$2:B142,B142)&gt;1,"Duplicado","Único")</f>
        <v>Único</v>
      </c>
    </row>
    <row r="143" spans="1:5" x14ac:dyDescent="0.25">
      <c r="A143" s="15">
        <v>48034</v>
      </c>
      <c r="B143" s="7">
        <v>1004370651</v>
      </c>
      <c r="C143" s="11">
        <v>45974.383773148104</v>
      </c>
      <c r="D143" s="17" t="s">
        <v>2491</v>
      </c>
      <c r="E143" t="str">
        <f>IF(COUNTIF($B$2:B143,B143)&gt;1,"Duplicado","Único")</f>
        <v>Único</v>
      </c>
    </row>
    <row r="144" spans="1:5" x14ac:dyDescent="0.25">
      <c r="A144" s="15">
        <v>20954</v>
      </c>
      <c r="B144" s="7">
        <v>1004374709</v>
      </c>
      <c r="C144" s="11">
        <v>45821.724386574097</v>
      </c>
      <c r="D144" s="17" t="s">
        <v>915</v>
      </c>
      <c r="E144" t="str">
        <f>IF(COUNTIF($B$2:B144,B144)&gt;1,"Duplicado","Único")</f>
        <v>Único</v>
      </c>
    </row>
    <row r="145" spans="1:5" x14ac:dyDescent="0.25">
      <c r="A145" s="15">
        <v>36677</v>
      </c>
      <c r="B145" s="7">
        <v>1004410503</v>
      </c>
      <c r="C145" s="11">
        <v>45919.386238425897</v>
      </c>
      <c r="D145" s="17" t="s">
        <v>1758</v>
      </c>
      <c r="E145" t="str">
        <f>IF(COUNTIF($B$2:B145,B145)&gt;1,"Duplicado","Único")</f>
        <v>Único</v>
      </c>
    </row>
    <row r="146" spans="1:5" x14ac:dyDescent="0.25">
      <c r="A146" s="15">
        <v>19695</v>
      </c>
      <c r="B146" s="7">
        <v>1004463797</v>
      </c>
      <c r="C146" s="11">
        <v>45814.3207175926</v>
      </c>
      <c r="D146" s="17" t="s">
        <v>840</v>
      </c>
      <c r="E146" t="str">
        <f>IF(COUNTIF($B$2:B146,B146)&gt;1,"Duplicado","Único")</f>
        <v>Único</v>
      </c>
    </row>
    <row r="147" spans="1:5" x14ac:dyDescent="0.25">
      <c r="A147" s="15">
        <v>25179</v>
      </c>
      <c r="B147" s="7">
        <v>1004612336</v>
      </c>
      <c r="C147" s="11">
        <v>45860.405381944402</v>
      </c>
      <c r="D147" s="17" t="s">
        <v>1114</v>
      </c>
      <c r="E147" t="str">
        <f>IF(COUNTIF($B$2:B147,B147)&gt;1,"Duplicado","Único")</f>
        <v>Único</v>
      </c>
    </row>
    <row r="148" spans="1:5" x14ac:dyDescent="0.25">
      <c r="A148" s="15">
        <v>48263</v>
      </c>
      <c r="B148" s="7">
        <v>1004627480</v>
      </c>
      <c r="C148" s="11">
        <v>45979.359722222202</v>
      </c>
      <c r="D148" s="17" t="s">
        <v>2540</v>
      </c>
      <c r="E148" t="str">
        <f>IF(COUNTIF($B$2:B148,B148)&gt;1,"Duplicado","Único")</f>
        <v>Único</v>
      </c>
    </row>
    <row r="149" spans="1:5" hidden="1" x14ac:dyDescent="0.25">
      <c r="A149" s="15">
        <v>31083</v>
      </c>
      <c r="B149" s="7">
        <v>1004627480</v>
      </c>
      <c r="C149" s="11">
        <v>45903.662303240701</v>
      </c>
      <c r="D149" s="17" t="s">
        <v>1504</v>
      </c>
      <c r="E149" t="str">
        <f>IF(COUNTIF($B$2:B149,B149)&gt;1,"Duplicado","Único")</f>
        <v>Duplicado</v>
      </c>
    </row>
    <row r="150" spans="1:5" x14ac:dyDescent="0.25">
      <c r="A150" s="15">
        <v>29217</v>
      </c>
      <c r="B150" s="7">
        <v>1004737553</v>
      </c>
      <c r="C150" s="11">
        <v>45891.698541666701</v>
      </c>
      <c r="D150" s="17" t="s">
        <v>1397</v>
      </c>
      <c r="E150" t="str">
        <f>IF(COUNTIF($B$2:B150,B150)&gt;1,"Duplicado","Único")</f>
        <v>Único</v>
      </c>
    </row>
    <row r="151" spans="1:5" x14ac:dyDescent="0.25">
      <c r="A151" s="15">
        <v>29730</v>
      </c>
      <c r="B151" s="7">
        <v>1004798655</v>
      </c>
      <c r="C151" s="11">
        <v>45895.398622685199</v>
      </c>
      <c r="D151" s="17" t="s">
        <v>1427</v>
      </c>
      <c r="E151" t="str">
        <f>IF(COUNTIF($B$2:B151,B151)&gt;1,"Duplicado","Único")</f>
        <v>Único</v>
      </c>
    </row>
    <row r="152" spans="1:5" x14ac:dyDescent="0.25">
      <c r="A152" s="15">
        <v>42350</v>
      </c>
      <c r="B152" s="7">
        <v>1004799475</v>
      </c>
      <c r="C152" s="11">
        <v>45951.609988425902</v>
      </c>
      <c r="D152" s="17" t="s">
        <v>2024</v>
      </c>
      <c r="E152" t="str">
        <f>IF(COUNTIF($B$2:B152,B152)&gt;1,"Duplicado","Único")</f>
        <v>Único</v>
      </c>
    </row>
    <row r="153" spans="1:5" x14ac:dyDescent="0.25">
      <c r="A153" s="15">
        <v>29686</v>
      </c>
      <c r="B153" s="7">
        <v>1004802589</v>
      </c>
      <c r="C153" s="11">
        <v>45894.722916666702</v>
      </c>
      <c r="D153" s="17" t="s">
        <v>1422</v>
      </c>
      <c r="E153" t="str">
        <f>IF(COUNTIF($B$2:B153,B153)&gt;1,"Duplicado","Único")</f>
        <v>Único</v>
      </c>
    </row>
    <row r="154" spans="1:5" x14ac:dyDescent="0.25">
      <c r="A154" s="15">
        <v>33367</v>
      </c>
      <c r="B154" s="7">
        <v>1004918402</v>
      </c>
      <c r="C154" s="11">
        <v>45915.386921296304</v>
      </c>
      <c r="D154" s="17" t="s">
        <v>1696</v>
      </c>
      <c r="E154" t="str">
        <f>IF(COUNTIF($B$2:B154,B154)&gt;1,"Duplicado","Único")</f>
        <v>Único</v>
      </c>
    </row>
    <row r="155" spans="1:5" x14ac:dyDescent="0.25">
      <c r="A155" s="15">
        <v>26391</v>
      </c>
      <c r="B155" s="7">
        <v>1004925309</v>
      </c>
      <c r="C155" s="11">
        <v>45867.439328703702</v>
      </c>
      <c r="D155" s="17" t="s">
        <v>1199</v>
      </c>
      <c r="E155" t="str">
        <f>IF(COUNTIF($B$2:B155,B155)&gt;1,"Duplicado","Único")</f>
        <v>Único</v>
      </c>
    </row>
    <row r="156" spans="1:5" x14ac:dyDescent="0.25">
      <c r="A156" s="15">
        <v>53883</v>
      </c>
      <c r="B156" s="7">
        <v>1005025420</v>
      </c>
      <c r="C156" s="11">
        <v>46057.4124421296</v>
      </c>
      <c r="D156" s="17" t="s">
        <v>3692</v>
      </c>
      <c r="E156" t="str">
        <f>IF(COUNTIF($B$2:B156,B156)&gt;1,"Duplicado","Único")</f>
        <v>Único</v>
      </c>
    </row>
    <row r="157" spans="1:5" hidden="1" x14ac:dyDescent="0.25">
      <c r="A157" s="15">
        <v>53883</v>
      </c>
      <c r="B157" s="7">
        <v>1005025420</v>
      </c>
      <c r="C157" s="11">
        <v>46013.6436805556</v>
      </c>
      <c r="D157" s="17" t="s">
        <v>3057</v>
      </c>
      <c r="E157" t="str">
        <f>IF(COUNTIF($B$2:B157,B157)&gt;1,"Duplicado","Único")</f>
        <v>Duplicado</v>
      </c>
    </row>
    <row r="158" spans="1:5" x14ac:dyDescent="0.25">
      <c r="A158" s="15">
        <v>53812</v>
      </c>
      <c r="B158" s="7">
        <v>1005136695</v>
      </c>
      <c r="C158" s="11">
        <v>46057.417245370401</v>
      </c>
      <c r="D158" s="17" t="s">
        <v>3693</v>
      </c>
      <c r="E158" t="str">
        <f>IF(COUNTIF($B$2:B158,B158)&gt;1,"Duplicado","Único")</f>
        <v>Único</v>
      </c>
    </row>
    <row r="159" spans="1:5" hidden="1" x14ac:dyDescent="0.25">
      <c r="A159" s="15">
        <v>53812</v>
      </c>
      <c r="B159" s="7">
        <v>1005136695</v>
      </c>
      <c r="C159" s="11">
        <v>46013.609652777799</v>
      </c>
      <c r="D159" s="17" t="s">
        <v>3043</v>
      </c>
      <c r="E159" t="str">
        <f>IF(COUNTIF($B$2:B159,B159)&gt;1,"Duplicado","Único")</f>
        <v>Duplicado</v>
      </c>
    </row>
    <row r="160" spans="1:5" x14ac:dyDescent="0.25">
      <c r="A160" s="15">
        <v>45043</v>
      </c>
      <c r="B160" s="7">
        <v>1005156024</v>
      </c>
      <c r="C160" s="11">
        <v>45958.690405092602</v>
      </c>
      <c r="D160" s="17" t="s">
        <v>2187</v>
      </c>
      <c r="E160" t="str">
        <f>IF(COUNTIF($B$2:B160,B160)&gt;1,"Duplicado","Único")</f>
        <v>Único</v>
      </c>
    </row>
    <row r="161" spans="1:5" x14ac:dyDescent="0.25">
      <c r="A161" s="15">
        <v>54484</v>
      </c>
      <c r="B161" s="7">
        <v>1005181346</v>
      </c>
      <c r="C161" s="11">
        <v>46057.453831018502</v>
      </c>
      <c r="D161" s="17" t="s">
        <v>3725</v>
      </c>
      <c r="E161" t="str">
        <f>IF(COUNTIF($B$2:B161,B161)&gt;1,"Duplicado","Único")</f>
        <v>Único</v>
      </c>
    </row>
    <row r="162" spans="1:5" hidden="1" x14ac:dyDescent="0.25">
      <c r="A162" s="15">
        <v>54484</v>
      </c>
      <c r="B162" s="7">
        <v>1005181346</v>
      </c>
      <c r="C162" s="11">
        <v>46017.635775463001</v>
      </c>
      <c r="D162" s="17" t="s">
        <v>3092</v>
      </c>
      <c r="E162" t="str">
        <f>IF(COUNTIF($B$2:B162,B162)&gt;1,"Duplicado","Único")</f>
        <v>Duplicado</v>
      </c>
    </row>
    <row r="163" spans="1:5" x14ac:dyDescent="0.25">
      <c r="A163" s="15">
        <v>50077</v>
      </c>
      <c r="B163" s="7">
        <v>1005196260</v>
      </c>
      <c r="C163" s="11">
        <v>46050.597152777802</v>
      </c>
      <c r="D163" s="17" t="s">
        <v>3294</v>
      </c>
      <c r="E163" t="str">
        <f>IF(COUNTIF($B$2:B163,B163)&gt;1,"Duplicado","Único")</f>
        <v>Único</v>
      </c>
    </row>
    <row r="164" spans="1:5" hidden="1" x14ac:dyDescent="0.25">
      <c r="A164" s="15">
        <v>50077</v>
      </c>
      <c r="B164" s="7">
        <v>1005196260</v>
      </c>
      <c r="C164" s="11">
        <v>45987.3897685185</v>
      </c>
      <c r="D164" s="17" t="s">
        <v>2720</v>
      </c>
      <c r="E164" t="str">
        <f>IF(COUNTIF($B$2:B164,B164)&gt;1,"Duplicado","Único")</f>
        <v>Duplicado</v>
      </c>
    </row>
    <row r="165" spans="1:5" x14ac:dyDescent="0.25">
      <c r="A165" s="15">
        <v>24978</v>
      </c>
      <c r="B165" s="7">
        <v>1005239906</v>
      </c>
      <c r="C165" s="11">
        <v>45860.342418981498</v>
      </c>
      <c r="D165" s="17" t="s">
        <v>1106</v>
      </c>
      <c r="E165" t="str">
        <f>IF(COUNTIF($B$2:B165,B165)&gt;1,"Duplicado","Único")</f>
        <v>Único</v>
      </c>
    </row>
    <row r="166" spans="1:5" x14ac:dyDescent="0.25">
      <c r="A166" s="15">
        <v>23517</v>
      </c>
      <c r="B166" s="7">
        <v>1005258636</v>
      </c>
      <c r="C166" s="11">
        <v>45842.474965277797</v>
      </c>
      <c r="D166" s="17" t="s">
        <v>1049</v>
      </c>
      <c r="E166" t="str">
        <f>IF(COUNTIF($B$2:B166,B166)&gt;1,"Duplicado","Único")</f>
        <v>Único</v>
      </c>
    </row>
    <row r="167" spans="1:5" x14ac:dyDescent="0.25">
      <c r="A167" s="15">
        <v>31230</v>
      </c>
      <c r="B167" s="7">
        <v>1005297957</v>
      </c>
      <c r="C167" s="11">
        <v>45904.510428240697</v>
      </c>
      <c r="D167" s="17" t="s">
        <v>1518</v>
      </c>
      <c r="E167" t="str">
        <f>IF(COUNTIF($B$2:B167,B167)&gt;1,"Duplicado","Único")</f>
        <v>Único</v>
      </c>
    </row>
    <row r="168" spans="1:5" x14ac:dyDescent="0.25">
      <c r="A168" s="15">
        <v>44518</v>
      </c>
      <c r="B168" s="7">
        <v>1005323810</v>
      </c>
      <c r="C168" s="11">
        <v>45958.5162962963</v>
      </c>
      <c r="D168" s="17" t="s">
        <v>2140</v>
      </c>
      <c r="E168" t="str">
        <f>IF(COUNTIF($B$2:B168,B168)&gt;1,"Duplicado","Único")</f>
        <v>Único</v>
      </c>
    </row>
    <row r="169" spans="1:5" x14ac:dyDescent="0.25">
      <c r="A169" s="15">
        <v>25986</v>
      </c>
      <c r="B169" s="7">
        <v>1005539407</v>
      </c>
      <c r="C169" s="11">
        <v>45866.637627314798</v>
      </c>
      <c r="D169" s="17" t="s">
        <v>1163</v>
      </c>
      <c r="E169" t="str">
        <f>IF(COUNTIF($B$2:B169,B169)&gt;1,"Duplicado","Único")</f>
        <v>Único</v>
      </c>
    </row>
    <row r="170" spans="1:5" x14ac:dyDescent="0.25">
      <c r="A170" s="15">
        <v>14890</v>
      </c>
      <c r="B170" s="7">
        <v>1005565168</v>
      </c>
      <c r="C170" s="11">
        <v>46120.627152777801</v>
      </c>
      <c r="D170" s="17" t="s">
        <v>4308</v>
      </c>
      <c r="E170" t="str">
        <f>IF(COUNTIF($B$2:B170,B170)&gt;1,"Duplicado","Único")</f>
        <v>Único</v>
      </c>
    </row>
    <row r="171" spans="1:5" hidden="1" x14ac:dyDescent="0.25">
      <c r="A171" s="15">
        <v>14890</v>
      </c>
      <c r="B171" s="7">
        <v>1005565168</v>
      </c>
      <c r="C171" s="11">
        <v>46094.489039351902</v>
      </c>
      <c r="D171" s="17" t="s">
        <v>4047</v>
      </c>
      <c r="E171" t="str">
        <f>IF(COUNTIF($B$2:B171,B171)&gt;1,"Duplicado","Único")</f>
        <v>Duplicado</v>
      </c>
    </row>
    <row r="172" spans="1:5" x14ac:dyDescent="0.25">
      <c r="A172" s="15">
        <v>49613</v>
      </c>
      <c r="B172" s="7">
        <v>1005627927</v>
      </c>
      <c r="C172" s="11">
        <v>46050.432824074102</v>
      </c>
      <c r="D172" s="17" t="s">
        <v>3236</v>
      </c>
      <c r="E172" t="str">
        <f>IF(COUNTIF($B$2:B172,B172)&gt;1,"Duplicado","Único")</f>
        <v>Único</v>
      </c>
    </row>
    <row r="173" spans="1:5" hidden="1" x14ac:dyDescent="0.25">
      <c r="A173" s="15">
        <v>49613</v>
      </c>
      <c r="B173" s="7">
        <v>1005627927</v>
      </c>
      <c r="C173" s="11">
        <v>45985.377395833297</v>
      </c>
      <c r="D173" s="17" t="s">
        <v>2678</v>
      </c>
      <c r="E173" t="str">
        <f>IF(COUNTIF($B$2:B173,B173)&gt;1,"Duplicado","Único")</f>
        <v>Duplicado</v>
      </c>
    </row>
    <row r="174" spans="1:5" x14ac:dyDescent="0.25">
      <c r="A174" s="15">
        <v>18295</v>
      </c>
      <c r="B174" s="7">
        <v>1005646617</v>
      </c>
      <c r="C174" s="11">
        <v>46149.414004629602</v>
      </c>
      <c r="D174" s="17" t="s">
        <v>4444</v>
      </c>
      <c r="E174" t="str">
        <f>IF(COUNTIF($B$2:B174,B174)&gt;1,"Duplicado","Único")</f>
        <v>Único</v>
      </c>
    </row>
    <row r="175" spans="1:5" hidden="1" x14ac:dyDescent="0.25">
      <c r="A175" s="15">
        <v>18295</v>
      </c>
      <c r="B175" s="7">
        <v>1005646617</v>
      </c>
      <c r="C175" s="11">
        <v>46118.462164351899</v>
      </c>
      <c r="D175" s="17" t="s">
        <v>4250</v>
      </c>
      <c r="E175" t="str">
        <f>IF(COUNTIF($B$2:B175,B175)&gt;1,"Duplicado","Único")</f>
        <v>Duplicado</v>
      </c>
    </row>
    <row r="176" spans="1:5" x14ac:dyDescent="0.25">
      <c r="A176" s="15">
        <v>31126</v>
      </c>
      <c r="B176" s="7">
        <v>1005649143</v>
      </c>
      <c r="C176" s="11">
        <v>45903.682962963001</v>
      </c>
      <c r="D176" s="17" t="s">
        <v>1511</v>
      </c>
      <c r="E176" t="str">
        <f>IF(COUNTIF($B$2:B176,B176)&gt;1,"Duplicado","Único")</f>
        <v>Único</v>
      </c>
    </row>
    <row r="177" spans="1:5" x14ac:dyDescent="0.25">
      <c r="A177" s="15">
        <v>15707</v>
      </c>
      <c r="B177" s="7">
        <v>1005662415</v>
      </c>
      <c r="C177" s="11">
        <v>46121.445196759298</v>
      </c>
      <c r="D177" s="17" t="s">
        <v>4382</v>
      </c>
      <c r="E177" t="str">
        <f>IF(COUNTIF($B$2:B177,B177)&gt;1,"Duplicado","Único")</f>
        <v>Único</v>
      </c>
    </row>
    <row r="178" spans="1:5" hidden="1" x14ac:dyDescent="0.25">
      <c r="A178" s="15">
        <v>15707</v>
      </c>
      <c r="B178" s="7">
        <v>1005662415</v>
      </c>
      <c r="C178" s="11">
        <v>46101.6774421296</v>
      </c>
      <c r="D178" s="17" t="s">
        <v>4110</v>
      </c>
      <c r="E178" t="str">
        <f>IF(COUNTIF($B$2:B178,B178)&gt;1,"Duplicado","Único")</f>
        <v>Duplicado</v>
      </c>
    </row>
    <row r="179" spans="1:5" x14ac:dyDescent="0.25">
      <c r="A179" s="15">
        <v>46742</v>
      </c>
      <c r="B179" s="7">
        <v>1005754200</v>
      </c>
      <c r="C179" s="11">
        <v>46050.645208333299</v>
      </c>
      <c r="D179" s="17" t="s">
        <v>3355</v>
      </c>
      <c r="E179" t="str">
        <f>IF(COUNTIF($B$2:B179,B179)&gt;1,"Duplicado","Único")</f>
        <v>Único</v>
      </c>
    </row>
    <row r="180" spans="1:5" hidden="1" x14ac:dyDescent="0.25">
      <c r="A180" s="15">
        <v>46742</v>
      </c>
      <c r="B180" s="7">
        <v>1005754200</v>
      </c>
      <c r="C180" s="11">
        <v>45989.605347222197</v>
      </c>
      <c r="D180" s="17" t="s">
        <v>2797</v>
      </c>
      <c r="E180" t="str">
        <f>IF(COUNTIF($B$2:B180,B180)&gt;1,"Duplicado","Único")</f>
        <v>Duplicado</v>
      </c>
    </row>
    <row r="181" spans="1:5" hidden="1" x14ac:dyDescent="0.25">
      <c r="A181" s="15">
        <v>46742</v>
      </c>
      <c r="B181" s="7">
        <v>1005754200</v>
      </c>
      <c r="C181" s="11">
        <v>45967.700254629599</v>
      </c>
      <c r="D181" s="17" t="s">
        <v>2360</v>
      </c>
      <c r="E181" t="str">
        <f>IF(COUNTIF($B$2:B181,B181)&gt;1,"Duplicado","Único")</f>
        <v>Duplicado</v>
      </c>
    </row>
    <row r="182" spans="1:5" x14ac:dyDescent="0.25">
      <c r="A182" s="15">
        <v>36833</v>
      </c>
      <c r="B182" s="7">
        <v>1005777441</v>
      </c>
      <c r="C182" s="11">
        <v>45922.369050925903</v>
      </c>
      <c r="D182" s="17" t="s">
        <v>1771</v>
      </c>
      <c r="E182" t="str">
        <f>IF(COUNTIF($B$2:B182,B182)&gt;1,"Duplicado","Único")</f>
        <v>Único</v>
      </c>
    </row>
    <row r="183" spans="1:5" x14ac:dyDescent="0.25">
      <c r="A183" s="15">
        <v>29196</v>
      </c>
      <c r="B183" s="7">
        <v>1005851477</v>
      </c>
      <c r="C183" s="11">
        <v>45891.682291666701</v>
      </c>
      <c r="D183" s="17" t="s">
        <v>1396</v>
      </c>
      <c r="E183" t="str">
        <f>IF(COUNTIF($B$2:B183,B183)&gt;1,"Duplicado","Único")</f>
        <v>Único</v>
      </c>
    </row>
    <row r="184" spans="1:5" x14ac:dyDescent="0.25">
      <c r="A184" s="15">
        <v>32129</v>
      </c>
      <c r="B184" s="7">
        <v>1005910842</v>
      </c>
      <c r="C184" s="11">
        <v>45908.386388888903</v>
      </c>
      <c r="D184" s="17" t="s">
        <v>1595</v>
      </c>
      <c r="E184" t="str">
        <f>IF(COUNTIF($B$2:B184,B184)&gt;1,"Duplicado","Único")</f>
        <v>Único</v>
      </c>
    </row>
    <row r="185" spans="1:5" x14ac:dyDescent="0.25">
      <c r="A185" s="15">
        <v>54477</v>
      </c>
      <c r="B185" s="7">
        <v>1005929803</v>
      </c>
      <c r="C185" s="11">
        <v>46057.454537037003</v>
      </c>
      <c r="D185" s="17" t="s">
        <v>3726</v>
      </c>
      <c r="E185" t="str">
        <f>IF(COUNTIF($B$2:B185,B185)&gt;1,"Duplicado","Único")</f>
        <v>Único</v>
      </c>
    </row>
    <row r="186" spans="1:5" hidden="1" x14ac:dyDescent="0.25">
      <c r="A186" s="15">
        <v>54477</v>
      </c>
      <c r="B186" s="7">
        <v>1005929803</v>
      </c>
      <c r="C186" s="11">
        <v>46017.6350578704</v>
      </c>
      <c r="D186" s="17" t="s">
        <v>3091</v>
      </c>
      <c r="E186" t="str">
        <f>IF(COUNTIF($B$2:B186,B186)&gt;1,"Duplicado","Único")</f>
        <v>Duplicado</v>
      </c>
    </row>
    <row r="187" spans="1:5" x14ac:dyDescent="0.25">
      <c r="A187" s="15">
        <v>17710</v>
      </c>
      <c r="B187" s="7">
        <v>1006021070</v>
      </c>
      <c r="C187" s="11">
        <v>45797.645474536999</v>
      </c>
      <c r="D187" s="17" t="s">
        <v>722</v>
      </c>
      <c r="E187" t="str">
        <f>IF(COUNTIF($B$2:B187,B187)&gt;1,"Duplicado","Único")</f>
        <v>Único</v>
      </c>
    </row>
    <row r="188" spans="1:5" x14ac:dyDescent="0.25">
      <c r="A188" s="15">
        <v>50153</v>
      </c>
      <c r="B188" s="7">
        <v>1006089350</v>
      </c>
      <c r="C188" s="11">
        <v>46050.599907407399</v>
      </c>
      <c r="D188" s="17" t="s">
        <v>3295</v>
      </c>
      <c r="E188" t="str">
        <f>IF(COUNTIF($B$2:B188,B188)&gt;1,"Duplicado","Único")</f>
        <v>Único</v>
      </c>
    </row>
    <row r="189" spans="1:5" hidden="1" x14ac:dyDescent="0.25">
      <c r="A189" s="15">
        <v>50153</v>
      </c>
      <c r="B189" s="7">
        <v>1006089350</v>
      </c>
      <c r="C189" s="11">
        <v>45987.433784722198</v>
      </c>
      <c r="D189" s="17" t="s">
        <v>2730</v>
      </c>
      <c r="E189" t="str">
        <f>IF(COUNTIF($B$2:B189,B189)&gt;1,"Duplicado","Único")</f>
        <v>Duplicado</v>
      </c>
    </row>
    <row r="190" spans="1:5" x14ac:dyDescent="0.25">
      <c r="A190" s="15">
        <v>25904</v>
      </c>
      <c r="B190" s="7">
        <v>1006109005</v>
      </c>
      <c r="C190" s="11">
        <v>45866.618900463</v>
      </c>
      <c r="D190" s="17" t="s">
        <v>1153</v>
      </c>
      <c r="E190" t="str">
        <f>IF(COUNTIF($B$2:B190,B190)&gt;1,"Duplicado","Único")</f>
        <v>Único</v>
      </c>
    </row>
    <row r="191" spans="1:5" x14ac:dyDescent="0.25">
      <c r="A191" s="15">
        <v>27179</v>
      </c>
      <c r="B191" s="7">
        <v>1006170198</v>
      </c>
      <c r="C191" s="11">
        <v>45874.463761574101</v>
      </c>
      <c r="D191" s="17" t="s">
        <v>1252</v>
      </c>
      <c r="E191" t="str">
        <f>IF(COUNTIF($B$2:B191,B191)&gt;1,"Duplicado","Único")</f>
        <v>Único</v>
      </c>
    </row>
    <row r="192" spans="1:5" x14ac:dyDescent="0.25">
      <c r="A192" s="15">
        <v>22416</v>
      </c>
      <c r="B192" s="7">
        <v>1006194170</v>
      </c>
      <c r="C192" s="11">
        <v>45841.519837963002</v>
      </c>
      <c r="D192" s="17" t="s">
        <v>1009</v>
      </c>
      <c r="E192" t="str">
        <f>IF(COUNTIF($B$2:B192,B192)&gt;1,"Duplicado","Único")</f>
        <v>Único</v>
      </c>
    </row>
    <row r="193" spans="1:5" x14ac:dyDescent="0.25">
      <c r="A193" s="15">
        <v>49813</v>
      </c>
      <c r="B193" s="7">
        <v>1006490764</v>
      </c>
      <c r="C193" s="11">
        <v>46050.433819444399</v>
      </c>
      <c r="D193" s="17" t="s">
        <v>3237</v>
      </c>
      <c r="E193" t="str">
        <f>IF(COUNTIF($B$2:B193,B193)&gt;1,"Duplicado","Único")</f>
        <v>Único</v>
      </c>
    </row>
    <row r="194" spans="1:5" hidden="1" x14ac:dyDescent="0.25">
      <c r="A194" s="15">
        <v>49813</v>
      </c>
      <c r="B194" s="7">
        <v>1006490764</v>
      </c>
      <c r="C194" s="11">
        <v>45985.6269328704</v>
      </c>
      <c r="D194" s="17" t="s">
        <v>2697</v>
      </c>
      <c r="E194" t="str">
        <f>IF(COUNTIF($B$2:B194,B194)&gt;1,"Duplicado","Único")</f>
        <v>Duplicado</v>
      </c>
    </row>
    <row r="195" spans="1:5" x14ac:dyDescent="0.25">
      <c r="A195" s="15">
        <v>19301</v>
      </c>
      <c r="B195" s="7">
        <v>1006538600</v>
      </c>
      <c r="C195" s="11">
        <v>45813.757129629601</v>
      </c>
      <c r="D195" s="17" t="s">
        <v>822</v>
      </c>
      <c r="E195" t="str">
        <f>IF(COUNTIF($B$2:B195,B195)&gt;1,"Duplicado","Único")</f>
        <v>Único</v>
      </c>
    </row>
    <row r="196" spans="1:5" x14ac:dyDescent="0.25">
      <c r="A196" s="15">
        <v>22652</v>
      </c>
      <c r="B196" s="7">
        <v>1006571933</v>
      </c>
      <c r="C196" s="11">
        <v>45842.3355787037</v>
      </c>
      <c r="D196" s="17" t="s">
        <v>1028</v>
      </c>
      <c r="E196" t="str">
        <f>IF(COUNTIF($B$2:B196,B196)&gt;1,"Duplicado","Único")</f>
        <v>Único</v>
      </c>
    </row>
    <row r="197" spans="1:5" x14ac:dyDescent="0.25">
      <c r="A197" s="15">
        <v>16224</v>
      </c>
      <c r="B197" s="7">
        <v>1006776418</v>
      </c>
      <c r="C197" s="11">
        <v>46121.4461689815</v>
      </c>
      <c r="D197" s="17" t="s">
        <v>4383</v>
      </c>
      <c r="E197" t="str">
        <f>IF(COUNTIF($B$2:B197,B197)&gt;1,"Duplicado","Único")</f>
        <v>Único</v>
      </c>
    </row>
    <row r="198" spans="1:5" hidden="1" x14ac:dyDescent="0.25">
      <c r="A198" s="15">
        <v>16224</v>
      </c>
      <c r="B198" s="7">
        <v>1006776418</v>
      </c>
      <c r="C198" s="11">
        <v>46101.806608796302</v>
      </c>
      <c r="D198" s="17" t="s">
        <v>4136</v>
      </c>
      <c r="E198" t="str">
        <f>IF(COUNTIF($B$2:B198,B198)&gt;1,"Duplicado","Único")</f>
        <v>Duplicado</v>
      </c>
    </row>
    <row r="199" spans="1:5" x14ac:dyDescent="0.25">
      <c r="A199" s="15">
        <v>17658</v>
      </c>
      <c r="B199" s="7">
        <v>1006799173</v>
      </c>
      <c r="C199" s="11">
        <v>46149.453587962998</v>
      </c>
      <c r="D199" s="17" t="s">
        <v>4492</v>
      </c>
      <c r="E199" t="str">
        <f>IF(COUNTIF($B$2:B199,B199)&gt;1,"Duplicado","Único")</f>
        <v>Único</v>
      </c>
    </row>
    <row r="200" spans="1:5" hidden="1" x14ac:dyDescent="0.25">
      <c r="A200" s="15">
        <v>17658</v>
      </c>
      <c r="B200" s="7">
        <v>1006799173</v>
      </c>
      <c r="C200" s="11">
        <v>46108.783958333297</v>
      </c>
      <c r="D200" s="17" t="s">
        <v>1149</v>
      </c>
      <c r="E200" t="str">
        <f>IF(COUNTIF($B$2:B200,B200)&gt;1,"Duplicado","Único")</f>
        <v>Duplicado</v>
      </c>
    </row>
    <row r="201" spans="1:5" x14ac:dyDescent="0.25">
      <c r="A201" s="15">
        <v>25509</v>
      </c>
      <c r="B201" s="7">
        <v>1006815701</v>
      </c>
      <c r="C201" s="11">
        <v>45860.462951388901</v>
      </c>
      <c r="D201" s="17" t="s">
        <v>1130</v>
      </c>
      <c r="E201" t="str">
        <f>IF(COUNTIF($B$2:B201,B201)&gt;1,"Duplicado","Único")</f>
        <v>Único</v>
      </c>
    </row>
    <row r="202" spans="1:5" x14ac:dyDescent="0.25">
      <c r="A202" s="15">
        <v>41404</v>
      </c>
      <c r="B202" s="7">
        <v>1006821747</v>
      </c>
      <c r="C202" s="11">
        <v>45938.403993055603</v>
      </c>
      <c r="D202" s="17" t="s">
        <v>1973</v>
      </c>
      <c r="E202" t="str">
        <f>IF(COUNTIF($B$2:B202,B202)&gt;1,"Duplicado","Único")</f>
        <v>Único</v>
      </c>
    </row>
    <row r="203" spans="1:5" x14ac:dyDescent="0.25">
      <c r="A203" s="15">
        <v>51523</v>
      </c>
      <c r="B203" s="7">
        <v>1006897347</v>
      </c>
      <c r="C203" s="11">
        <v>46057.468101851897</v>
      </c>
      <c r="D203" s="17" t="s">
        <v>3735</v>
      </c>
      <c r="E203" t="str">
        <f>IF(COUNTIF($B$2:B203,B203)&gt;1,"Duplicado","Único")</f>
        <v>Único</v>
      </c>
    </row>
    <row r="204" spans="1:5" hidden="1" x14ac:dyDescent="0.25">
      <c r="A204" s="15">
        <v>51523</v>
      </c>
      <c r="B204" s="7">
        <v>1006897347</v>
      </c>
      <c r="C204" s="11">
        <v>46002.6265740741</v>
      </c>
      <c r="D204" s="17" t="s">
        <v>2893</v>
      </c>
      <c r="E204" t="str">
        <f>IF(COUNTIF($B$2:B204,B204)&gt;1,"Duplicado","Único")</f>
        <v>Duplicado</v>
      </c>
    </row>
    <row r="205" spans="1:5" x14ac:dyDescent="0.25">
      <c r="A205" s="15">
        <v>54200</v>
      </c>
      <c r="B205" s="7">
        <v>1006902445</v>
      </c>
      <c r="C205" s="11">
        <v>46057.470381944397</v>
      </c>
      <c r="D205" s="17" t="s">
        <v>3738</v>
      </c>
      <c r="E205" t="str">
        <f>IF(COUNTIF($B$2:B205,B205)&gt;1,"Duplicado","Único")</f>
        <v>Único</v>
      </c>
    </row>
    <row r="206" spans="1:5" hidden="1" x14ac:dyDescent="0.25">
      <c r="A206" s="15">
        <v>54200</v>
      </c>
      <c r="B206" s="7">
        <v>1006902445</v>
      </c>
      <c r="C206" s="11">
        <v>46014.384513888901</v>
      </c>
      <c r="D206" s="17" t="s">
        <v>3066</v>
      </c>
      <c r="E206" t="str">
        <f>IF(COUNTIF($B$2:B206,B206)&gt;1,"Duplicado","Único")</f>
        <v>Duplicado</v>
      </c>
    </row>
    <row r="207" spans="1:5" x14ac:dyDescent="0.25">
      <c r="A207" s="15">
        <v>51437</v>
      </c>
      <c r="B207" s="7">
        <v>1006955703</v>
      </c>
      <c r="C207" s="11">
        <v>46051.4625578704</v>
      </c>
      <c r="D207" s="17" t="s">
        <v>3482</v>
      </c>
      <c r="E207" t="str">
        <f>IF(COUNTIF($B$2:B207,B207)&gt;1,"Duplicado","Único")</f>
        <v>Único</v>
      </c>
    </row>
    <row r="208" spans="1:5" hidden="1" x14ac:dyDescent="0.25">
      <c r="A208" s="15">
        <v>51437</v>
      </c>
      <c r="B208" s="7">
        <v>1006955703</v>
      </c>
      <c r="C208" s="11">
        <v>46002.620266203703</v>
      </c>
      <c r="D208" s="17" t="s">
        <v>2889</v>
      </c>
      <c r="E208" t="str">
        <f>IF(COUNTIF($B$2:B208,B208)&gt;1,"Duplicado","Único")</f>
        <v>Duplicado</v>
      </c>
    </row>
    <row r="209" spans="1:5" x14ac:dyDescent="0.25">
      <c r="A209" s="15">
        <v>51670</v>
      </c>
      <c r="B209" s="7">
        <v>1007127469</v>
      </c>
      <c r="C209" s="11">
        <v>46051.436412037001</v>
      </c>
      <c r="D209" s="17" t="s">
        <v>3457</v>
      </c>
      <c r="E209" t="str">
        <f>IF(COUNTIF($B$2:B209,B209)&gt;1,"Duplicado","Único")</f>
        <v>Único</v>
      </c>
    </row>
    <row r="210" spans="1:5" hidden="1" x14ac:dyDescent="0.25">
      <c r="A210" s="15">
        <v>51670</v>
      </c>
      <c r="B210" s="7">
        <v>1007127469</v>
      </c>
      <c r="C210" s="11">
        <v>46002.492962962999</v>
      </c>
      <c r="D210" s="17" t="s">
        <v>2875</v>
      </c>
      <c r="E210" t="str">
        <f>IF(COUNTIF($B$2:B210,B210)&gt;1,"Duplicado","Único")</f>
        <v>Duplicado</v>
      </c>
    </row>
    <row r="211" spans="1:5" x14ac:dyDescent="0.25">
      <c r="A211" s="15">
        <v>45171</v>
      </c>
      <c r="B211" s="7">
        <v>1007175934</v>
      </c>
      <c r="C211" s="11">
        <v>45958.739560185197</v>
      </c>
      <c r="D211" s="17" t="s">
        <v>2194</v>
      </c>
      <c r="E211" t="str">
        <f>IF(COUNTIF($B$2:B211,B211)&gt;1,"Duplicado","Único")</f>
        <v>Único</v>
      </c>
    </row>
    <row r="212" spans="1:5" x14ac:dyDescent="0.25">
      <c r="A212" s="15">
        <v>40825</v>
      </c>
      <c r="B212" s="7">
        <v>1007194660</v>
      </c>
      <c r="C212" s="11">
        <v>45936.487893518497</v>
      </c>
      <c r="D212" s="17" t="s">
        <v>1947</v>
      </c>
      <c r="E212" t="str">
        <f>IF(COUNTIF($B$2:B212,B212)&gt;1,"Duplicado","Único")</f>
        <v>Único</v>
      </c>
    </row>
    <row r="213" spans="1:5" x14ac:dyDescent="0.25">
      <c r="A213" s="15">
        <v>36698</v>
      </c>
      <c r="B213" s="7">
        <v>1007231587</v>
      </c>
      <c r="C213" s="11">
        <v>45919.387800925899</v>
      </c>
      <c r="D213" s="17" t="s">
        <v>1759</v>
      </c>
      <c r="E213" t="str">
        <f>IF(COUNTIF($B$2:B213,B213)&gt;1,"Duplicado","Único")</f>
        <v>Único</v>
      </c>
    </row>
    <row r="214" spans="1:5" x14ac:dyDescent="0.25">
      <c r="A214" s="15">
        <v>50884</v>
      </c>
      <c r="B214" s="7">
        <v>1007234355</v>
      </c>
      <c r="C214" s="11">
        <v>46050.660613425898</v>
      </c>
      <c r="D214" s="17" t="s">
        <v>3375</v>
      </c>
      <c r="E214" t="str">
        <f>IF(COUNTIF($B$2:B214,B214)&gt;1,"Duplicado","Único")</f>
        <v>Único</v>
      </c>
    </row>
    <row r="215" spans="1:5" hidden="1" x14ac:dyDescent="0.25">
      <c r="A215" s="15">
        <v>50884</v>
      </c>
      <c r="B215" s="7">
        <v>1007234355</v>
      </c>
      <c r="C215" s="11">
        <v>45992.626435185201</v>
      </c>
      <c r="D215" s="17" t="s">
        <v>2823</v>
      </c>
      <c r="E215" t="str">
        <f>IF(COUNTIF($B$2:B215,B215)&gt;1,"Duplicado","Único")</f>
        <v>Duplicado</v>
      </c>
    </row>
    <row r="216" spans="1:5" x14ac:dyDescent="0.25">
      <c r="A216" s="15">
        <v>33157</v>
      </c>
      <c r="B216" s="7">
        <v>1007268956</v>
      </c>
      <c r="C216" s="11">
        <v>45912.613645833299</v>
      </c>
      <c r="D216" s="17" t="s">
        <v>1680</v>
      </c>
      <c r="E216" t="str">
        <f>IF(COUNTIF($B$2:B216,B216)&gt;1,"Duplicado","Único")</f>
        <v>Único</v>
      </c>
    </row>
    <row r="217" spans="1:5" x14ac:dyDescent="0.25">
      <c r="A217" s="15">
        <v>46396</v>
      </c>
      <c r="B217" s="7">
        <v>1007301025</v>
      </c>
      <c r="C217" s="11">
        <v>45965.508321759298</v>
      </c>
      <c r="D217" s="17" t="s">
        <v>2318</v>
      </c>
      <c r="E217" t="str">
        <f>IF(COUNTIF($B$2:B217,B217)&gt;1,"Duplicado","Único")</f>
        <v>Único</v>
      </c>
    </row>
    <row r="218" spans="1:5" x14ac:dyDescent="0.25">
      <c r="A218" s="15">
        <v>38004</v>
      </c>
      <c r="B218" s="7">
        <v>1007319374</v>
      </c>
      <c r="C218" s="11">
        <v>45924.414085648103</v>
      </c>
      <c r="D218" s="17" t="s">
        <v>1804</v>
      </c>
      <c r="E218" t="str">
        <f>IF(COUNTIF($B$2:B218,B218)&gt;1,"Duplicado","Único")</f>
        <v>Único</v>
      </c>
    </row>
    <row r="219" spans="1:5" x14ac:dyDescent="0.25">
      <c r="A219" s="15">
        <v>44894</v>
      </c>
      <c r="B219" s="7">
        <v>1007329075</v>
      </c>
      <c r="C219" s="11">
        <v>45958.662974537001</v>
      </c>
      <c r="D219" s="17" t="s">
        <v>2174</v>
      </c>
      <c r="E219" t="str">
        <f>IF(COUNTIF($B$2:B219,B219)&gt;1,"Duplicado","Único")</f>
        <v>Único</v>
      </c>
    </row>
    <row r="220" spans="1:5" x14ac:dyDescent="0.25">
      <c r="A220" s="15">
        <v>31375</v>
      </c>
      <c r="B220" s="7">
        <v>1007335809</v>
      </c>
      <c r="C220" s="11">
        <v>45904.704571759299</v>
      </c>
      <c r="D220" s="17" t="s">
        <v>1541</v>
      </c>
      <c r="E220" t="str">
        <f>IF(COUNTIF($B$2:B220,B220)&gt;1,"Duplicado","Único")</f>
        <v>Único</v>
      </c>
    </row>
    <row r="221" spans="1:5" x14ac:dyDescent="0.25">
      <c r="A221" s="15">
        <v>18828</v>
      </c>
      <c r="B221" s="7">
        <v>1007364757</v>
      </c>
      <c r="C221" s="11">
        <v>45805.6337152778</v>
      </c>
      <c r="D221" s="17" t="s">
        <v>792</v>
      </c>
      <c r="E221" t="str">
        <f>IF(COUNTIF($B$2:B221,B221)&gt;1,"Duplicado","Único")</f>
        <v>Único</v>
      </c>
    </row>
    <row r="222" spans="1:5" x14ac:dyDescent="0.25">
      <c r="A222" s="15">
        <v>44517</v>
      </c>
      <c r="B222" s="7">
        <v>1007364947</v>
      </c>
      <c r="C222" s="11">
        <v>45958.484120370398</v>
      </c>
      <c r="D222" s="17" t="s">
        <v>2132</v>
      </c>
      <c r="E222" t="str">
        <f>IF(COUNTIF($B$2:B222,B222)&gt;1,"Duplicado","Único")</f>
        <v>Único</v>
      </c>
    </row>
    <row r="223" spans="1:5" hidden="1" x14ac:dyDescent="0.25">
      <c r="A223" s="15">
        <v>19215</v>
      </c>
      <c r="B223" s="7">
        <v>1007364947</v>
      </c>
      <c r="C223" s="11">
        <v>45813.751284722202</v>
      </c>
      <c r="D223" s="17" t="s">
        <v>820</v>
      </c>
      <c r="E223" t="str">
        <f>IF(COUNTIF($B$2:B223,B223)&gt;1,"Duplicado","Único")</f>
        <v>Duplicado</v>
      </c>
    </row>
    <row r="224" spans="1:5" x14ac:dyDescent="0.25">
      <c r="A224" s="15">
        <v>35955</v>
      </c>
      <c r="B224" s="7">
        <v>1007374629</v>
      </c>
      <c r="C224" s="11">
        <v>45918.410798611098</v>
      </c>
      <c r="D224" s="17" t="s">
        <v>1741</v>
      </c>
      <c r="E224" t="str">
        <f>IF(COUNTIF($B$2:B224,B224)&gt;1,"Duplicado","Único")</f>
        <v>Único</v>
      </c>
    </row>
    <row r="225" spans="1:5" x14ac:dyDescent="0.25">
      <c r="A225" s="15">
        <v>51423</v>
      </c>
      <c r="B225" s="7">
        <v>1007388709</v>
      </c>
      <c r="C225" s="11">
        <v>46057.459837962997</v>
      </c>
      <c r="D225" s="17" t="s">
        <v>3732</v>
      </c>
      <c r="E225" t="str">
        <f>IF(COUNTIF($B$2:B225,B225)&gt;1,"Duplicado","Único")</f>
        <v>Único</v>
      </c>
    </row>
    <row r="226" spans="1:5" hidden="1" x14ac:dyDescent="0.25">
      <c r="A226" s="15">
        <v>51423</v>
      </c>
      <c r="B226" s="7">
        <v>1007388709</v>
      </c>
      <c r="C226" s="11">
        <v>46017.480196759301</v>
      </c>
      <c r="D226" s="17" t="s">
        <v>3088</v>
      </c>
      <c r="E226" t="str">
        <f>IF(COUNTIF($B$2:B226,B226)&gt;1,"Duplicado","Único")</f>
        <v>Duplicado</v>
      </c>
    </row>
    <row r="227" spans="1:5" hidden="1" x14ac:dyDescent="0.25">
      <c r="A227" s="15">
        <v>51423</v>
      </c>
      <c r="B227" s="7">
        <v>1007388709</v>
      </c>
      <c r="C227" s="11">
        <v>46002.508009259298</v>
      </c>
      <c r="D227" s="17" t="s">
        <v>2878</v>
      </c>
      <c r="E227" t="str">
        <f>IF(COUNTIF($B$2:B227,B227)&gt;1,"Duplicado","Único")</f>
        <v>Duplicado</v>
      </c>
    </row>
    <row r="228" spans="1:5" x14ac:dyDescent="0.25">
      <c r="A228" s="15">
        <v>20026</v>
      </c>
      <c r="B228" s="7">
        <v>1007394600</v>
      </c>
      <c r="C228" s="11">
        <v>45819.673321759299</v>
      </c>
      <c r="D228" s="17" t="s">
        <v>856</v>
      </c>
      <c r="E228" t="str">
        <f>IF(COUNTIF($B$2:B228,B228)&gt;1,"Duplicado","Único")</f>
        <v>Único</v>
      </c>
    </row>
    <row r="229" spans="1:5" x14ac:dyDescent="0.25">
      <c r="A229" s="15">
        <v>37591</v>
      </c>
      <c r="B229" s="7">
        <v>1007411841</v>
      </c>
      <c r="C229" s="11">
        <v>45923.417719907397</v>
      </c>
      <c r="D229" s="17" t="s">
        <v>1792</v>
      </c>
      <c r="E229" t="str">
        <f>IF(COUNTIF($B$2:B229,B229)&gt;1,"Duplicado","Único")</f>
        <v>Único</v>
      </c>
    </row>
    <row r="230" spans="1:5" x14ac:dyDescent="0.25">
      <c r="A230" s="15">
        <v>19926</v>
      </c>
      <c r="B230" s="7">
        <v>1007426629</v>
      </c>
      <c r="C230" s="11">
        <v>45819.483055555596</v>
      </c>
      <c r="D230" s="17" t="s">
        <v>850</v>
      </c>
      <c r="E230" t="str">
        <f>IF(COUNTIF($B$2:B230,B230)&gt;1,"Duplicado","Único")</f>
        <v>Único</v>
      </c>
    </row>
    <row r="231" spans="1:5" x14ac:dyDescent="0.25">
      <c r="A231" s="15">
        <v>29110</v>
      </c>
      <c r="B231" s="7">
        <v>1007435689</v>
      </c>
      <c r="C231" s="11">
        <v>45891.530821759297</v>
      </c>
      <c r="D231" s="17" t="s">
        <v>1389</v>
      </c>
      <c r="E231" t="str">
        <f>IF(COUNTIF($B$2:B231,B231)&gt;1,"Duplicado","Único")</f>
        <v>Único</v>
      </c>
    </row>
    <row r="232" spans="1:5" x14ac:dyDescent="0.25">
      <c r="A232" s="15">
        <v>46978</v>
      </c>
      <c r="B232" s="7">
        <v>1007448177</v>
      </c>
      <c r="C232" s="11">
        <v>45968.388796296298</v>
      </c>
      <c r="D232" s="17" t="s">
        <v>2377</v>
      </c>
      <c r="E232" t="str">
        <f>IF(COUNTIF($B$2:B232,B232)&gt;1,"Duplicado","Único")</f>
        <v>Único</v>
      </c>
    </row>
    <row r="233" spans="1:5" x14ac:dyDescent="0.25">
      <c r="A233" s="15">
        <v>42943</v>
      </c>
      <c r="B233" s="7">
        <v>1007449361</v>
      </c>
      <c r="C233" s="11">
        <v>45954.611643518503</v>
      </c>
      <c r="D233" s="17" t="s">
        <v>2071</v>
      </c>
      <c r="E233" t="str">
        <f>IF(COUNTIF($B$2:B233,B233)&gt;1,"Duplicado","Único")</f>
        <v>Único</v>
      </c>
    </row>
    <row r="234" spans="1:5" x14ac:dyDescent="0.25">
      <c r="A234" s="15">
        <v>38180</v>
      </c>
      <c r="B234" s="7">
        <v>1007489962</v>
      </c>
      <c r="C234" s="11">
        <v>45925.4297337963</v>
      </c>
      <c r="D234" s="17" t="s">
        <v>1823</v>
      </c>
      <c r="E234" t="str">
        <f>IF(COUNTIF($B$2:B234,B234)&gt;1,"Duplicado","Único")</f>
        <v>Único</v>
      </c>
    </row>
    <row r="235" spans="1:5" x14ac:dyDescent="0.25">
      <c r="A235" s="15">
        <v>50548</v>
      </c>
      <c r="B235" s="7">
        <v>1007499125</v>
      </c>
      <c r="C235" s="11">
        <v>46050.645960648202</v>
      </c>
      <c r="D235" s="17" t="s">
        <v>3356</v>
      </c>
      <c r="E235" t="str">
        <f>IF(COUNTIF($B$2:B235,B235)&gt;1,"Duplicado","Único")</f>
        <v>Único</v>
      </c>
    </row>
    <row r="236" spans="1:5" hidden="1" x14ac:dyDescent="0.25">
      <c r="A236" s="15">
        <v>50548</v>
      </c>
      <c r="B236" s="7">
        <v>1007499125</v>
      </c>
      <c r="C236" s="11">
        <v>45989.352627314802</v>
      </c>
      <c r="D236" s="17" t="s">
        <v>2777</v>
      </c>
      <c r="E236" t="str">
        <f>IF(COUNTIF($B$2:B236,B236)&gt;1,"Duplicado","Único")</f>
        <v>Duplicado</v>
      </c>
    </row>
    <row r="237" spans="1:5" x14ac:dyDescent="0.25">
      <c r="A237" s="15">
        <v>48914</v>
      </c>
      <c r="B237" s="7">
        <v>1007507310</v>
      </c>
      <c r="C237" s="11">
        <v>45980.3879282407</v>
      </c>
      <c r="D237" s="17" t="s">
        <v>2590</v>
      </c>
      <c r="E237" t="str">
        <f>IF(COUNTIF($B$2:B237,B237)&gt;1,"Duplicado","Único")</f>
        <v>Único</v>
      </c>
    </row>
    <row r="238" spans="1:5" x14ac:dyDescent="0.25">
      <c r="A238" s="15">
        <v>26382</v>
      </c>
      <c r="B238" s="7">
        <v>1007647152</v>
      </c>
      <c r="C238" s="11">
        <v>45867.433576388903</v>
      </c>
      <c r="D238" s="17" t="s">
        <v>1198</v>
      </c>
      <c r="E238" t="str">
        <f>IF(COUNTIF($B$2:B238,B238)&gt;1,"Duplicado","Único")</f>
        <v>Único</v>
      </c>
    </row>
    <row r="239" spans="1:5" x14ac:dyDescent="0.25">
      <c r="A239" s="15">
        <v>21009</v>
      </c>
      <c r="B239" s="7">
        <v>1007693975</v>
      </c>
      <c r="C239" s="11">
        <v>45824.353483796302</v>
      </c>
      <c r="D239" s="17" t="s">
        <v>918</v>
      </c>
      <c r="E239" t="str">
        <f>IF(COUNTIF($B$2:B239,B239)&gt;1,"Duplicado","Único")</f>
        <v>Único</v>
      </c>
    </row>
    <row r="240" spans="1:5" x14ac:dyDescent="0.25">
      <c r="A240" s="15">
        <v>38453</v>
      </c>
      <c r="B240" s="7">
        <v>1007768491</v>
      </c>
      <c r="C240" s="11">
        <v>45926.386331018497</v>
      </c>
      <c r="D240" s="17" t="s">
        <v>1833</v>
      </c>
      <c r="E240" t="str">
        <f>IF(COUNTIF($B$2:B240,B240)&gt;1,"Duplicado","Único")</f>
        <v>Único</v>
      </c>
    </row>
    <row r="241" spans="1:5" x14ac:dyDescent="0.25">
      <c r="A241" s="15">
        <v>20526</v>
      </c>
      <c r="B241" s="7">
        <v>1007893371</v>
      </c>
      <c r="C241" s="11">
        <v>45820.503587963001</v>
      </c>
      <c r="D241" s="17" t="s">
        <v>891</v>
      </c>
      <c r="E241" t="str">
        <f>IF(COUNTIF($B$2:B241,B241)&gt;1,"Duplicado","Único")</f>
        <v>Único</v>
      </c>
    </row>
    <row r="242" spans="1:5" x14ac:dyDescent="0.25">
      <c r="A242" s="15">
        <v>51213</v>
      </c>
      <c r="B242" s="7">
        <v>10090297</v>
      </c>
      <c r="C242" s="11">
        <v>46051.339189814797</v>
      </c>
      <c r="D242" s="17" t="s">
        <v>3430</v>
      </c>
      <c r="E242" t="str">
        <f>IF(COUNTIF($B$2:B242,B242)&gt;1,"Duplicado","Único")</f>
        <v>Único</v>
      </c>
    </row>
    <row r="243" spans="1:5" hidden="1" x14ac:dyDescent="0.25">
      <c r="A243" s="15">
        <v>51213</v>
      </c>
      <c r="B243" s="7">
        <v>10090297</v>
      </c>
      <c r="C243" s="11">
        <v>46002.422905092601</v>
      </c>
      <c r="D243" s="17" t="s">
        <v>2871</v>
      </c>
      <c r="E243" t="str">
        <f>IF(COUNTIF($B$2:B243,B243)&gt;1,"Duplicado","Único")</f>
        <v>Duplicado</v>
      </c>
    </row>
    <row r="244" spans="1:5" x14ac:dyDescent="0.25">
      <c r="A244" s="15">
        <v>47548</v>
      </c>
      <c r="B244" s="7">
        <v>10098597</v>
      </c>
      <c r="C244" s="11">
        <v>45972.423298611102</v>
      </c>
      <c r="D244" s="17" t="s">
        <v>2424</v>
      </c>
      <c r="E244" t="str">
        <f>IF(COUNTIF($B$2:B244,B244)&gt;1,"Duplicado","Único")</f>
        <v>Único</v>
      </c>
    </row>
    <row r="245" spans="1:5" x14ac:dyDescent="0.25">
      <c r="A245" s="15">
        <v>17862</v>
      </c>
      <c r="B245" s="7">
        <v>1010001787</v>
      </c>
      <c r="C245" s="11">
        <v>45834.454629629603</v>
      </c>
      <c r="D245" s="17" t="s">
        <v>966</v>
      </c>
      <c r="E245" t="str">
        <f>IF(COUNTIF($B$2:B245,B245)&gt;1,"Duplicado","Único")</f>
        <v>Único</v>
      </c>
    </row>
    <row r="246" spans="1:5" hidden="1" x14ac:dyDescent="0.25">
      <c r="A246" s="15">
        <v>17862</v>
      </c>
      <c r="B246" s="7">
        <v>1010001787</v>
      </c>
      <c r="C246" s="11">
        <v>45797.716354166703</v>
      </c>
      <c r="D246" s="17" t="s">
        <v>729</v>
      </c>
      <c r="E246" t="str">
        <f>IF(COUNTIF($B$2:B246,B246)&gt;1,"Duplicado","Único")</f>
        <v>Duplicado</v>
      </c>
    </row>
    <row r="247" spans="1:5" x14ac:dyDescent="0.25">
      <c r="A247" s="15">
        <v>22192</v>
      </c>
      <c r="B247" s="7">
        <v>1010028442</v>
      </c>
      <c r="C247" s="11">
        <v>45835.692546296297</v>
      </c>
      <c r="D247" s="17" t="s">
        <v>995</v>
      </c>
      <c r="E247" t="str">
        <f>IF(COUNTIF($B$2:B247,B247)&gt;1,"Duplicado","Único")</f>
        <v>Único</v>
      </c>
    </row>
    <row r="248" spans="1:5" x14ac:dyDescent="0.25">
      <c r="A248" s="15">
        <v>26995</v>
      </c>
      <c r="B248" s="7">
        <v>1010039870</v>
      </c>
      <c r="C248" s="11">
        <v>45874.366412037001</v>
      </c>
      <c r="D248" s="17" t="s">
        <v>1237</v>
      </c>
      <c r="E248" t="str">
        <f>IF(COUNTIF($B$2:B248,B248)&gt;1,"Duplicado","Único")</f>
        <v>Único</v>
      </c>
    </row>
    <row r="249" spans="1:5" x14ac:dyDescent="0.25">
      <c r="A249" s="15">
        <v>41407</v>
      </c>
      <c r="B249" s="7">
        <v>1010043247</v>
      </c>
      <c r="C249" s="11">
        <v>45938.405856481499</v>
      </c>
      <c r="D249" s="17" t="s">
        <v>1974</v>
      </c>
      <c r="E249" t="str">
        <f>IF(COUNTIF($B$2:B249,B249)&gt;1,"Duplicado","Único")</f>
        <v>Único</v>
      </c>
    </row>
    <row r="250" spans="1:5" x14ac:dyDescent="0.25">
      <c r="A250" s="15">
        <v>43373</v>
      </c>
      <c r="B250" s="7">
        <v>1010044764</v>
      </c>
      <c r="C250" s="11">
        <v>45954.664212962998</v>
      </c>
      <c r="D250" s="17" t="s">
        <v>2080</v>
      </c>
      <c r="E250" t="str">
        <f>IF(COUNTIF($B$2:B250,B250)&gt;1,"Duplicado","Único")</f>
        <v>Único</v>
      </c>
    </row>
    <row r="251" spans="1:5" x14ac:dyDescent="0.25">
      <c r="A251" s="15">
        <v>3687</v>
      </c>
      <c r="B251" s="7">
        <v>1010052404</v>
      </c>
      <c r="C251" s="11">
        <v>46086.762499999997</v>
      </c>
      <c r="D251" s="17" t="s">
        <v>3949</v>
      </c>
      <c r="E251" t="str">
        <f>IF(COUNTIF($B$2:B251,B251)&gt;1,"Duplicado","Único")</f>
        <v>Único</v>
      </c>
    </row>
    <row r="252" spans="1:5" hidden="1" x14ac:dyDescent="0.25">
      <c r="A252" s="15">
        <v>3687</v>
      </c>
      <c r="B252" s="7">
        <v>1010052404</v>
      </c>
      <c r="C252" s="11">
        <v>46052.513518518499</v>
      </c>
      <c r="D252" s="17" t="s">
        <v>3570</v>
      </c>
      <c r="E252" t="str">
        <f>IF(COUNTIF($B$2:B252,B252)&gt;1,"Duplicado","Único")</f>
        <v>Duplicado</v>
      </c>
    </row>
    <row r="253" spans="1:5" x14ac:dyDescent="0.25">
      <c r="A253" s="15">
        <v>20828</v>
      </c>
      <c r="B253" s="7">
        <v>1010059155</v>
      </c>
      <c r="C253" s="11">
        <v>45821.641261574099</v>
      </c>
      <c r="D253" s="17" t="s">
        <v>908</v>
      </c>
      <c r="E253" t="str">
        <f>IF(COUNTIF($B$2:B253,B253)&gt;1,"Duplicado","Único")</f>
        <v>Único</v>
      </c>
    </row>
    <row r="254" spans="1:5" x14ac:dyDescent="0.25">
      <c r="A254" s="15">
        <v>17400</v>
      </c>
      <c r="B254" s="7">
        <v>1010086773</v>
      </c>
      <c r="C254" s="11">
        <v>46149.454236111102</v>
      </c>
      <c r="D254" s="17" t="s">
        <v>4493</v>
      </c>
      <c r="E254" t="str">
        <f>IF(COUNTIF($B$2:B254,B254)&gt;1,"Duplicado","Único")</f>
        <v>Único</v>
      </c>
    </row>
    <row r="255" spans="1:5" hidden="1" x14ac:dyDescent="0.25">
      <c r="A255" s="15">
        <v>17400</v>
      </c>
      <c r="B255" s="7">
        <v>1010086773</v>
      </c>
      <c r="C255" s="11">
        <v>46108.555740740703</v>
      </c>
      <c r="D255" s="17" t="s">
        <v>4218</v>
      </c>
      <c r="E255" t="str">
        <f>IF(COUNTIF($B$2:B255,B255)&gt;1,"Duplicado","Único")</f>
        <v>Duplicado</v>
      </c>
    </row>
    <row r="256" spans="1:5" x14ac:dyDescent="0.25">
      <c r="A256" s="15">
        <v>28975</v>
      </c>
      <c r="B256" s="7">
        <v>1010092561</v>
      </c>
      <c r="C256" s="11">
        <v>45890.661932870396</v>
      </c>
      <c r="D256" s="17" t="s">
        <v>1370</v>
      </c>
      <c r="E256" t="str">
        <f>IF(COUNTIF($B$2:B256,B256)&gt;1,"Duplicado","Único")</f>
        <v>Único</v>
      </c>
    </row>
    <row r="257" spans="1:5" x14ac:dyDescent="0.25">
      <c r="A257" s="15">
        <v>2250</v>
      </c>
      <c r="B257" s="7">
        <v>1010094519</v>
      </c>
      <c r="C257" s="11">
        <v>46086.7196064815</v>
      </c>
      <c r="D257" s="17" t="s">
        <v>3903</v>
      </c>
      <c r="E257" t="str">
        <f>IF(COUNTIF($B$2:B257,B257)&gt;1,"Duplicado","Único")</f>
        <v>Único</v>
      </c>
    </row>
    <row r="258" spans="1:5" hidden="1" x14ac:dyDescent="0.25">
      <c r="A258" s="15">
        <v>2250</v>
      </c>
      <c r="B258" s="7">
        <v>1010094519</v>
      </c>
      <c r="C258" s="11">
        <v>46049.463692129597</v>
      </c>
      <c r="D258" s="17" t="s">
        <v>3217</v>
      </c>
      <c r="E258" t="str">
        <f>IF(COUNTIF($B$2:B258,B258)&gt;1,"Duplicado","Único")</f>
        <v>Duplicado</v>
      </c>
    </row>
    <row r="259" spans="1:5" x14ac:dyDescent="0.25">
      <c r="A259" s="15">
        <v>20133</v>
      </c>
      <c r="B259" s="7">
        <v>1010097218</v>
      </c>
      <c r="C259" s="11">
        <v>45819.713101851798</v>
      </c>
      <c r="D259" s="17" t="s">
        <v>863</v>
      </c>
      <c r="E259" t="str">
        <f>IF(COUNTIF($B$2:B259,B259)&gt;1,"Duplicado","Único")</f>
        <v>Único</v>
      </c>
    </row>
    <row r="260" spans="1:5" x14ac:dyDescent="0.25">
      <c r="A260" s="15">
        <v>47951</v>
      </c>
      <c r="B260" s="7">
        <v>1010108688</v>
      </c>
      <c r="C260" s="11">
        <v>45973.7036226852</v>
      </c>
      <c r="D260" s="17" t="s">
        <v>2483</v>
      </c>
      <c r="E260" t="str">
        <f>IF(COUNTIF($B$2:B260,B260)&gt;1,"Duplicado","Único")</f>
        <v>Único</v>
      </c>
    </row>
    <row r="261" spans="1:5" x14ac:dyDescent="0.25">
      <c r="A261" s="15">
        <v>51462</v>
      </c>
      <c r="B261" s="7">
        <v>1010115947</v>
      </c>
      <c r="C261" s="11">
        <v>46051.463738425897</v>
      </c>
      <c r="D261" s="17" t="s">
        <v>3483</v>
      </c>
      <c r="E261" t="str">
        <f>IF(COUNTIF($B$2:B261,B261)&gt;1,"Duplicado","Único")</f>
        <v>Único</v>
      </c>
    </row>
    <row r="262" spans="1:5" hidden="1" x14ac:dyDescent="0.25">
      <c r="A262" s="15">
        <v>51462</v>
      </c>
      <c r="B262" s="7">
        <v>1010115947</v>
      </c>
      <c r="C262" s="11">
        <v>46002.624386574098</v>
      </c>
      <c r="D262" s="17" t="s">
        <v>2891</v>
      </c>
      <c r="E262" t="str">
        <f>IF(COUNTIF($B$2:B262,B262)&gt;1,"Duplicado","Único")</f>
        <v>Duplicado</v>
      </c>
    </row>
    <row r="263" spans="1:5" x14ac:dyDescent="0.25">
      <c r="A263" s="15">
        <v>50490</v>
      </c>
      <c r="B263" s="7">
        <v>1010117549</v>
      </c>
      <c r="C263" s="11">
        <v>46050.647592592599</v>
      </c>
      <c r="D263" s="17" t="s">
        <v>3357</v>
      </c>
      <c r="E263" t="str">
        <f>IF(COUNTIF($B$2:B263,B263)&gt;1,"Duplicado","Único")</f>
        <v>Único</v>
      </c>
    </row>
    <row r="264" spans="1:5" hidden="1" x14ac:dyDescent="0.25">
      <c r="A264" s="15">
        <v>50490</v>
      </c>
      <c r="B264" s="7">
        <v>1010117549</v>
      </c>
      <c r="C264" s="11">
        <v>45989.444201388898</v>
      </c>
      <c r="D264" s="17" t="s">
        <v>2790</v>
      </c>
      <c r="E264" t="str">
        <f>IF(COUNTIF($B$2:B264,B264)&gt;1,"Duplicado","Único")</f>
        <v>Duplicado</v>
      </c>
    </row>
    <row r="265" spans="1:5" x14ac:dyDescent="0.25">
      <c r="A265" s="15">
        <v>36487</v>
      </c>
      <c r="B265" s="7">
        <v>1010156868</v>
      </c>
      <c r="C265" s="11">
        <v>45919.363032407397</v>
      </c>
      <c r="D265" s="17" t="s">
        <v>1750</v>
      </c>
      <c r="E265" t="str">
        <f>IF(COUNTIF($B$2:B265,B265)&gt;1,"Duplicado","Único")</f>
        <v>Único</v>
      </c>
    </row>
    <row r="266" spans="1:5" x14ac:dyDescent="0.25">
      <c r="A266" s="15">
        <v>39696</v>
      </c>
      <c r="B266" s="7">
        <v>1010165205</v>
      </c>
      <c r="C266" s="11">
        <v>45930.651620370401</v>
      </c>
      <c r="D266" s="17" t="s">
        <v>1894</v>
      </c>
      <c r="E266" t="str">
        <f>IF(COUNTIF($B$2:B266,B266)&gt;1,"Duplicado","Único")</f>
        <v>Único</v>
      </c>
    </row>
    <row r="267" spans="1:5" x14ac:dyDescent="0.25">
      <c r="A267" s="15">
        <v>46406</v>
      </c>
      <c r="B267" s="7">
        <v>1010166399</v>
      </c>
      <c r="C267" s="11">
        <v>45966.633379629602</v>
      </c>
      <c r="D267" s="17" t="s">
        <v>2326</v>
      </c>
      <c r="E267" t="str">
        <f>IF(COUNTIF($B$2:B267,B267)&gt;1,"Duplicado","Único")</f>
        <v>Único</v>
      </c>
    </row>
    <row r="268" spans="1:5" x14ac:dyDescent="0.25">
      <c r="A268" s="15">
        <v>47638</v>
      </c>
      <c r="B268" s="7">
        <v>1010168157</v>
      </c>
      <c r="C268" s="11">
        <v>45972.4694675926</v>
      </c>
      <c r="D268" s="17" t="s">
        <v>2438</v>
      </c>
      <c r="E268" t="str">
        <f>IF(COUNTIF($B$2:B268,B268)&gt;1,"Duplicado","Único")</f>
        <v>Único</v>
      </c>
    </row>
    <row r="269" spans="1:5" x14ac:dyDescent="0.25">
      <c r="A269" s="15">
        <v>18025</v>
      </c>
      <c r="B269" s="7">
        <v>1010172991</v>
      </c>
      <c r="C269" s="11">
        <v>46149.414745370399</v>
      </c>
      <c r="D269" s="17" t="s">
        <v>4445</v>
      </c>
      <c r="E269" t="str">
        <f>IF(COUNTIF($B$2:B269,B269)&gt;1,"Duplicado","Único")</f>
        <v>Único</v>
      </c>
    </row>
    <row r="270" spans="1:5" hidden="1" x14ac:dyDescent="0.25">
      <c r="A270" s="15">
        <v>18025</v>
      </c>
      <c r="B270" s="7">
        <v>1010172991</v>
      </c>
      <c r="C270" s="11">
        <v>46118.340902777803</v>
      </c>
      <c r="D270" s="17" t="s">
        <v>4243</v>
      </c>
      <c r="E270" t="str">
        <f>IF(COUNTIF($B$2:B270,B270)&gt;1,"Duplicado","Único")</f>
        <v>Duplicado</v>
      </c>
    </row>
    <row r="271" spans="1:5" x14ac:dyDescent="0.25">
      <c r="A271" s="15">
        <v>41361</v>
      </c>
      <c r="B271" s="7">
        <v>1010176796</v>
      </c>
      <c r="C271" s="11">
        <v>45938.3760763889</v>
      </c>
      <c r="D271" s="17" t="s">
        <v>1969</v>
      </c>
      <c r="E271" t="str">
        <f>IF(COUNTIF($B$2:B271,B271)&gt;1,"Duplicado","Único")</f>
        <v>Único</v>
      </c>
    </row>
    <row r="272" spans="1:5" x14ac:dyDescent="0.25">
      <c r="A272" s="15">
        <v>52678</v>
      </c>
      <c r="B272" s="7">
        <v>1010179068</v>
      </c>
      <c r="C272" s="11">
        <v>46051.530879629601</v>
      </c>
      <c r="D272" s="17" t="s">
        <v>3530</v>
      </c>
      <c r="E272" t="str">
        <f>IF(COUNTIF($B$2:B272,B272)&gt;1,"Duplicado","Único")</f>
        <v>Único</v>
      </c>
    </row>
    <row r="273" spans="1:5" hidden="1" x14ac:dyDescent="0.25">
      <c r="A273" s="15">
        <v>52678</v>
      </c>
      <c r="B273" s="7">
        <v>1010179068</v>
      </c>
      <c r="C273" s="11">
        <v>46007.4976157407</v>
      </c>
      <c r="D273" s="17" t="s">
        <v>2954</v>
      </c>
      <c r="E273" t="str">
        <f>IF(COUNTIF($B$2:B273,B273)&gt;1,"Duplicado","Único")</f>
        <v>Duplicado</v>
      </c>
    </row>
    <row r="274" spans="1:5" x14ac:dyDescent="0.25">
      <c r="A274" s="15">
        <v>39535</v>
      </c>
      <c r="B274" s="7">
        <v>1010180579</v>
      </c>
      <c r="C274" s="11">
        <v>45930.412476851903</v>
      </c>
      <c r="D274" s="17" t="s">
        <v>1885</v>
      </c>
      <c r="E274" t="str">
        <f>IF(COUNTIF($B$2:B274,B274)&gt;1,"Duplicado","Único")</f>
        <v>Único</v>
      </c>
    </row>
    <row r="275" spans="1:5" x14ac:dyDescent="0.25">
      <c r="A275" s="15">
        <v>50852</v>
      </c>
      <c r="B275" s="7">
        <v>1010184202</v>
      </c>
      <c r="C275" s="11">
        <v>46050.663599537002</v>
      </c>
      <c r="D275" s="17" t="s">
        <v>3376</v>
      </c>
      <c r="E275" t="str">
        <f>IF(COUNTIF($B$2:B275,B275)&gt;1,"Duplicado","Único")</f>
        <v>Único</v>
      </c>
    </row>
    <row r="276" spans="1:5" hidden="1" x14ac:dyDescent="0.25">
      <c r="A276" s="15">
        <v>50852</v>
      </c>
      <c r="B276" s="7">
        <v>1010184202</v>
      </c>
      <c r="C276" s="11">
        <v>45992.591828703698</v>
      </c>
      <c r="D276" s="17" t="s">
        <v>2819</v>
      </c>
      <c r="E276" t="str">
        <f>IF(COUNTIF($B$2:B276,B276)&gt;1,"Duplicado","Único")</f>
        <v>Duplicado</v>
      </c>
    </row>
    <row r="277" spans="1:5" x14ac:dyDescent="0.25">
      <c r="A277" s="15">
        <v>3779</v>
      </c>
      <c r="B277" s="7">
        <v>1010186947</v>
      </c>
      <c r="C277" s="11">
        <v>46086.779340277797</v>
      </c>
      <c r="D277" s="17" t="s">
        <v>3968</v>
      </c>
      <c r="E277" t="str">
        <f>IF(COUNTIF($B$2:B277,B277)&gt;1,"Duplicado","Único")</f>
        <v>Único</v>
      </c>
    </row>
    <row r="278" spans="1:5" hidden="1" x14ac:dyDescent="0.25">
      <c r="A278" s="15">
        <v>3779</v>
      </c>
      <c r="B278" s="7">
        <v>1010186947</v>
      </c>
      <c r="C278" s="11">
        <v>46055.397731481498</v>
      </c>
      <c r="D278" s="17" t="s">
        <v>3579</v>
      </c>
      <c r="E278" t="str">
        <f>IF(COUNTIF($B$2:B278,B278)&gt;1,"Duplicado","Único")</f>
        <v>Duplicado</v>
      </c>
    </row>
    <row r="279" spans="1:5" x14ac:dyDescent="0.25">
      <c r="A279" s="15">
        <v>41480</v>
      </c>
      <c r="B279" s="7">
        <v>1010192557</v>
      </c>
      <c r="C279" s="11">
        <v>45938.487152777801</v>
      </c>
      <c r="D279" s="17" t="s">
        <v>1993</v>
      </c>
      <c r="E279" t="str">
        <f>IF(COUNTIF($B$2:B279,B279)&gt;1,"Duplicado","Único")</f>
        <v>Único</v>
      </c>
    </row>
    <row r="280" spans="1:5" x14ac:dyDescent="0.25">
      <c r="A280" s="15">
        <v>3116</v>
      </c>
      <c r="B280" s="7">
        <v>1010197335</v>
      </c>
      <c r="C280" s="11">
        <v>46086.7475694444</v>
      </c>
      <c r="D280" s="17" t="s">
        <v>3937</v>
      </c>
      <c r="E280" t="str">
        <f>IF(COUNTIF($B$2:B280,B280)&gt;1,"Duplicado","Único")</f>
        <v>Único</v>
      </c>
    </row>
    <row r="281" spans="1:5" hidden="1" x14ac:dyDescent="0.25">
      <c r="A281" s="15">
        <v>3116</v>
      </c>
      <c r="B281" s="7">
        <v>1010197335</v>
      </c>
      <c r="C281" s="11">
        <v>46051.452534722201</v>
      </c>
      <c r="D281" s="17" t="s">
        <v>3472</v>
      </c>
      <c r="E281" t="str">
        <f>IF(COUNTIF($B$2:B281,B281)&gt;1,"Duplicado","Único")</f>
        <v>Duplicado</v>
      </c>
    </row>
    <row r="282" spans="1:5" x14ac:dyDescent="0.25">
      <c r="A282" s="15">
        <v>26293</v>
      </c>
      <c r="B282" s="7">
        <v>1010198111</v>
      </c>
      <c r="C282" s="11">
        <v>45867.394212963001</v>
      </c>
      <c r="D282" s="17" t="s">
        <v>1189</v>
      </c>
      <c r="E282" t="str">
        <f>IF(COUNTIF($B$2:B282,B282)&gt;1,"Duplicado","Único")</f>
        <v>Único</v>
      </c>
    </row>
    <row r="283" spans="1:5" x14ac:dyDescent="0.25">
      <c r="A283" s="15">
        <v>51000</v>
      </c>
      <c r="B283" s="7">
        <v>1010200899</v>
      </c>
      <c r="C283" s="11">
        <v>46059.559432870403</v>
      </c>
      <c r="D283" s="17" t="s">
        <v>3750</v>
      </c>
      <c r="E283" t="str">
        <f>IF(COUNTIF($B$2:B283,B283)&gt;1,"Duplicado","Único")</f>
        <v>Único</v>
      </c>
    </row>
    <row r="284" spans="1:5" hidden="1" x14ac:dyDescent="0.25">
      <c r="A284" s="15">
        <v>51000</v>
      </c>
      <c r="B284" s="7">
        <v>1010200899</v>
      </c>
      <c r="C284" s="11">
        <v>46050.687071759297</v>
      </c>
      <c r="D284" s="17" t="s">
        <v>3406</v>
      </c>
      <c r="E284" t="str">
        <f>IF(COUNTIF($B$2:B284,B284)&gt;1,"Duplicado","Único")</f>
        <v>Duplicado</v>
      </c>
    </row>
    <row r="285" spans="1:5" hidden="1" x14ac:dyDescent="0.25">
      <c r="A285" s="15">
        <v>51000</v>
      </c>
      <c r="B285" s="7">
        <v>1010200899</v>
      </c>
      <c r="C285" s="11">
        <v>46000.622083333299</v>
      </c>
      <c r="D285" s="17" t="s">
        <v>2838</v>
      </c>
      <c r="E285" t="str">
        <f>IF(COUNTIF($B$2:B285,B285)&gt;1,"Duplicado","Único")</f>
        <v>Duplicado</v>
      </c>
    </row>
    <row r="286" spans="1:5" x14ac:dyDescent="0.25">
      <c r="A286" s="15">
        <v>41440</v>
      </c>
      <c r="B286" s="7">
        <v>1010203590</v>
      </c>
      <c r="C286" s="11">
        <v>45938.410405092603</v>
      </c>
      <c r="D286" s="17" t="s">
        <v>1977</v>
      </c>
      <c r="E286" t="str">
        <f>IF(COUNTIF($B$2:B286,B286)&gt;1,"Duplicado","Único")</f>
        <v>Único</v>
      </c>
    </row>
    <row r="287" spans="1:5" x14ac:dyDescent="0.25">
      <c r="A287" s="15">
        <v>14273</v>
      </c>
      <c r="B287" s="7">
        <v>1010205321</v>
      </c>
      <c r="C287" s="11">
        <v>46120.471168981501</v>
      </c>
      <c r="D287" s="17" t="s">
        <v>4264</v>
      </c>
      <c r="E287" t="str">
        <f>IF(COUNTIF($B$2:B287,B287)&gt;1,"Duplicado","Único")</f>
        <v>Único</v>
      </c>
    </row>
    <row r="288" spans="1:5" hidden="1" x14ac:dyDescent="0.25">
      <c r="A288" s="15">
        <v>14273</v>
      </c>
      <c r="B288" s="7">
        <v>1010205321</v>
      </c>
      <c r="C288" s="11">
        <v>46090.633564814802</v>
      </c>
      <c r="D288" s="17" t="s">
        <v>4013</v>
      </c>
      <c r="E288" t="str">
        <f>IF(COUNTIF($B$2:B288,B288)&gt;1,"Duplicado","Único")</f>
        <v>Duplicado</v>
      </c>
    </row>
    <row r="289" spans="1:5" x14ac:dyDescent="0.25">
      <c r="A289" s="15">
        <v>49228</v>
      </c>
      <c r="B289" s="7">
        <v>1010205726</v>
      </c>
      <c r="C289" s="11">
        <v>45981.396886574097</v>
      </c>
      <c r="D289" s="17" t="s">
        <v>2632</v>
      </c>
      <c r="E289" t="str">
        <f>IF(COUNTIF($B$2:B289,B289)&gt;1,"Duplicado","Único")</f>
        <v>Único</v>
      </c>
    </row>
    <row r="290" spans="1:5" x14ac:dyDescent="0.25">
      <c r="A290" s="15">
        <v>13914</v>
      </c>
      <c r="B290" s="7">
        <v>1010206822</v>
      </c>
      <c r="C290" s="11">
        <v>46149.647118055596</v>
      </c>
      <c r="D290" s="17" t="s">
        <v>4542</v>
      </c>
      <c r="E290" t="str">
        <f>IF(COUNTIF($B$2:B290,B290)&gt;1,"Duplicado","Único")</f>
        <v>Único</v>
      </c>
    </row>
    <row r="291" spans="1:5" hidden="1" x14ac:dyDescent="0.25">
      <c r="A291" s="15">
        <v>13914</v>
      </c>
      <c r="B291" s="7">
        <v>1010206822</v>
      </c>
      <c r="C291" s="11">
        <v>46085.499016203699</v>
      </c>
      <c r="D291" s="17" t="s">
        <v>958</v>
      </c>
      <c r="E291" t="str">
        <f>IF(COUNTIF($B$2:B291,B291)&gt;1,"Duplicado","Único")</f>
        <v>Duplicado</v>
      </c>
    </row>
    <row r="292" spans="1:5" x14ac:dyDescent="0.25">
      <c r="A292" s="15">
        <v>33263</v>
      </c>
      <c r="B292" s="7">
        <v>1010208524</v>
      </c>
      <c r="C292" s="11">
        <v>45913.664907407401</v>
      </c>
      <c r="D292" s="17" t="s">
        <v>1692</v>
      </c>
      <c r="E292" t="str">
        <f>IF(COUNTIF($B$2:B292,B292)&gt;1,"Duplicado","Único")</f>
        <v>Único</v>
      </c>
    </row>
    <row r="293" spans="1:5" x14ac:dyDescent="0.25">
      <c r="A293" s="15">
        <v>23879</v>
      </c>
      <c r="B293" s="7">
        <v>1010209886</v>
      </c>
      <c r="C293" s="11">
        <v>45852.514826388899</v>
      </c>
      <c r="D293" s="17" t="s">
        <v>1065</v>
      </c>
      <c r="E293" t="str">
        <f>IF(COUNTIF($B$2:B293,B293)&gt;1,"Duplicado","Único")</f>
        <v>Único</v>
      </c>
    </row>
    <row r="294" spans="1:5" x14ac:dyDescent="0.25">
      <c r="A294" s="15">
        <v>45059</v>
      </c>
      <c r="B294" s="7">
        <v>1010210243</v>
      </c>
      <c r="C294" s="11">
        <v>45958.6951736111</v>
      </c>
      <c r="D294" s="17" t="s">
        <v>2189</v>
      </c>
      <c r="E294" t="str">
        <f>IF(COUNTIF($B$2:B294,B294)&gt;1,"Duplicado","Único")</f>
        <v>Único</v>
      </c>
    </row>
    <row r="295" spans="1:5" x14ac:dyDescent="0.25">
      <c r="A295" s="15">
        <v>52786</v>
      </c>
      <c r="B295" s="7">
        <v>1010210356</v>
      </c>
      <c r="C295" s="11">
        <v>46051.616122685198</v>
      </c>
      <c r="D295" s="17" t="s">
        <v>3542</v>
      </c>
      <c r="E295" t="str">
        <f>IF(COUNTIF($B$2:B295,B295)&gt;1,"Duplicado","Único")</f>
        <v>Único</v>
      </c>
    </row>
    <row r="296" spans="1:5" hidden="1" x14ac:dyDescent="0.25">
      <c r="A296" s="15">
        <v>52786</v>
      </c>
      <c r="B296" s="7">
        <v>1010210356</v>
      </c>
      <c r="C296" s="11">
        <v>46009.3836689815</v>
      </c>
      <c r="D296" s="17" t="s">
        <v>2968</v>
      </c>
      <c r="E296" t="str">
        <f>IF(COUNTIF($B$2:B296,B296)&gt;1,"Duplicado","Único")</f>
        <v>Duplicado</v>
      </c>
    </row>
    <row r="297" spans="1:5" x14ac:dyDescent="0.25">
      <c r="A297" s="15">
        <v>47562</v>
      </c>
      <c r="B297" s="7">
        <v>1010210495</v>
      </c>
      <c r="C297" s="11">
        <v>45972.425011574102</v>
      </c>
      <c r="D297" s="17" t="s">
        <v>2425</v>
      </c>
      <c r="E297" t="str">
        <f>IF(COUNTIF($B$2:B297,B297)&gt;1,"Duplicado","Único")</f>
        <v>Único</v>
      </c>
    </row>
    <row r="298" spans="1:5" x14ac:dyDescent="0.25">
      <c r="A298" s="15">
        <v>29719</v>
      </c>
      <c r="B298" s="7">
        <v>1010214387</v>
      </c>
      <c r="C298" s="11">
        <v>45901.6711574074</v>
      </c>
      <c r="D298" s="17" t="s">
        <v>1492</v>
      </c>
      <c r="E298" t="str">
        <f>IF(COUNTIF($B$2:B298,B298)&gt;1,"Duplicado","Único")</f>
        <v>Único</v>
      </c>
    </row>
    <row r="299" spans="1:5" hidden="1" x14ac:dyDescent="0.25">
      <c r="A299" s="15">
        <v>29719</v>
      </c>
      <c r="B299" s="7">
        <v>1010214387</v>
      </c>
      <c r="C299" s="11">
        <v>45895.38</v>
      </c>
      <c r="D299" s="17" t="s">
        <v>1425</v>
      </c>
      <c r="E299" t="str">
        <f>IF(COUNTIF($B$2:B299,B299)&gt;1,"Duplicado","Único")</f>
        <v>Duplicado</v>
      </c>
    </row>
    <row r="300" spans="1:5" x14ac:dyDescent="0.25">
      <c r="A300" s="15">
        <v>29112</v>
      </c>
      <c r="B300" s="7">
        <v>1010214685</v>
      </c>
      <c r="C300" s="11">
        <v>45891.599918981497</v>
      </c>
      <c r="D300" s="17" t="s">
        <v>1390</v>
      </c>
      <c r="E300" t="str">
        <f>IF(COUNTIF($B$2:B300,B300)&gt;1,"Duplicado","Único")</f>
        <v>Único</v>
      </c>
    </row>
    <row r="301" spans="1:5" x14ac:dyDescent="0.25">
      <c r="A301" s="15">
        <v>46273</v>
      </c>
      <c r="B301" s="7">
        <v>1010215153</v>
      </c>
      <c r="C301" s="11">
        <v>45965.472928240699</v>
      </c>
      <c r="D301" s="17" t="s">
        <v>2303</v>
      </c>
      <c r="E301" t="str">
        <f>IF(COUNTIF($B$2:B301,B301)&gt;1,"Duplicado","Único")</f>
        <v>Único</v>
      </c>
    </row>
    <row r="302" spans="1:5" x14ac:dyDescent="0.25">
      <c r="A302" s="15">
        <v>15040</v>
      </c>
      <c r="B302" s="7">
        <v>1010216084</v>
      </c>
      <c r="C302" s="11">
        <v>46120.628460648099</v>
      </c>
      <c r="D302" s="17" t="s">
        <v>4309</v>
      </c>
      <c r="E302" t="str">
        <f>IF(COUNTIF($B$2:B302,B302)&gt;1,"Duplicado","Único")</f>
        <v>Único</v>
      </c>
    </row>
    <row r="303" spans="1:5" hidden="1" x14ac:dyDescent="0.25">
      <c r="A303" s="15">
        <v>15040</v>
      </c>
      <c r="B303" s="7">
        <v>1010216084</v>
      </c>
      <c r="C303" s="11">
        <v>46094.499513888899</v>
      </c>
      <c r="D303" s="17" t="s">
        <v>4061</v>
      </c>
      <c r="E303" t="str">
        <f>IF(COUNTIF($B$2:B303,B303)&gt;1,"Duplicado","Único")</f>
        <v>Duplicado</v>
      </c>
    </row>
    <row r="304" spans="1:5" x14ac:dyDescent="0.25">
      <c r="A304" s="15">
        <v>39828</v>
      </c>
      <c r="B304" s="7">
        <v>1010218771</v>
      </c>
      <c r="C304" s="11">
        <v>45931.377708333297</v>
      </c>
      <c r="D304" s="17" t="s">
        <v>1901</v>
      </c>
      <c r="E304" t="str">
        <f>IF(COUNTIF($B$2:B304,B304)&gt;1,"Duplicado","Único")</f>
        <v>Único</v>
      </c>
    </row>
    <row r="305" spans="1:5" x14ac:dyDescent="0.25">
      <c r="A305" s="15">
        <v>48196</v>
      </c>
      <c r="B305" s="7">
        <v>1010220312</v>
      </c>
      <c r="C305" s="11">
        <v>45974.453136574099</v>
      </c>
      <c r="D305" s="17" t="s">
        <v>2508</v>
      </c>
      <c r="E305" t="str">
        <f>IF(COUNTIF($B$2:B305,B305)&gt;1,"Duplicado","Único")</f>
        <v>Único</v>
      </c>
    </row>
    <row r="306" spans="1:5" x14ac:dyDescent="0.25">
      <c r="A306" s="15">
        <v>28675</v>
      </c>
      <c r="B306" s="7">
        <v>1010221360</v>
      </c>
      <c r="C306" s="11">
        <v>45888.626342592601</v>
      </c>
      <c r="D306" s="17" t="s">
        <v>1351</v>
      </c>
      <c r="E306" t="str">
        <f>IF(COUNTIF($B$2:B306,B306)&gt;1,"Duplicado","Único")</f>
        <v>Único</v>
      </c>
    </row>
    <row r="307" spans="1:5" x14ac:dyDescent="0.25">
      <c r="A307" s="15">
        <v>45885</v>
      </c>
      <c r="B307" s="7">
        <v>1010221485</v>
      </c>
      <c r="C307" s="11">
        <v>45961.6877662037</v>
      </c>
      <c r="D307" s="17" t="s">
        <v>2286</v>
      </c>
      <c r="E307" t="str">
        <f>IF(COUNTIF($B$2:B307,B307)&gt;1,"Duplicado","Único")</f>
        <v>Único</v>
      </c>
    </row>
    <row r="308" spans="1:5" x14ac:dyDescent="0.25">
      <c r="A308" s="15">
        <v>52754</v>
      </c>
      <c r="B308" s="7">
        <v>1010222053</v>
      </c>
      <c r="C308" s="11">
        <v>46051.617175925901</v>
      </c>
      <c r="D308" s="17" t="s">
        <v>3543</v>
      </c>
      <c r="E308" t="str">
        <f>IF(COUNTIF($B$2:B308,B308)&gt;1,"Duplicado","Único")</f>
        <v>Único</v>
      </c>
    </row>
    <row r="309" spans="1:5" hidden="1" x14ac:dyDescent="0.25">
      <c r="A309" s="15">
        <v>52754</v>
      </c>
      <c r="B309" s="7">
        <v>1010222053</v>
      </c>
      <c r="C309" s="11">
        <v>46009.378935185203</v>
      </c>
      <c r="D309" s="17" t="s">
        <v>2964</v>
      </c>
      <c r="E309" t="str">
        <f>IF(COUNTIF($B$2:B309,B309)&gt;1,"Duplicado","Único")</f>
        <v>Duplicado</v>
      </c>
    </row>
    <row r="310" spans="1:5" x14ac:dyDescent="0.25">
      <c r="A310" s="15">
        <v>16390</v>
      </c>
      <c r="B310" s="7">
        <v>1010224297</v>
      </c>
      <c r="C310" s="11">
        <v>46121.446655092601</v>
      </c>
      <c r="D310" s="17" t="s">
        <v>4384</v>
      </c>
      <c r="E310" t="str">
        <f>IF(COUNTIF($B$2:B310,B310)&gt;1,"Duplicado","Único")</f>
        <v>Único</v>
      </c>
    </row>
    <row r="311" spans="1:5" hidden="1" x14ac:dyDescent="0.25">
      <c r="A311" s="15">
        <v>16390</v>
      </c>
      <c r="B311" s="7">
        <v>1010224297</v>
      </c>
      <c r="C311" s="11">
        <v>46101.813854166699</v>
      </c>
      <c r="D311" s="17" t="s">
        <v>4143</v>
      </c>
      <c r="E311" t="str">
        <f>IF(COUNTIF($B$2:B311,B311)&gt;1,"Duplicado","Único")</f>
        <v>Duplicado</v>
      </c>
    </row>
    <row r="312" spans="1:5" x14ac:dyDescent="0.25">
      <c r="A312" s="15">
        <v>46818</v>
      </c>
      <c r="B312" s="7">
        <v>1010226499</v>
      </c>
      <c r="C312" s="11">
        <v>45967.708425925899</v>
      </c>
      <c r="D312" s="17" t="s">
        <v>2363</v>
      </c>
      <c r="E312" t="str">
        <f>IF(COUNTIF($B$2:B312,B312)&gt;1,"Duplicado","Único")</f>
        <v>Único</v>
      </c>
    </row>
    <row r="313" spans="1:5" x14ac:dyDescent="0.25">
      <c r="A313" s="15">
        <v>31934</v>
      </c>
      <c r="B313" s="7">
        <v>1010229425</v>
      </c>
      <c r="C313" s="11">
        <v>45905.669687499998</v>
      </c>
      <c r="D313" s="17" t="s">
        <v>1575</v>
      </c>
      <c r="E313" t="str">
        <f>IF(COUNTIF($B$2:B313,B313)&gt;1,"Duplicado","Único")</f>
        <v>Único</v>
      </c>
    </row>
    <row r="314" spans="1:5" x14ac:dyDescent="0.25">
      <c r="A314" s="15">
        <v>32101</v>
      </c>
      <c r="B314" s="7">
        <v>1010230745</v>
      </c>
      <c r="C314" s="11">
        <v>45908.3808333333</v>
      </c>
      <c r="D314" s="17" t="s">
        <v>1593</v>
      </c>
      <c r="E314" t="str">
        <f>IF(COUNTIF($B$2:B314,B314)&gt;1,"Duplicado","Único")</f>
        <v>Único</v>
      </c>
    </row>
    <row r="315" spans="1:5" x14ac:dyDescent="0.25">
      <c r="A315" s="15">
        <v>48254</v>
      </c>
      <c r="B315" s="7">
        <v>1010230991</v>
      </c>
      <c r="C315" s="11">
        <v>45979.356504629599</v>
      </c>
      <c r="D315" s="17" t="s">
        <v>2538</v>
      </c>
      <c r="E315" t="str">
        <f>IF(COUNTIF($B$2:B315,B315)&gt;1,"Duplicado","Único")</f>
        <v>Único</v>
      </c>
    </row>
    <row r="316" spans="1:5" x14ac:dyDescent="0.25">
      <c r="A316" s="15">
        <v>48783</v>
      </c>
      <c r="B316" s="7">
        <v>1010231776</v>
      </c>
      <c r="C316" s="11">
        <v>45979.666828703703</v>
      </c>
      <c r="D316" s="17" t="s">
        <v>2570</v>
      </c>
      <c r="E316" t="str">
        <f>IF(COUNTIF($B$2:B316,B316)&gt;1,"Duplicado","Único")</f>
        <v>Único</v>
      </c>
    </row>
    <row r="317" spans="1:5" x14ac:dyDescent="0.25">
      <c r="A317" s="15">
        <v>47616</v>
      </c>
      <c r="B317" s="7">
        <v>1010231834</v>
      </c>
      <c r="C317" s="11">
        <v>45972.4625115741</v>
      </c>
      <c r="D317" s="17" t="s">
        <v>2437</v>
      </c>
      <c r="E317" t="str">
        <f>IF(COUNTIF($B$2:B317,B317)&gt;1,"Duplicado","Único")</f>
        <v>Único</v>
      </c>
    </row>
    <row r="318" spans="1:5" x14ac:dyDescent="0.25">
      <c r="A318" s="15">
        <v>39513</v>
      </c>
      <c r="B318" s="7">
        <v>1010232013</v>
      </c>
      <c r="C318" s="11">
        <v>45930.403078703697</v>
      </c>
      <c r="D318" s="17" t="s">
        <v>1882</v>
      </c>
      <c r="E318" t="str">
        <f>IF(COUNTIF($B$2:B318,B318)&gt;1,"Duplicado","Único")</f>
        <v>Único</v>
      </c>
    </row>
    <row r="319" spans="1:5" x14ac:dyDescent="0.25">
      <c r="A319" s="15">
        <v>40943</v>
      </c>
      <c r="B319" s="7">
        <v>1010234556</v>
      </c>
      <c r="C319" s="11">
        <v>45936.473993055602</v>
      </c>
      <c r="D319" s="17" t="s">
        <v>1944</v>
      </c>
      <c r="E319" t="str">
        <f>IF(COUNTIF($B$2:B319,B319)&gt;1,"Duplicado","Único")</f>
        <v>Único</v>
      </c>
    </row>
    <row r="320" spans="1:5" x14ac:dyDescent="0.25">
      <c r="A320" s="15">
        <v>25970</v>
      </c>
      <c r="B320" s="7">
        <v>1010234608</v>
      </c>
      <c r="C320" s="11">
        <v>45866.629525463002</v>
      </c>
      <c r="D320" s="17" t="s">
        <v>1161</v>
      </c>
      <c r="E320" t="str">
        <f>IF(COUNTIF($B$2:B320,B320)&gt;1,"Duplicado","Único")</f>
        <v>Único</v>
      </c>
    </row>
    <row r="321" spans="1:5" x14ac:dyDescent="0.25">
      <c r="A321" s="15">
        <v>17973</v>
      </c>
      <c r="B321" s="7">
        <v>1010235016</v>
      </c>
      <c r="C321" s="11">
        <v>45852.394097222197</v>
      </c>
      <c r="D321" s="17" t="s">
        <v>1061</v>
      </c>
      <c r="E321" t="str">
        <f>IF(COUNTIF($B$2:B321,B321)&gt;1,"Duplicado","Único")</f>
        <v>Único</v>
      </c>
    </row>
    <row r="322" spans="1:5" hidden="1" x14ac:dyDescent="0.25">
      <c r="A322" s="15">
        <v>17973</v>
      </c>
      <c r="B322" s="7">
        <v>1010235016</v>
      </c>
      <c r="C322" s="11">
        <v>45798.388888888898</v>
      </c>
      <c r="D322" s="17" t="s">
        <v>739</v>
      </c>
      <c r="E322" t="str">
        <f>IF(COUNTIF($B$2:B322,B322)&gt;1,"Duplicado","Único")</f>
        <v>Duplicado</v>
      </c>
    </row>
    <row r="323" spans="1:5" x14ac:dyDescent="0.25">
      <c r="A323" s="15">
        <v>40881</v>
      </c>
      <c r="B323" s="7">
        <v>1010237350</v>
      </c>
      <c r="C323" s="11">
        <v>45936.4680787037</v>
      </c>
      <c r="D323" s="17" t="s">
        <v>1941</v>
      </c>
      <c r="E323" t="str">
        <f>IF(COUNTIF($B$2:B323,B323)&gt;1,"Duplicado","Único")</f>
        <v>Único</v>
      </c>
    </row>
    <row r="324" spans="1:5" x14ac:dyDescent="0.25">
      <c r="A324" s="15">
        <v>53813</v>
      </c>
      <c r="B324" s="7">
        <v>1010237390</v>
      </c>
      <c r="C324" s="11">
        <v>46057.417962963002</v>
      </c>
      <c r="D324" s="17" t="s">
        <v>3694</v>
      </c>
      <c r="E324" t="str">
        <f>IF(COUNTIF($B$2:B324,B324)&gt;1,"Duplicado","Único")</f>
        <v>Único</v>
      </c>
    </row>
    <row r="325" spans="1:5" hidden="1" x14ac:dyDescent="0.25">
      <c r="A325" s="15">
        <v>53813</v>
      </c>
      <c r="B325" s="7">
        <v>1010237390</v>
      </c>
      <c r="C325" s="11">
        <v>46013.614247685196</v>
      </c>
      <c r="D325" s="17" t="s">
        <v>3044</v>
      </c>
      <c r="E325" t="str">
        <f>IF(COUNTIF($B$2:B325,B325)&gt;1,"Duplicado","Único")</f>
        <v>Duplicado</v>
      </c>
    </row>
    <row r="326" spans="1:5" x14ac:dyDescent="0.25">
      <c r="A326" s="15">
        <v>48845</v>
      </c>
      <c r="B326" s="7">
        <v>1010238697</v>
      </c>
      <c r="C326" s="11">
        <v>45980.429178240702</v>
      </c>
      <c r="D326" s="17" t="s">
        <v>2609</v>
      </c>
      <c r="E326" t="str">
        <f>IF(COUNTIF($B$2:B326,B326)&gt;1,"Duplicado","Único")</f>
        <v>Único</v>
      </c>
    </row>
    <row r="327" spans="1:5" x14ac:dyDescent="0.25">
      <c r="A327" s="15">
        <v>31296</v>
      </c>
      <c r="B327" s="7">
        <v>1010244942</v>
      </c>
      <c r="C327" s="11">
        <v>45904.626967592601</v>
      </c>
      <c r="D327" s="17" t="s">
        <v>1525</v>
      </c>
      <c r="E327" t="str">
        <f>IF(COUNTIF($B$2:B327,B327)&gt;1,"Duplicado","Único")</f>
        <v>Único</v>
      </c>
    </row>
    <row r="328" spans="1:5" x14ac:dyDescent="0.25">
      <c r="A328" s="15">
        <v>48868</v>
      </c>
      <c r="B328" s="7">
        <v>1010245291</v>
      </c>
      <c r="C328" s="11">
        <v>45980.3644907407</v>
      </c>
      <c r="D328" s="17" t="s">
        <v>2581</v>
      </c>
      <c r="E328" t="str">
        <f>IF(COUNTIF($B$2:B328,B328)&gt;1,"Duplicado","Único")</f>
        <v>Único</v>
      </c>
    </row>
    <row r="329" spans="1:5" x14ac:dyDescent="0.25">
      <c r="A329" s="15">
        <v>33035</v>
      </c>
      <c r="B329" s="7">
        <v>1010245543</v>
      </c>
      <c r="C329" s="11">
        <v>45911.457939814798</v>
      </c>
      <c r="D329" s="17" t="s">
        <v>1670</v>
      </c>
      <c r="E329" t="str">
        <f>IF(COUNTIF($B$2:B329,B329)&gt;1,"Duplicado","Único")</f>
        <v>Único</v>
      </c>
    </row>
    <row r="330" spans="1:5" x14ac:dyDescent="0.25">
      <c r="A330" s="15">
        <v>2635</v>
      </c>
      <c r="B330" s="7">
        <v>1010248461</v>
      </c>
      <c r="C330" s="11">
        <v>46086.748078703698</v>
      </c>
      <c r="D330" s="17" t="s">
        <v>3938</v>
      </c>
      <c r="E330" t="str">
        <f>IF(COUNTIF($B$2:B330,B330)&gt;1,"Duplicado","Único")</f>
        <v>Único</v>
      </c>
    </row>
    <row r="331" spans="1:5" hidden="1" x14ac:dyDescent="0.25">
      <c r="A331" s="15">
        <v>2635</v>
      </c>
      <c r="B331" s="7">
        <v>1010248461</v>
      </c>
      <c r="C331" s="11">
        <v>46051.457789351902</v>
      </c>
      <c r="D331" s="17" t="s">
        <v>3478</v>
      </c>
      <c r="E331" t="str">
        <f>IF(COUNTIF($B$2:B331,B331)&gt;1,"Duplicado","Único")</f>
        <v>Duplicado</v>
      </c>
    </row>
    <row r="332" spans="1:5" x14ac:dyDescent="0.25">
      <c r="A332" s="15">
        <v>44931</v>
      </c>
      <c r="B332" s="7">
        <v>10119243</v>
      </c>
      <c r="C332" s="11">
        <v>45958.672534722202</v>
      </c>
      <c r="D332" s="17" t="s">
        <v>2180</v>
      </c>
      <c r="E332" t="str">
        <f>IF(COUNTIF($B$2:B332,B332)&gt;1,"Duplicado","Único")</f>
        <v>Único</v>
      </c>
    </row>
    <row r="333" spans="1:5" x14ac:dyDescent="0.25">
      <c r="A333" s="15">
        <v>13999</v>
      </c>
      <c r="B333" s="7">
        <v>1012328702</v>
      </c>
      <c r="C333" s="11">
        <v>46149.521493055603</v>
      </c>
      <c r="D333" s="17" t="s">
        <v>4529</v>
      </c>
      <c r="E333" t="str">
        <f>IF(COUNTIF($B$2:B333,B333)&gt;1,"Duplicado","Único")</f>
        <v>Único</v>
      </c>
    </row>
    <row r="334" spans="1:5" hidden="1" x14ac:dyDescent="0.25">
      <c r="A334" s="15">
        <v>13999</v>
      </c>
      <c r="B334" s="7">
        <v>1012328702</v>
      </c>
      <c r="C334" s="11">
        <v>46086.662326388898</v>
      </c>
      <c r="D334" s="17" t="s">
        <v>3860</v>
      </c>
      <c r="E334" t="str">
        <f>IF(COUNTIF($B$2:B334,B334)&gt;1,"Duplicado","Único")</f>
        <v>Duplicado</v>
      </c>
    </row>
    <row r="335" spans="1:5" x14ac:dyDescent="0.25">
      <c r="A335" s="15">
        <v>51177</v>
      </c>
      <c r="B335" s="7">
        <v>1012331890</v>
      </c>
      <c r="C335" s="11">
        <v>46050.699004629598</v>
      </c>
      <c r="D335" s="17" t="s">
        <v>3421</v>
      </c>
      <c r="E335" t="str">
        <f>IF(COUNTIF($B$2:B335,B335)&gt;1,"Duplicado","Único")</f>
        <v>Único</v>
      </c>
    </row>
    <row r="336" spans="1:5" hidden="1" x14ac:dyDescent="0.25">
      <c r="A336" s="15">
        <v>51177</v>
      </c>
      <c r="B336" s="7">
        <v>1012331890</v>
      </c>
      <c r="C336" s="11">
        <v>46001.443807870397</v>
      </c>
      <c r="D336" s="17" t="s">
        <v>2854</v>
      </c>
      <c r="E336" t="str">
        <f>IF(COUNTIF($B$2:B336,B336)&gt;1,"Duplicado","Único")</f>
        <v>Duplicado</v>
      </c>
    </row>
    <row r="337" spans="1:5" x14ac:dyDescent="0.25">
      <c r="A337" s="15">
        <v>29103</v>
      </c>
      <c r="B337" s="7">
        <v>1012356516</v>
      </c>
      <c r="C337" s="11">
        <v>45891.527013888903</v>
      </c>
      <c r="D337" s="17" t="s">
        <v>1387</v>
      </c>
      <c r="E337" t="str">
        <f>IF(COUNTIF($B$2:B337,B337)&gt;1,"Duplicado","Único")</f>
        <v>Único</v>
      </c>
    </row>
    <row r="338" spans="1:5" x14ac:dyDescent="0.25">
      <c r="A338" s="15">
        <v>46140</v>
      </c>
      <c r="B338" s="7">
        <v>1012361705</v>
      </c>
      <c r="C338" s="11">
        <v>45965.462233796301</v>
      </c>
      <c r="D338" s="17" t="s">
        <v>2295</v>
      </c>
      <c r="E338" t="str">
        <f>IF(COUNTIF($B$2:B338,B338)&gt;1,"Duplicado","Único")</f>
        <v>Único</v>
      </c>
    </row>
    <row r="339" spans="1:5" x14ac:dyDescent="0.25">
      <c r="A339" s="15">
        <v>44108</v>
      </c>
      <c r="B339" s="7">
        <v>1012364025</v>
      </c>
      <c r="C339" s="11">
        <v>45958.394201388903</v>
      </c>
      <c r="D339" s="17" t="s">
        <v>2109</v>
      </c>
      <c r="E339" t="str">
        <f>IF(COUNTIF($B$2:B339,B339)&gt;1,"Duplicado","Único")</f>
        <v>Único</v>
      </c>
    </row>
    <row r="340" spans="1:5" x14ac:dyDescent="0.25">
      <c r="A340" s="15">
        <v>40994</v>
      </c>
      <c r="B340" s="7">
        <v>1012371755</v>
      </c>
      <c r="C340" s="11">
        <v>45936.494606481501</v>
      </c>
      <c r="D340" s="17" t="s">
        <v>1950</v>
      </c>
      <c r="E340" t="str">
        <f>IF(COUNTIF($B$2:B340,B340)&gt;1,"Duplicado","Único")</f>
        <v>Único</v>
      </c>
    </row>
    <row r="341" spans="1:5" hidden="1" x14ac:dyDescent="0.25">
      <c r="A341" s="15">
        <v>25378</v>
      </c>
      <c r="B341" s="7">
        <v>1012371755</v>
      </c>
      <c r="C341" s="11">
        <v>45860.442685185197</v>
      </c>
      <c r="D341" s="17" t="s">
        <v>1124</v>
      </c>
      <c r="E341" t="str">
        <f>IF(COUNTIF($B$2:B341,B341)&gt;1,"Duplicado","Único")</f>
        <v>Duplicado</v>
      </c>
    </row>
    <row r="342" spans="1:5" x14ac:dyDescent="0.25">
      <c r="A342" s="15">
        <v>19528</v>
      </c>
      <c r="B342" s="7">
        <v>1012390189</v>
      </c>
      <c r="C342" s="11">
        <v>45814.302546296298</v>
      </c>
      <c r="D342" s="17" t="s">
        <v>835</v>
      </c>
      <c r="E342" t="str">
        <f>IF(COUNTIF($B$2:B342,B342)&gt;1,"Duplicado","Único")</f>
        <v>Único</v>
      </c>
    </row>
    <row r="343" spans="1:5" x14ac:dyDescent="0.25">
      <c r="A343" s="15">
        <v>47982</v>
      </c>
      <c r="B343" s="7">
        <v>1012440977</v>
      </c>
      <c r="C343" s="11">
        <v>45973.708784722199</v>
      </c>
      <c r="D343" s="17" t="s">
        <v>2485</v>
      </c>
      <c r="E343" t="str">
        <f>IF(COUNTIF($B$2:B343,B343)&gt;1,"Duplicado","Único")</f>
        <v>Único</v>
      </c>
    </row>
    <row r="344" spans="1:5" x14ac:dyDescent="0.25">
      <c r="A344" s="15">
        <v>21305</v>
      </c>
      <c r="B344" s="7">
        <v>1012441384</v>
      </c>
      <c r="C344" s="11">
        <v>45891.436469907399</v>
      </c>
      <c r="D344" s="17" t="s">
        <v>1383</v>
      </c>
      <c r="E344" t="str">
        <f>IF(COUNTIF($B$2:B344,B344)&gt;1,"Duplicado","Único")</f>
        <v>Único</v>
      </c>
    </row>
    <row r="345" spans="1:5" hidden="1" x14ac:dyDescent="0.25">
      <c r="A345" s="15">
        <v>21305</v>
      </c>
      <c r="B345" s="7">
        <v>1012441384</v>
      </c>
      <c r="C345" s="11">
        <v>45824.434062499997</v>
      </c>
      <c r="D345" s="17" t="s">
        <v>935</v>
      </c>
      <c r="E345" t="str">
        <f>IF(COUNTIF($B$2:B345,B345)&gt;1,"Duplicado","Único")</f>
        <v>Duplicado</v>
      </c>
    </row>
    <row r="346" spans="1:5" x14ac:dyDescent="0.25">
      <c r="A346" s="15">
        <v>47825</v>
      </c>
      <c r="B346" s="7">
        <v>1012455233</v>
      </c>
      <c r="C346" s="11">
        <v>45973.660300925898</v>
      </c>
      <c r="D346" s="17" t="s">
        <v>2468</v>
      </c>
      <c r="E346" t="str">
        <f>IF(COUNTIF($B$2:B346,B346)&gt;1,"Duplicado","Único")</f>
        <v>Único</v>
      </c>
    </row>
    <row r="347" spans="1:5" x14ac:dyDescent="0.25">
      <c r="A347" s="15">
        <v>48172</v>
      </c>
      <c r="B347" s="7">
        <v>1013599486</v>
      </c>
      <c r="C347" s="11">
        <v>45974.448194444398</v>
      </c>
      <c r="D347" s="17" t="s">
        <v>2505</v>
      </c>
      <c r="E347" t="str">
        <f>IF(COUNTIF($B$2:B347,B347)&gt;1,"Duplicado","Único")</f>
        <v>Único</v>
      </c>
    </row>
    <row r="348" spans="1:5" x14ac:dyDescent="0.25">
      <c r="A348" s="15">
        <v>41024</v>
      </c>
      <c r="B348" s="7">
        <v>1013599751</v>
      </c>
      <c r="C348" s="11">
        <v>45936.498969907399</v>
      </c>
      <c r="D348" s="17" t="s">
        <v>1953</v>
      </c>
      <c r="E348" t="str">
        <f>IF(COUNTIF($B$2:B348,B348)&gt;1,"Duplicado","Único")</f>
        <v>Único</v>
      </c>
    </row>
    <row r="349" spans="1:5" x14ac:dyDescent="0.25">
      <c r="A349" s="15">
        <v>49113</v>
      </c>
      <c r="B349" s="7">
        <v>1013600146</v>
      </c>
      <c r="C349" s="11">
        <v>45981.343981481499</v>
      </c>
      <c r="D349" s="17" t="s">
        <v>2619</v>
      </c>
      <c r="E349" t="str">
        <f>IF(COUNTIF($B$2:B349,B349)&gt;1,"Duplicado","Único")</f>
        <v>Único</v>
      </c>
    </row>
    <row r="350" spans="1:5" x14ac:dyDescent="0.25">
      <c r="A350" s="15">
        <v>37354</v>
      </c>
      <c r="B350" s="7">
        <v>1013604272</v>
      </c>
      <c r="C350" s="11">
        <v>45922.489537037</v>
      </c>
      <c r="D350" s="17" t="s">
        <v>1786</v>
      </c>
      <c r="E350" t="str">
        <f>IF(COUNTIF($B$2:B350,B350)&gt;1,"Duplicado","Único")</f>
        <v>Único</v>
      </c>
    </row>
    <row r="351" spans="1:5" x14ac:dyDescent="0.25">
      <c r="A351" s="15">
        <v>1262</v>
      </c>
      <c r="B351" s="7">
        <v>1013604972</v>
      </c>
      <c r="C351" s="11">
        <v>46086.661724537</v>
      </c>
      <c r="D351" s="17" t="s">
        <v>966</v>
      </c>
      <c r="E351" t="str">
        <f>IF(COUNTIF($B$2:B351,B351)&gt;1,"Duplicado","Único")</f>
        <v>Único</v>
      </c>
    </row>
    <row r="352" spans="1:5" hidden="1" x14ac:dyDescent="0.25">
      <c r="A352" s="15">
        <v>1262</v>
      </c>
      <c r="B352" s="7">
        <v>1013604972</v>
      </c>
      <c r="C352" s="11">
        <v>46036.475624999999</v>
      </c>
      <c r="D352" s="17" t="s">
        <v>3167</v>
      </c>
      <c r="E352" t="str">
        <f>IF(COUNTIF($B$2:B352,B352)&gt;1,"Duplicado","Único")</f>
        <v>Duplicado</v>
      </c>
    </row>
    <row r="353" spans="1:5" x14ac:dyDescent="0.25">
      <c r="A353" s="15">
        <v>31412</v>
      </c>
      <c r="B353" s="7">
        <v>1013609465</v>
      </c>
      <c r="C353" s="11">
        <v>45905.349247685197</v>
      </c>
      <c r="D353" s="17" t="s">
        <v>1549</v>
      </c>
      <c r="E353" t="str">
        <f>IF(COUNTIF($B$2:B353,B353)&gt;1,"Duplicado","Único")</f>
        <v>Único</v>
      </c>
    </row>
    <row r="354" spans="1:5" x14ac:dyDescent="0.25">
      <c r="A354" s="15">
        <v>28169</v>
      </c>
      <c r="B354" s="7">
        <v>1013612728</v>
      </c>
      <c r="C354" s="11">
        <v>45884.637430555602</v>
      </c>
      <c r="D354" s="17" t="s">
        <v>1318</v>
      </c>
      <c r="E354" t="str">
        <f>IF(COUNTIF($B$2:B354,B354)&gt;1,"Duplicado","Único")</f>
        <v>Único</v>
      </c>
    </row>
    <row r="355" spans="1:5" x14ac:dyDescent="0.25">
      <c r="A355" s="15">
        <v>47772</v>
      </c>
      <c r="B355" s="7">
        <v>1013626862</v>
      </c>
      <c r="C355" s="11">
        <v>45973.652118055601</v>
      </c>
      <c r="D355" s="17" t="s">
        <v>2461</v>
      </c>
      <c r="E355" t="str">
        <f>IF(COUNTIF($B$2:B355,B355)&gt;1,"Duplicado","Único")</f>
        <v>Único</v>
      </c>
    </row>
    <row r="356" spans="1:5" x14ac:dyDescent="0.25">
      <c r="A356" s="15">
        <v>25656</v>
      </c>
      <c r="B356" s="7">
        <v>1013627550</v>
      </c>
      <c r="C356" s="11">
        <v>45866.531585648103</v>
      </c>
      <c r="D356" s="17" t="s">
        <v>1140</v>
      </c>
      <c r="E356" t="str">
        <f>IF(COUNTIF($B$2:B356,B356)&gt;1,"Duplicado","Único")</f>
        <v>Único</v>
      </c>
    </row>
    <row r="357" spans="1:5" x14ac:dyDescent="0.25">
      <c r="A357" s="15">
        <v>27955</v>
      </c>
      <c r="B357" s="7">
        <v>1013633038</v>
      </c>
      <c r="C357" s="11">
        <v>45884.475138888898</v>
      </c>
      <c r="D357" s="17" t="s">
        <v>1306</v>
      </c>
      <c r="E357" t="str">
        <f>IF(COUNTIF($B$2:B357,B357)&gt;1,"Duplicado","Único")</f>
        <v>Único</v>
      </c>
    </row>
    <row r="358" spans="1:5" x14ac:dyDescent="0.25">
      <c r="A358" s="15">
        <v>23268</v>
      </c>
      <c r="B358" s="7">
        <v>1013636976</v>
      </c>
      <c r="C358" s="11">
        <v>45842.4362384259</v>
      </c>
      <c r="D358" s="17" t="s">
        <v>1042</v>
      </c>
      <c r="E358" t="str">
        <f>IF(COUNTIF($B$2:B358,B358)&gt;1,"Duplicado","Único")</f>
        <v>Único</v>
      </c>
    </row>
    <row r="359" spans="1:5" x14ac:dyDescent="0.25">
      <c r="A359" s="15">
        <v>49008</v>
      </c>
      <c r="B359" s="7">
        <v>1013641180</v>
      </c>
      <c r="C359" s="11">
        <v>45980.418043981503</v>
      </c>
      <c r="D359" s="17" t="s">
        <v>2604</v>
      </c>
      <c r="E359" t="str">
        <f>IF(COUNTIF($B$2:B359,B359)&gt;1,"Duplicado","Único")</f>
        <v>Único</v>
      </c>
    </row>
    <row r="360" spans="1:5" x14ac:dyDescent="0.25">
      <c r="A360" s="15">
        <v>3932</v>
      </c>
      <c r="B360" s="7">
        <v>1013641694</v>
      </c>
      <c r="C360" s="11">
        <v>46086.779814814799</v>
      </c>
      <c r="D360" s="17" t="s">
        <v>3969</v>
      </c>
      <c r="E360" t="str">
        <f>IF(COUNTIF($B$2:B360,B360)&gt;1,"Duplicado","Único")</f>
        <v>Único</v>
      </c>
    </row>
    <row r="361" spans="1:5" hidden="1" x14ac:dyDescent="0.25">
      <c r="A361" s="15">
        <v>3932</v>
      </c>
      <c r="B361" s="7">
        <v>1013641694</v>
      </c>
      <c r="C361" s="11">
        <v>46055.475092592598</v>
      </c>
      <c r="D361" s="17" t="s">
        <v>3606</v>
      </c>
      <c r="E361" t="str">
        <f>IF(COUNTIF($B$2:B361,B361)&gt;1,"Duplicado","Único")</f>
        <v>Duplicado</v>
      </c>
    </row>
    <row r="362" spans="1:5" x14ac:dyDescent="0.25">
      <c r="A362" s="15">
        <v>16479</v>
      </c>
      <c r="B362" s="7">
        <v>1013645155</v>
      </c>
      <c r="C362" s="11">
        <v>46121.447256944397</v>
      </c>
      <c r="D362" s="17" t="s">
        <v>4385</v>
      </c>
      <c r="E362" t="str">
        <f>IF(COUNTIF($B$2:B362,B362)&gt;1,"Duplicado","Único")</f>
        <v>Único</v>
      </c>
    </row>
    <row r="363" spans="1:5" hidden="1" x14ac:dyDescent="0.25">
      <c r="A363" s="15">
        <v>16479</v>
      </c>
      <c r="B363" s="7">
        <v>1013645155</v>
      </c>
      <c r="C363" s="11">
        <v>46101.8222453704</v>
      </c>
      <c r="D363" s="17" t="s">
        <v>4155</v>
      </c>
      <c r="E363" t="str">
        <f>IF(COUNTIF($B$2:B363,B363)&gt;1,"Duplicado","Único")</f>
        <v>Duplicado</v>
      </c>
    </row>
    <row r="364" spans="1:5" x14ac:dyDescent="0.25">
      <c r="A364" s="15">
        <v>32900</v>
      </c>
      <c r="B364" s="7">
        <v>1013646166</v>
      </c>
      <c r="C364" s="11">
        <v>45910.463275463</v>
      </c>
      <c r="D364" s="17" t="s">
        <v>1649</v>
      </c>
      <c r="E364" t="str">
        <f>IF(COUNTIF($B$2:B364,B364)&gt;1,"Duplicado","Único")</f>
        <v>Único</v>
      </c>
    </row>
    <row r="365" spans="1:5" x14ac:dyDescent="0.25">
      <c r="A365" s="15">
        <v>45814</v>
      </c>
      <c r="B365" s="7">
        <v>1013647920</v>
      </c>
      <c r="C365" s="11">
        <v>45960.645347222198</v>
      </c>
      <c r="D365" s="17" t="s">
        <v>2262</v>
      </c>
      <c r="E365" t="str">
        <f>IF(COUNTIF($B$2:B365,B365)&gt;1,"Duplicado","Único")</f>
        <v>Único</v>
      </c>
    </row>
    <row r="366" spans="1:5" x14ac:dyDescent="0.25">
      <c r="A366" s="15">
        <v>20234</v>
      </c>
      <c r="B366" s="7">
        <v>1013647987</v>
      </c>
      <c r="C366" s="11">
        <v>45819.739050925898</v>
      </c>
      <c r="D366" s="17" t="s">
        <v>869</v>
      </c>
      <c r="E366" t="str">
        <f>IF(COUNTIF($B$2:B366,B366)&gt;1,"Duplicado","Único")</f>
        <v>Único</v>
      </c>
    </row>
    <row r="367" spans="1:5" x14ac:dyDescent="0.25">
      <c r="A367" s="15">
        <v>53053</v>
      </c>
      <c r="B367" s="7">
        <v>1013657187</v>
      </c>
      <c r="C367" s="11">
        <v>46057.369756944398</v>
      </c>
      <c r="D367" s="17" t="s">
        <v>3655</v>
      </c>
      <c r="E367" t="str">
        <f>IF(COUNTIF($B$2:B367,B367)&gt;1,"Duplicado","Único")</f>
        <v>Único</v>
      </c>
    </row>
    <row r="368" spans="1:5" hidden="1" x14ac:dyDescent="0.25">
      <c r="A368" s="15">
        <v>53053</v>
      </c>
      <c r="B368" s="7">
        <v>1013657187</v>
      </c>
      <c r="C368" s="11">
        <v>46013.3644444444</v>
      </c>
      <c r="D368" s="17" t="s">
        <v>2996</v>
      </c>
      <c r="E368" t="str">
        <f>IF(COUNTIF($B$2:B368,B368)&gt;1,"Duplicado","Único")</f>
        <v>Duplicado</v>
      </c>
    </row>
    <row r="369" spans="1:5" x14ac:dyDescent="0.25">
      <c r="A369" s="15">
        <v>32260</v>
      </c>
      <c r="B369" s="7">
        <v>1013660641</v>
      </c>
      <c r="C369" s="11">
        <v>45908.458495370403</v>
      </c>
      <c r="D369" s="17" t="s">
        <v>1604</v>
      </c>
      <c r="E369" t="str">
        <f>IF(COUNTIF($B$2:B369,B369)&gt;1,"Duplicado","Único")</f>
        <v>Único</v>
      </c>
    </row>
    <row r="370" spans="1:5" x14ac:dyDescent="0.25">
      <c r="A370" s="15">
        <v>30100</v>
      </c>
      <c r="B370" s="7">
        <v>1013662838</v>
      </c>
      <c r="C370" s="11">
        <v>45898.4212037037</v>
      </c>
      <c r="D370" s="17" t="s">
        <v>1445</v>
      </c>
      <c r="E370" t="str">
        <f>IF(COUNTIF($B$2:B370,B370)&gt;1,"Duplicado","Único")</f>
        <v>Único</v>
      </c>
    </row>
    <row r="371" spans="1:5" x14ac:dyDescent="0.25">
      <c r="A371" s="15">
        <v>31806</v>
      </c>
      <c r="B371" s="7">
        <v>1013666936</v>
      </c>
      <c r="C371" s="11">
        <v>45905.535497685203</v>
      </c>
      <c r="D371" s="17" t="s">
        <v>1561</v>
      </c>
      <c r="E371" t="str">
        <f>IF(COUNTIF($B$2:B371,B371)&gt;1,"Duplicado","Único")</f>
        <v>Único</v>
      </c>
    </row>
    <row r="372" spans="1:5" x14ac:dyDescent="0.25">
      <c r="A372" s="15">
        <v>20449</v>
      </c>
      <c r="B372" s="7">
        <v>1013677094</v>
      </c>
      <c r="C372" s="11">
        <v>45820.468113425901</v>
      </c>
      <c r="D372" s="17" t="s">
        <v>885</v>
      </c>
      <c r="E372" t="str">
        <f>IF(COUNTIF($B$2:B372,B372)&gt;1,"Duplicado","Único")</f>
        <v>Único</v>
      </c>
    </row>
    <row r="373" spans="1:5" x14ac:dyDescent="0.25">
      <c r="A373" s="15">
        <v>32519</v>
      </c>
      <c r="B373" s="7">
        <v>1013679605</v>
      </c>
      <c r="C373" s="11">
        <v>45909.663067129601</v>
      </c>
      <c r="D373" s="17" t="s">
        <v>1624</v>
      </c>
      <c r="E373" t="str">
        <f>IF(COUNTIF($B$2:B373,B373)&gt;1,"Duplicado","Único")</f>
        <v>Único</v>
      </c>
    </row>
    <row r="374" spans="1:5" x14ac:dyDescent="0.25">
      <c r="A374" s="15">
        <v>49367</v>
      </c>
      <c r="B374" s="7">
        <v>1013688405</v>
      </c>
      <c r="C374" s="11">
        <v>45981.669351851902</v>
      </c>
      <c r="D374" s="17" t="s">
        <v>2647</v>
      </c>
      <c r="E374" t="str">
        <f>IF(COUNTIF($B$2:B374,B374)&gt;1,"Duplicado","Único")</f>
        <v>Único</v>
      </c>
    </row>
    <row r="375" spans="1:5" x14ac:dyDescent="0.25">
      <c r="A375" s="15">
        <v>19826</v>
      </c>
      <c r="B375" s="7">
        <v>1013690885</v>
      </c>
      <c r="C375" s="11">
        <v>45819.397083333301</v>
      </c>
      <c r="D375" s="17" t="s">
        <v>845</v>
      </c>
      <c r="E375" t="str">
        <f>IF(COUNTIF($B$2:B375,B375)&gt;1,"Duplicado","Único")</f>
        <v>Único</v>
      </c>
    </row>
    <row r="376" spans="1:5" x14ac:dyDescent="0.25">
      <c r="A376" s="15">
        <v>2712</v>
      </c>
      <c r="B376" s="7">
        <v>1014183587</v>
      </c>
      <c r="C376" s="11">
        <v>46086.748587962997</v>
      </c>
      <c r="D376" s="17" t="s">
        <v>3939</v>
      </c>
      <c r="E376" t="str">
        <f>IF(COUNTIF($B$2:B376,B376)&gt;1,"Duplicado","Único")</f>
        <v>Único</v>
      </c>
    </row>
    <row r="377" spans="1:5" hidden="1" x14ac:dyDescent="0.25">
      <c r="A377" s="15">
        <v>2712</v>
      </c>
      <c r="B377" s="7">
        <v>1014183587</v>
      </c>
      <c r="C377" s="11">
        <v>46051.659606481502</v>
      </c>
      <c r="D377" s="17" t="s">
        <v>3550</v>
      </c>
      <c r="E377" t="str">
        <f>IF(COUNTIF($B$2:B377,B377)&gt;1,"Duplicado","Único")</f>
        <v>Duplicado</v>
      </c>
    </row>
    <row r="378" spans="1:5" x14ac:dyDescent="0.25">
      <c r="A378" s="15">
        <v>46865</v>
      </c>
      <c r="B378" s="7">
        <v>1014184234</v>
      </c>
      <c r="C378" s="11">
        <v>45967.711354166699</v>
      </c>
      <c r="D378" s="17" t="s">
        <v>2367</v>
      </c>
      <c r="E378" t="str">
        <f>IF(COUNTIF($B$2:B378,B378)&gt;1,"Duplicado","Único")</f>
        <v>Único</v>
      </c>
    </row>
    <row r="379" spans="1:5" x14ac:dyDescent="0.25">
      <c r="A379" s="15">
        <v>31423</v>
      </c>
      <c r="B379" s="7">
        <v>1014186409</v>
      </c>
      <c r="C379" s="11">
        <v>45911.447824074101</v>
      </c>
      <c r="D379" s="17" t="s">
        <v>1668</v>
      </c>
      <c r="E379" t="str">
        <f>IF(COUNTIF($B$2:B379,B379)&gt;1,"Duplicado","Único")</f>
        <v>Único</v>
      </c>
    </row>
    <row r="380" spans="1:5" x14ac:dyDescent="0.25">
      <c r="A380" s="15">
        <v>28705</v>
      </c>
      <c r="B380" s="7">
        <v>1014186460</v>
      </c>
      <c r="C380" s="11">
        <v>45888.637210648201</v>
      </c>
      <c r="D380" s="17" t="s">
        <v>1357</v>
      </c>
      <c r="E380" t="str">
        <f>IF(COUNTIF($B$2:B380,B380)&gt;1,"Duplicado","Único")</f>
        <v>Único</v>
      </c>
    </row>
    <row r="381" spans="1:5" x14ac:dyDescent="0.25">
      <c r="A381" s="15">
        <v>50646</v>
      </c>
      <c r="B381" s="7">
        <v>1014189147</v>
      </c>
      <c r="C381" s="11">
        <v>46050.648263888899</v>
      </c>
      <c r="D381" s="17" t="s">
        <v>3358</v>
      </c>
      <c r="E381" t="str">
        <f>IF(COUNTIF($B$2:B381,B381)&gt;1,"Duplicado","Único")</f>
        <v>Único</v>
      </c>
    </row>
    <row r="382" spans="1:5" hidden="1" x14ac:dyDescent="0.25">
      <c r="A382" s="15">
        <v>50646</v>
      </c>
      <c r="B382" s="7">
        <v>1014189147</v>
      </c>
      <c r="C382" s="11">
        <v>45989.544108796297</v>
      </c>
      <c r="D382" s="17" t="s">
        <v>2794</v>
      </c>
      <c r="E382" t="str">
        <f>IF(COUNTIF($B$2:B382,B382)&gt;1,"Duplicado","Único")</f>
        <v>Duplicado</v>
      </c>
    </row>
    <row r="383" spans="1:5" x14ac:dyDescent="0.25">
      <c r="A383" s="15">
        <v>48678</v>
      </c>
      <c r="B383" s="7">
        <v>1014192793</v>
      </c>
      <c r="C383" s="11">
        <v>45979.391597222202</v>
      </c>
      <c r="D383" s="17" t="s">
        <v>2545</v>
      </c>
      <c r="E383" t="str">
        <f>IF(COUNTIF($B$2:B383,B383)&gt;1,"Duplicado","Único")</f>
        <v>Único</v>
      </c>
    </row>
    <row r="384" spans="1:5" x14ac:dyDescent="0.25">
      <c r="A384" s="15">
        <v>47585</v>
      </c>
      <c r="B384" s="7">
        <v>1014195021</v>
      </c>
      <c r="C384" s="11">
        <v>45972.444803240702</v>
      </c>
      <c r="D384" s="17" t="s">
        <v>2430</v>
      </c>
      <c r="E384" t="str">
        <f>IF(COUNTIF($B$2:B384,B384)&gt;1,"Duplicado","Único")</f>
        <v>Único</v>
      </c>
    </row>
    <row r="385" spans="1:5" x14ac:dyDescent="0.25">
      <c r="A385" s="15">
        <v>32346</v>
      </c>
      <c r="B385" s="7">
        <v>1014196880</v>
      </c>
      <c r="C385" s="11">
        <v>45908.473124999997</v>
      </c>
      <c r="D385" s="17" t="s">
        <v>1605</v>
      </c>
      <c r="E385" t="str">
        <f>IF(COUNTIF($B$2:B385,B385)&gt;1,"Duplicado","Único")</f>
        <v>Único</v>
      </c>
    </row>
    <row r="386" spans="1:5" x14ac:dyDescent="0.25">
      <c r="A386" s="15">
        <v>55694</v>
      </c>
      <c r="B386" s="7">
        <v>1014197222</v>
      </c>
      <c r="C386" s="11">
        <v>46086.662708333301</v>
      </c>
      <c r="D386" s="17" t="s">
        <v>967</v>
      </c>
      <c r="E386" t="str">
        <f>IF(COUNTIF($B$2:B386,B386)&gt;1,"Duplicado","Único")</f>
        <v>Único</v>
      </c>
    </row>
    <row r="387" spans="1:5" hidden="1" x14ac:dyDescent="0.25">
      <c r="A387" s="15">
        <v>55694</v>
      </c>
      <c r="B387" s="7">
        <v>1014197222</v>
      </c>
      <c r="C387" s="11">
        <v>46036.549675925897</v>
      </c>
      <c r="D387" s="17" t="s">
        <v>3175</v>
      </c>
      <c r="E387" t="str">
        <f>IF(COUNTIF($B$2:B387,B387)&gt;1,"Duplicado","Único")</f>
        <v>Duplicado</v>
      </c>
    </row>
    <row r="388" spans="1:5" x14ac:dyDescent="0.25">
      <c r="A388" s="15">
        <v>50569</v>
      </c>
      <c r="B388" s="7">
        <v>1014199122</v>
      </c>
      <c r="C388" s="11">
        <v>46050.649050925902</v>
      </c>
      <c r="D388" s="17" t="s">
        <v>3359</v>
      </c>
      <c r="E388" t="str">
        <f>IF(COUNTIF($B$2:B388,B388)&gt;1,"Duplicado","Único")</f>
        <v>Único</v>
      </c>
    </row>
    <row r="389" spans="1:5" hidden="1" x14ac:dyDescent="0.25">
      <c r="A389" s="15">
        <v>50569</v>
      </c>
      <c r="B389" s="7">
        <v>1014199122</v>
      </c>
      <c r="C389" s="11">
        <v>45989.409675925897</v>
      </c>
      <c r="D389" s="17" t="s">
        <v>2781</v>
      </c>
      <c r="E389" t="str">
        <f>IF(COUNTIF($B$2:B389,B389)&gt;1,"Duplicado","Único")</f>
        <v>Duplicado</v>
      </c>
    </row>
    <row r="390" spans="1:5" x14ac:dyDescent="0.25">
      <c r="A390" s="15">
        <v>25051</v>
      </c>
      <c r="B390" s="7">
        <v>1014205351</v>
      </c>
      <c r="C390" s="11">
        <v>45860.356192129599</v>
      </c>
      <c r="D390" s="17" t="s">
        <v>1109</v>
      </c>
      <c r="E390" t="str">
        <f>IF(COUNTIF($B$2:B390,B390)&gt;1,"Duplicado","Único")</f>
        <v>Único</v>
      </c>
    </row>
    <row r="391" spans="1:5" x14ac:dyDescent="0.25">
      <c r="A391" s="15">
        <v>54182</v>
      </c>
      <c r="B391" s="7">
        <v>1014206133</v>
      </c>
      <c r="C391" s="11">
        <v>46057.370451388902</v>
      </c>
      <c r="D391" s="17" t="s">
        <v>3656</v>
      </c>
      <c r="E391" t="str">
        <f>IF(COUNTIF($B$2:B391,B391)&gt;1,"Duplicado","Único")</f>
        <v>Único</v>
      </c>
    </row>
    <row r="392" spans="1:5" hidden="1" x14ac:dyDescent="0.25">
      <c r="A392" s="15">
        <v>54182</v>
      </c>
      <c r="B392" s="7">
        <v>1014206133</v>
      </c>
      <c r="C392" s="11">
        <v>46013.671712962998</v>
      </c>
      <c r="D392" s="17" t="s">
        <v>3062</v>
      </c>
      <c r="E392" t="str">
        <f>IF(COUNTIF($B$2:B392,B392)&gt;1,"Duplicado","Único")</f>
        <v>Duplicado</v>
      </c>
    </row>
    <row r="393" spans="1:5" x14ac:dyDescent="0.25">
      <c r="A393" s="15">
        <v>22728</v>
      </c>
      <c r="B393" s="7">
        <v>1014211511</v>
      </c>
      <c r="C393" s="11">
        <v>45842.341666666704</v>
      </c>
      <c r="D393" s="17" t="s">
        <v>1029</v>
      </c>
      <c r="E393" t="str">
        <f>IF(COUNTIF($B$2:B393,B393)&gt;1,"Duplicado","Único")</f>
        <v>Único</v>
      </c>
    </row>
    <row r="394" spans="1:5" x14ac:dyDescent="0.25">
      <c r="A394" s="15">
        <v>41267</v>
      </c>
      <c r="B394" s="7">
        <v>1014213881</v>
      </c>
      <c r="C394" s="11">
        <v>45937.320243055598</v>
      </c>
      <c r="D394" s="17" t="s">
        <v>1961</v>
      </c>
      <c r="E394" t="str">
        <f>IF(COUNTIF($B$2:B394,B394)&gt;1,"Duplicado","Único")</f>
        <v>Único</v>
      </c>
    </row>
    <row r="395" spans="1:5" x14ac:dyDescent="0.25">
      <c r="A395" s="15">
        <v>29943</v>
      </c>
      <c r="B395" s="7">
        <v>1014226387</v>
      </c>
      <c r="C395" s="11">
        <v>45898.459259259304</v>
      </c>
      <c r="D395" s="17" t="s">
        <v>1451</v>
      </c>
      <c r="E395" t="str">
        <f>IF(COUNTIF($B$2:B395,B395)&gt;1,"Duplicado","Único")</f>
        <v>Único</v>
      </c>
    </row>
    <row r="396" spans="1:5" x14ac:dyDescent="0.25">
      <c r="A396" s="15">
        <v>26095</v>
      </c>
      <c r="B396" s="7">
        <v>1014229740</v>
      </c>
      <c r="C396" s="11">
        <v>45866.6881712963</v>
      </c>
      <c r="D396" s="17" t="s">
        <v>1171</v>
      </c>
      <c r="E396" t="str">
        <f>IF(COUNTIF($B$2:B396,B396)&gt;1,"Duplicado","Único")</f>
        <v>Único</v>
      </c>
    </row>
    <row r="397" spans="1:5" x14ac:dyDescent="0.25">
      <c r="A397" s="15">
        <v>28430</v>
      </c>
      <c r="B397" s="7">
        <v>1014235136</v>
      </c>
      <c r="C397" s="11">
        <v>45888.499895833302</v>
      </c>
      <c r="D397" s="17" t="s">
        <v>1330</v>
      </c>
      <c r="E397" t="str">
        <f>IF(COUNTIF($B$2:B397,B397)&gt;1,"Duplicado","Único")</f>
        <v>Único</v>
      </c>
    </row>
    <row r="398" spans="1:5" x14ac:dyDescent="0.25">
      <c r="A398" s="15">
        <v>18010</v>
      </c>
      <c r="B398" s="7">
        <v>1014243708</v>
      </c>
      <c r="C398" s="11">
        <v>46149.415613425903</v>
      </c>
      <c r="D398" s="17" t="s">
        <v>4446</v>
      </c>
      <c r="E398" t="str">
        <f>IF(COUNTIF($B$2:B398,B398)&gt;1,"Duplicado","Único")</f>
        <v>Único</v>
      </c>
    </row>
    <row r="399" spans="1:5" hidden="1" x14ac:dyDescent="0.25">
      <c r="A399" s="15">
        <v>18010</v>
      </c>
      <c r="B399" s="7">
        <v>1014243708</v>
      </c>
      <c r="C399" s="11">
        <v>46118.340289351901</v>
      </c>
      <c r="D399" s="17" t="s">
        <v>4242</v>
      </c>
      <c r="E399" t="str">
        <f>IF(COUNTIF($B$2:B399,B399)&gt;1,"Duplicado","Único")</f>
        <v>Duplicado</v>
      </c>
    </row>
    <row r="400" spans="1:5" x14ac:dyDescent="0.25">
      <c r="A400" s="15">
        <v>13810</v>
      </c>
      <c r="B400" s="7">
        <v>1014246794</v>
      </c>
      <c r="C400" s="11">
        <v>46149.647638888899</v>
      </c>
      <c r="D400" s="17" t="s">
        <v>4543</v>
      </c>
      <c r="E400" t="str">
        <f>IF(COUNTIF($B$2:B400,B400)&gt;1,"Duplicado","Único")</f>
        <v>Único</v>
      </c>
    </row>
    <row r="401" spans="1:5" hidden="1" x14ac:dyDescent="0.25">
      <c r="A401" s="15">
        <v>13810</v>
      </c>
      <c r="B401" s="7">
        <v>1014246794</v>
      </c>
      <c r="C401" s="11">
        <v>46085.492928240703</v>
      </c>
      <c r="D401" s="17" t="s">
        <v>3782</v>
      </c>
      <c r="E401" t="str">
        <f>IF(COUNTIF($B$2:B401,B401)&gt;1,"Duplicado","Único")</f>
        <v>Duplicado</v>
      </c>
    </row>
    <row r="402" spans="1:5" x14ac:dyDescent="0.25">
      <c r="A402" s="15">
        <v>20810</v>
      </c>
      <c r="B402" s="7">
        <v>1014250335</v>
      </c>
      <c r="C402" s="11">
        <v>45821.6385069444</v>
      </c>
      <c r="D402" s="17" t="s">
        <v>907</v>
      </c>
      <c r="E402" t="str">
        <f>IF(COUNTIF($B$2:B402,B402)&gt;1,"Duplicado","Único")</f>
        <v>Único</v>
      </c>
    </row>
    <row r="403" spans="1:5" x14ac:dyDescent="0.25">
      <c r="A403" s="15">
        <v>32143</v>
      </c>
      <c r="B403" s="7">
        <v>1014253983</v>
      </c>
      <c r="C403" s="11">
        <v>45908.389826388899</v>
      </c>
      <c r="D403" s="17" t="s">
        <v>1596</v>
      </c>
      <c r="E403" t="str">
        <f>IF(COUNTIF($B$2:B403,B403)&gt;1,"Duplicado","Único")</f>
        <v>Único</v>
      </c>
    </row>
    <row r="404" spans="1:5" x14ac:dyDescent="0.25">
      <c r="A404" s="15">
        <v>50690</v>
      </c>
      <c r="B404" s="7">
        <v>1014256817</v>
      </c>
      <c r="C404" s="11">
        <v>46050.664976851898</v>
      </c>
      <c r="D404" s="17" t="s">
        <v>3377</v>
      </c>
      <c r="E404" t="str">
        <f>IF(COUNTIF($B$2:B404,B404)&gt;1,"Duplicado","Único")</f>
        <v>Único</v>
      </c>
    </row>
    <row r="405" spans="1:5" hidden="1" x14ac:dyDescent="0.25">
      <c r="A405" s="15">
        <v>50690</v>
      </c>
      <c r="B405" s="7">
        <v>1014256817</v>
      </c>
      <c r="C405" s="11">
        <v>45992.3667361111</v>
      </c>
      <c r="D405" s="17" t="s">
        <v>2804</v>
      </c>
      <c r="E405" t="str">
        <f>IF(COUNTIF($B$2:B405,B405)&gt;1,"Duplicado","Único")</f>
        <v>Duplicado</v>
      </c>
    </row>
    <row r="406" spans="1:5" x14ac:dyDescent="0.25">
      <c r="A406" s="15">
        <v>41036</v>
      </c>
      <c r="B406" s="7">
        <v>1014257070</v>
      </c>
      <c r="C406" s="11">
        <v>45937.290891203702</v>
      </c>
      <c r="D406" s="17" t="s">
        <v>1955</v>
      </c>
      <c r="E406" t="str">
        <f>IF(COUNTIF($B$2:B406,B406)&gt;1,"Duplicado","Único")</f>
        <v>Único</v>
      </c>
    </row>
    <row r="407" spans="1:5" x14ac:dyDescent="0.25">
      <c r="A407" s="15">
        <v>42827</v>
      </c>
      <c r="B407" s="7">
        <v>1014259958</v>
      </c>
      <c r="C407" s="11">
        <v>45968.381111111099</v>
      </c>
      <c r="D407" s="17" t="s">
        <v>2373</v>
      </c>
      <c r="E407" t="str">
        <f>IF(COUNTIF($B$2:B407,B407)&gt;1,"Duplicado","Único")</f>
        <v>Único</v>
      </c>
    </row>
    <row r="408" spans="1:5" x14ac:dyDescent="0.25">
      <c r="A408" s="15">
        <v>31933</v>
      </c>
      <c r="B408" s="7">
        <v>1014260546</v>
      </c>
      <c r="C408" s="11">
        <v>45905.654525462996</v>
      </c>
      <c r="D408" s="17" t="s">
        <v>1568</v>
      </c>
      <c r="E408" t="str">
        <f>IF(COUNTIF($B$2:B408,B408)&gt;1,"Duplicado","Único")</f>
        <v>Único</v>
      </c>
    </row>
    <row r="409" spans="1:5" x14ac:dyDescent="0.25">
      <c r="A409" s="15">
        <v>26214</v>
      </c>
      <c r="B409" s="7">
        <v>1014263010</v>
      </c>
      <c r="C409" s="11">
        <v>45875.618252314802</v>
      </c>
      <c r="D409" s="17" t="s">
        <v>1282</v>
      </c>
      <c r="E409" t="str">
        <f>IF(COUNTIF($B$2:B409,B409)&gt;1,"Duplicado","Único")</f>
        <v>Único</v>
      </c>
    </row>
    <row r="410" spans="1:5" hidden="1" x14ac:dyDescent="0.25">
      <c r="A410" s="15">
        <v>26214</v>
      </c>
      <c r="B410" s="7">
        <v>1014263010</v>
      </c>
      <c r="C410" s="11">
        <v>45867.355277777802</v>
      </c>
      <c r="D410" s="17" t="s">
        <v>1178</v>
      </c>
      <c r="E410" t="str">
        <f>IF(COUNTIF($B$2:B410,B410)&gt;1,"Duplicado","Único")</f>
        <v>Duplicado</v>
      </c>
    </row>
    <row r="411" spans="1:5" x14ac:dyDescent="0.25">
      <c r="A411" s="15">
        <v>52389</v>
      </c>
      <c r="B411" s="7">
        <v>1014264044</v>
      </c>
      <c r="C411" s="11">
        <v>46057.346145833297</v>
      </c>
      <c r="D411" s="17" t="s">
        <v>3627</v>
      </c>
      <c r="E411" t="str">
        <f>IF(COUNTIF($B$2:B411,B411)&gt;1,"Duplicado","Único")</f>
        <v>Único</v>
      </c>
    </row>
    <row r="412" spans="1:5" hidden="1" x14ac:dyDescent="0.25">
      <c r="A412" s="15">
        <v>52389</v>
      </c>
      <c r="B412" s="7">
        <v>1014264044</v>
      </c>
      <c r="C412" s="11">
        <v>46009.4312152778</v>
      </c>
      <c r="D412" s="17" t="s">
        <v>2982</v>
      </c>
      <c r="E412" t="str">
        <f>IF(COUNTIF($B$2:B412,B412)&gt;1,"Duplicado","Único")</f>
        <v>Duplicado</v>
      </c>
    </row>
    <row r="413" spans="1:5" x14ac:dyDescent="0.25">
      <c r="A413" s="15">
        <v>16448</v>
      </c>
      <c r="B413" s="7">
        <v>1014267848</v>
      </c>
      <c r="C413" s="11">
        <v>46121.448564814797</v>
      </c>
      <c r="D413" s="17" t="s">
        <v>4386</v>
      </c>
      <c r="E413" t="str">
        <f>IF(COUNTIF($B$2:B413,B413)&gt;1,"Duplicado","Único")</f>
        <v>Único</v>
      </c>
    </row>
    <row r="414" spans="1:5" hidden="1" x14ac:dyDescent="0.25">
      <c r="A414" s="15">
        <v>16448</v>
      </c>
      <c r="B414" s="7">
        <v>1014267848</v>
      </c>
      <c r="C414" s="11">
        <v>46101.817939814799</v>
      </c>
      <c r="D414" s="17" t="s">
        <v>4148</v>
      </c>
      <c r="E414" t="str">
        <f>IF(COUNTIF($B$2:B414,B414)&gt;1,"Duplicado","Único")</f>
        <v>Duplicado</v>
      </c>
    </row>
    <row r="415" spans="1:5" x14ac:dyDescent="0.25">
      <c r="A415" s="15">
        <v>50921</v>
      </c>
      <c r="B415" s="7">
        <v>1014271795</v>
      </c>
      <c r="C415" s="11">
        <v>46050.6655439815</v>
      </c>
      <c r="D415" s="17" t="s">
        <v>3378</v>
      </c>
      <c r="E415" t="str">
        <f>IF(COUNTIF($B$2:B415,B415)&gt;1,"Duplicado","Único")</f>
        <v>Único</v>
      </c>
    </row>
    <row r="416" spans="1:5" hidden="1" x14ac:dyDescent="0.25">
      <c r="A416" s="15">
        <v>50921</v>
      </c>
      <c r="B416" s="7">
        <v>1014271795</v>
      </c>
      <c r="C416" s="11">
        <v>45992.643819444398</v>
      </c>
      <c r="D416" s="17" t="s">
        <v>2827</v>
      </c>
      <c r="E416" t="str">
        <f>IF(COUNTIF($B$2:B416,B416)&gt;1,"Duplicado","Único")</f>
        <v>Duplicado</v>
      </c>
    </row>
    <row r="417" spans="1:5" x14ac:dyDescent="0.25">
      <c r="A417" s="15">
        <v>42075</v>
      </c>
      <c r="B417" s="7">
        <v>1014276428</v>
      </c>
      <c r="C417" s="11">
        <v>45950.703101851897</v>
      </c>
      <c r="D417" s="17" t="s">
        <v>2009</v>
      </c>
      <c r="E417" t="str">
        <f>IF(COUNTIF($B$2:B417,B417)&gt;1,"Duplicado","Único")</f>
        <v>Único</v>
      </c>
    </row>
    <row r="418" spans="1:5" x14ac:dyDescent="0.25">
      <c r="A418" s="15">
        <v>24714</v>
      </c>
      <c r="B418" s="7">
        <v>1014278343</v>
      </c>
      <c r="C418" s="11">
        <v>45859.380543981497</v>
      </c>
      <c r="D418" s="17" t="s">
        <v>1093</v>
      </c>
      <c r="E418" t="str">
        <f>IF(COUNTIF($B$2:B418,B418)&gt;1,"Duplicado","Único")</f>
        <v>Único</v>
      </c>
    </row>
    <row r="419" spans="1:5" x14ac:dyDescent="0.25">
      <c r="A419" s="15">
        <v>20784</v>
      </c>
      <c r="B419" s="7">
        <v>1014284667</v>
      </c>
      <c r="C419" s="11">
        <v>45821.623622685198</v>
      </c>
      <c r="D419" s="17" t="s">
        <v>904</v>
      </c>
      <c r="E419" t="str">
        <f>IF(COUNTIF($B$2:B419,B419)&gt;1,"Duplicado","Único")</f>
        <v>Único</v>
      </c>
    </row>
    <row r="420" spans="1:5" x14ac:dyDescent="0.25">
      <c r="A420" s="15">
        <v>15940</v>
      </c>
      <c r="B420" s="7">
        <v>1014294602</v>
      </c>
      <c r="C420" s="11">
        <v>46121.450081018498</v>
      </c>
      <c r="D420" s="17" t="s">
        <v>4387</v>
      </c>
      <c r="E420" t="str">
        <f>IF(COUNTIF($B$2:B420,B420)&gt;1,"Duplicado","Único")</f>
        <v>Único</v>
      </c>
    </row>
    <row r="421" spans="1:5" hidden="1" x14ac:dyDescent="0.25">
      <c r="A421" s="15">
        <v>15940</v>
      </c>
      <c r="B421" s="7">
        <v>1014294602</v>
      </c>
      <c r="C421" s="11">
        <v>46101.697569444397</v>
      </c>
      <c r="D421" s="17" t="s">
        <v>4120</v>
      </c>
      <c r="E421" t="str">
        <f>IF(COUNTIF($B$2:B421,B421)&gt;1,"Duplicado","Único")</f>
        <v>Duplicado</v>
      </c>
    </row>
    <row r="422" spans="1:5" x14ac:dyDescent="0.25">
      <c r="A422" s="15">
        <v>26474</v>
      </c>
      <c r="B422" s="7">
        <v>1014303298</v>
      </c>
      <c r="C422" s="11">
        <v>45867.501956018503</v>
      </c>
      <c r="D422" s="17" t="s">
        <v>1206</v>
      </c>
      <c r="E422" t="str">
        <f>IF(COUNTIF($B$2:B422,B422)&gt;1,"Duplicado","Único")</f>
        <v>Único</v>
      </c>
    </row>
    <row r="423" spans="1:5" x14ac:dyDescent="0.25">
      <c r="A423" s="15">
        <v>50999</v>
      </c>
      <c r="B423" s="7">
        <v>1015393985</v>
      </c>
      <c r="C423" s="11">
        <v>46050.6879050926</v>
      </c>
      <c r="D423" s="17" t="s">
        <v>3407</v>
      </c>
      <c r="E423" t="str">
        <f>IF(COUNTIF($B$2:B423,B423)&gt;1,"Duplicado","Único")</f>
        <v>Único</v>
      </c>
    </row>
    <row r="424" spans="1:5" hidden="1" x14ac:dyDescent="0.25">
      <c r="A424" s="15">
        <v>50999</v>
      </c>
      <c r="B424" s="7">
        <v>1015393985</v>
      </c>
      <c r="C424" s="11">
        <v>46000.695891203701</v>
      </c>
      <c r="D424" s="17" t="s">
        <v>2848</v>
      </c>
      <c r="E424" t="str">
        <f>IF(COUNTIF($B$2:B424,B424)&gt;1,"Duplicado","Único")</f>
        <v>Duplicado</v>
      </c>
    </row>
    <row r="425" spans="1:5" x14ac:dyDescent="0.25">
      <c r="A425" s="15">
        <v>16017</v>
      </c>
      <c r="B425" s="7">
        <v>1015411920</v>
      </c>
      <c r="C425" s="11">
        <v>46121.450613425899</v>
      </c>
      <c r="D425" s="17" t="s">
        <v>4388</v>
      </c>
      <c r="E425" t="str">
        <f>IF(COUNTIF($B$2:B425,B425)&gt;1,"Duplicado","Único")</f>
        <v>Único</v>
      </c>
    </row>
    <row r="426" spans="1:5" hidden="1" x14ac:dyDescent="0.25">
      <c r="A426" s="15">
        <v>16017</v>
      </c>
      <c r="B426" s="7">
        <v>1015411920</v>
      </c>
      <c r="C426" s="11">
        <v>46101.710405092599</v>
      </c>
      <c r="D426" s="17" t="s">
        <v>4124</v>
      </c>
      <c r="E426" t="str">
        <f>IF(COUNTIF($B$2:B426,B426)&gt;1,"Duplicado","Único")</f>
        <v>Duplicado</v>
      </c>
    </row>
    <row r="427" spans="1:5" x14ac:dyDescent="0.25">
      <c r="A427" s="15">
        <v>47026</v>
      </c>
      <c r="B427" s="7">
        <v>1015420923</v>
      </c>
      <c r="C427" s="11">
        <v>45968.409525463001</v>
      </c>
      <c r="D427" s="17" t="s">
        <v>2384</v>
      </c>
      <c r="E427" t="str">
        <f>IF(COUNTIF($B$2:B427,B427)&gt;1,"Duplicado","Único")</f>
        <v>Único</v>
      </c>
    </row>
    <row r="428" spans="1:5" x14ac:dyDescent="0.25">
      <c r="A428" s="15">
        <v>48836</v>
      </c>
      <c r="B428" s="7">
        <v>1015423697</v>
      </c>
      <c r="C428" s="11">
        <v>45980.415960648097</v>
      </c>
      <c r="D428" s="17" t="s">
        <v>2603</v>
      </c>
      <c r="E428" t="str">
        <f>IF(COUNTIF($B$2:B428,B428)&gt;1,"Duplicado","Único")</f>
        <v>Único</v>
      </c>
    </row>
    <row r="429" spans="1:5" x14ac:dyDescent="0.25">
      <c r="A429" s="15">
        <v>48410</v>
      </c>
      <c r="B429" s="7">
        <v>1015430940</v>
      </c>
      <c r="C429" s="11">
        <v>45975.686631944402</v>
      </c>
      <c r="D429" s="17" t="s">
        <v>2535</v>
      </c>
      <c r="E429" t="str">
        <f>IF(COUNTIF($B$2:B429,B429)&gt;1,"Duplicado","Único")</f>
        <v>Único</v>
      </c>
    </row>
    <row r="430" spans="1:5" x14ac:dyDescent="0.25">
      <c r="A430" s="15">
        <v>38563</v>
      </c>
      <c r="B430" s="7">
        <v>1015435247</v>
      </c>
      <c r="C430" s="11">
        <v>45926.409016203703</v>
      </c>
      <c r="D430" s="17" t="s">
        <v>1838</v>
      </c>
      <c r="E430" t="str">
        <f>IF(COUNTIF($B$2:B430,B430)&gt;1,"Duplicado","Único")</f>
        <v>Único</v>
      </c>
    </row>
    <row r="431" spans="1:5" x14ac:dyDescent="0.25">
      <c r="A431" s="15">
        <v>22183</v>
      </c>
      <c r="B431" s="7">
        <v>1015436013</v>
      </c>
      <c r="C431" s="11">
        <v>45835.688229166699</v>
      </c>
      <c r="D431" s="17" t="s">
        <v>993</v>
      </c>
      <c r="E431" t="str">
        <f>IF(COUNTIF($B$2:B431,B431)&gt;1,"Duplicado","Único")</f>
        <v>Único</v>
      </c>
    </row>
    <row r="432" spans="1:5" x14ac:dyDescent="0.25">
      <c r="A432" s="15">
        <v>14964</v>
      </c>
      <c r="B432" s="7">
        <v>1015436436</v>
      </c>
      <c r="C432" s="11">
        <v>46120.630706018499</v>
      </c>
      <c r="D432" s="17" t="s">
        <v>4310</v>
      </c>
      <c r="E432" t="str">
        <f>IF(COUNTIF($B$2:B432,B432)&gt;1,"Duplicado","Único")</f>
        <v>Único</v>
      </c>
    </row>
    <row r="433" spans="1:5" hidden="1" x14ac:dyDescent="0.25">
      <c r="A433" s="15">
        <v>14964</v>
      </c>
      <c r="B433" s="7">
        <v>1015436436</v>
      </c>
      <c r="C433" s="11">
        <v>46094.491620370398</v>
      </c>
      <c r="D433" s="17" t="s">
        <v>4051</v>
      </c>
      <c r="E433" t="str">
        <f>IF(COUNTIF($B$2:B433,B433)&gt;1,"Duplicado","Único")</f>
        <v>Duplicado</v>
      </c>
    </row>
    <row r="434" spans="1:5" x14ac:dyDescent="0.25">
      <c r="A434" s="15">
        <v>17268</v>
      </c>
      <c r="B434" s="7">
        <v>1015447001</v>
      </c>
      <c r="C434" s="11">
        <v>45790.5066898148</v>
      </c>
      <c r="D434" s="17" t="s">
        <v>691</v>
      </c>
      <c r="E434" t="str">
        <f>IF(COUNTIF($B$2:B434,B434)&gt;1,"Duplicado","Único")</f>
        <v>Único</v>
      </c>
    </row>
    <row r="435" spans="1:5" x14ac:dyDescent="0.25">
      <c r="A435" s="15">
        <v>3399</v>
      </c>
      <c r="B435" s="7">
        <v>1015452585</v>
      </c>
      <c r="C435" s="11">
        <v>46086.780405092599</v>
      </c>
      <c r="D435" s="17" t="s">
        <v>3970</v>
      </c>
      <c r="E435" t="str">
        <f>IF(COUNTIF($B$2:B435,B435)&gt;1,"Duplicado","Único")</f>
        <v>Único</v>
      </c>
    </row>
    <row r="436" spans="1:5" hidden="1" x14ac:dyDescent="0.25">
      <c r="A436" s="15">
        <v>3399</v>
      </c>
      <c r="B436" s="7">
        <v>1015452585</v>
      </c>
      <c r="C436" s="11">
        <v>46055.469699074099</v>
      </c>
      <c r="D436" s="17" t="s">
        <v>3605</v>
      </c>
      <c r="E436" t="str">
        <f>IF(COUNTIF($B$2:B436,B436)&gt;1,"Duplicado","Único")</f>
        <v>Duplicado</v>
      </c>
    </row>
    <row r="437" spans="1:5" x14ac:dyDescent="0.25">
      <c r="A437" s="15">
        <v>30848</v>
      </c>
      <c r="B437" s="7">
        <v>1015453615</v>
      </c>
      <c r="C437" s="11">
        <v>45898.682500000003</v>
      </c>
      <c r="D437" s="17" t="s">
        <v>1470</v>
      </c>
      <c r="E437" t="str">
        <f>IF(COUNTIF($B$2:B437,B437)&gt;1,"Duplicado","Único")</f>
        <v>Único</v>
      </c>
    </row>
    <row r="438" spans="1:5" x14ac:dyDescent="0.25">
      <c r="A438" s="15">
        <v>52157</v>
      </c>
      <c r="B438" s="7">
        <v>1015459475</v>
      </c>
      <c r="C438" s="11">
        <v>46051.512256944399</v>
      </c>
      <c r="D438" s="17" t="s">
        <v>3513</v>
      </c>
      <c r="E438" t="str">
        <f>IF(COUNTIF($B$2:B438,B438)&gt;1,"Duplicado","Único")</f>
        <v>Único</v>
      </c>
    </row>
    <row r="439" spans="1:5" hidden="1" x14ac:dyDescent="0.25">
      <c r="A439" s="15">
        <v>52157</v>
      </c>
      <c r="B439" s="7">
        <v>1015459475</v>
      </c>
      <c r="C439" s="11">
        <v>46007.472280092603</v>
      </c>
      <c r="D439" s="17" t="s">
        <v>2940</v>
      </c>
      <c r="E439" t="str">
        <f>IF(COUNTIF($B$2:B439,B439)&gt;1,"Duplicado","Único")</f>
        <v>Duplicado</v>
      </c>
    </row>
    <row r="440" spans="1:5" x14ac:dyDescent="0.25">
      <c r="A440" s="15">
        <v>32065</v>
      </c>
      <c r="B440" s="7">
        <v>1015466512</v>
      </c>
      <c r="C440" s="11">
        <v>45908.3680439815</v>
      </c>
      <c r="D440" s="17" t="s">
        <v>1589</v>
      </c>
      <c r="E440" t="str">
        <f>IF(COUNTIF($B$2:B440,B440)&gt;1,"Duplicado","Único")</f>
        <v>Único</v>
      </c>
    </row>
    <row r="441" spans="1:5" x14ac:dyDescent="0.25">
      <c r="A441" s="15">
        <v>27771</v>
      </c>
      <c r="B441" s="7">
        <v>1015473847</v>
      </c>
      <c r="C441" s="11">
        <v>45884.387384259302</v>
      </c>
      <c r="D441" s="17" t="s">
        <v>1302</v>
      </c>
      <c r="E441" t="str">
        <f>IF(COUNTIF($B$2:B441,B441)&gt;1,"Duplicado","Único")</f>
        <v>Único</v>
      </c>
    </row>
    <row r="442" spans="1:5" x14ac:dyDescent="0.25">
      <c r="A442" s="15">
        <v>3171</v>
      </c>
      <c r="B442" s="7">
        <v>1015479764</v>
      </c>
      <c r="C442" s="11">
        <v>46086.780949074098</v>
      </c>
      <c r="D442" s="17" t="s">
        <v>3971</v>
      </c>
      <c r="E442" t="str">
        <f>IF(COUNTIF($B$2:B442,B442)&gt;1,"Duplicado","Único")</f>
        <v>Único</v>
      </c>
    </row>
    <row r="443" spans="1:5" hidden="1" x14ac:dyDescent="0.25">
      <c r="A443" s="15">
        <v>3171</v>
      </c>
      <c r="B443" s="7">
        <v>1015479764</v>
      </c>
      <c r="C443" s="11">
        <v>46055.409895833298</v>
      </c>
      <c r="D443" s="17" t="s">
        <v>3586</v>
      </c>
      <c r="E443" t="str">
        <f>IF(COUNTIF($B$2:B443,B443)&gt;1,"Duplicado","Único")</f>
        <v>Duplicado</v>
      </c>
    </row>
    <row r="444" spans="1:5" x14ac:dyDescent="0.25">
      <c r="A444" s="15">
        <v>25927</v>
      </c>
      <c r="B444" s="7">
        <v>1015485571</v>
      </c>
      <c r="C444" s="11">
        <v>45866.621863425898</v>
      </c>
      <c r="D444" s="17" t="s">
        <v>1155</v>
      </c>
      <c r="E444" t="str">
        <f>IF(COUNTIF($B$2:B444,B444)&gt;1,"Duplicado","Único")</f>
        <v>Único</v>
      </c>
    </row>
    <row r="445" spans="1:5" x14ac:dyDescent="0.25">
      <c r="A445" s="15">
        <v>40987</v>
      </c>
      <c r="B445" s="7">
        <v>1015996807</v>
      </c>
      <c r="C445" s="11">
        <v>45936.491759259297</v>
      </c>
      <c r="D445" s="17" t="s">
        <v>1949</v>
      </c>
      <c r="E445" t="str">
        <f>IF(COUNTIF($B$2:B445,B445)&gt;1,"Duplicado","Único")</f>
        <v>Único</v>
      </c>
    </row>
    <row r="446" spans="1:5" x14ac:dyDescent="0.25">
      <c r="A446" s="15">
        <v>47776</v>
      </c>
      <c r="B446" s="7">
        <v>1016001838</v>
      </c>
      <c r="C446" s="11">
        <v>45973.653148148202</v>
      </c>
      <c r="D446" s="17" t="s">
        <v>2462</v>
      </c>
      <c r="E446" t="str">
        <f>IF(COUNTIF($B$2:B446,B446)&gt;1,"Duplicado","Único")</f>
        <v>Único</v>
      </c>
    </row>
    <row r="447" spans="1:5" x14ac:dyDescent="0.25">
      <c r="A447" s="15">
        <v>18319</v>
      </c>
      <c r="B447" s="7">
        <v>1016015228</v>
      </c>
      <c r="C447" s="11">
        <v>45800.611481481501</v>
      </c>
      <c r="D447" s="17" t="s">
        <v>757</v>
      </c>
      <c r="E447" t="str">
        <f>IF(COUNTIF($B$2:B447,B447)&gt;1,"Duplicado","Único")</f>
        <v>Único</v>
      </c>
    </row>
    <row r="448" spans="1:5" x14ac:dyDescent="0.25">
      <c r="A448" s="15">
        <v>33874</v>
      </c>
      <c r="B448" s="7">
        <v>1016019685</v>
      </c>
      <c r="C448" s="11">
        <v>45916.404837962997</v>
      </c>
      <c r="D448" s="17" t="s">
        <v>1716</v>
      </c>
      <c r="E448" t="str">
        <f>IF(COUNTIF($B$2:B448,B448)&gt;1,"Duplicado","Único")</f>
        <v>Único</v>
      </c>
    </row>
    <row r="449" spans="1:5" x14ac:dyDescent="0.25">
      <c r="A449" s="15">
        <v>40637</v>
      </c>
      <c r="B449" s="7">
        <v>1016028139</v>
      </c>
      <c r="C449" s="11">
        <v>45936.403530092597</v>
      </c>
      <c r="D449" s="17" t="s">
        <v>1934</v>
      </c>
      <c r="E449" t="str">
        <f>IF(COUNTIF($B$2:B449,B449)&gt;1,"Duplicado","Único")</f>
        <v>Único</v>
      </c>
    </row>
    <row r="450" spans="1:5" x14ac:dyDescent="0.25">
      <c r="A450" s="15">
        <v>7617</v>
      </c>
      <c r="B450" s="7">
        <v>1016029320</v>
      </c>
      <c r="C450" s="11">
        <v>46122.440509259301</v>
      </c>
      <c r="D450" s="17" t="s">
        <v>4428</v>
      </c>
      <c r="E450" t="str">
        <f>IF(COUNTIF($B$2:B450,B450)&gt;1,"Duplicado","Único")</f>
        <v>Único</v>
      </c>
    </row>
    <row r="451" spans="1:5" hidden="1" x14ac:dyDescent="0.25">
      <c r="A451" s="15">
        <v>7617</v>
      </c>
      <c r="B451" s="7">
        <v>1016029320</v>
      </c>
      <c r="C451" s="11">
        <v>46071.623217592598</v>
      </c>
      <c r="D451" s="17" t="s">
        <v>3761</v>
      </c>
      <c r="E451" t="str">
        <f>IF(COUNTIF($B$2:B451,B451)&gt;1,"Duplicado","Único")</f>
        <v>Duplicado</v>
      </c>
    </row>
    <row r="452" spans="1:5" x14ac:dyDescent="0.25">
      <c r="A452" s="15">
        <v>14971</v>
      </c>
      <c r="B452" s="7">
        <v>1016035426</v>
      </c>
      <c r="C452" s="11">
        <v>46120.6315509259</v>
      </c>
      <c r="D452" s="17" t="s">
        <v>4311</v>
      </c>
      <c r="E452" t="str">
        <f>IF(COUNTIF($B$2:B452,B452)&gt;1,"Duplicado","Único")</f>
        <v>Único</v>
      </c>
    </row>
    <row r="453" spans="1:5" hidden="1" x14ac:dyDescent="0.25">
      <c r="A453" s="15">
        <v>14971</v>
      </c>
      <c r="B453" s="7">
        <v>1016035426</v>
      </c>
      <c r="C453" s="11">
        <v>46094.492465277799</v>
      </c>
      <c r="D453" s="17" t="s">
        <v>4053</v>
      </c>
      <c r="E453" t="str">
        <f>IF(COUNTIF($B$2:B453,B453)&gt;1,"Duplicado","Único")</f>
        <v>Duplicado</v>
      </c>
    </row>
    <row r="454" spans="1:5" x14ac:dyDescent="0.25">
      <c r="A454" s="15">
        <v>22748</v>
      </c>
      <c r="B454" s="7">
        <v>1016038171</v>
      </c>
      <c r="C454" s="11">
        <v>45842.342523148101</v>
      </c>
      <c r="D454" s="17" t="s">
        <v>1030</v>
      </c>
      <c r="E454" t="str">
        <f>IF(COUNTIF($B$2:B454,B454)&gt;1,"Duplicado","Único")</f>
        <v>Único</v>
      </c>
    </row>
    <row r="455" spans="1:5" x14ac:dyDescent="0.25">
      <c r="A455" s="15">
        <v>32304</v>
      </c>
      <c r="B455" s="7">
        <v>1016038800</v>
      </c>
      <c r="C455" s="11">
        <v>45908.503391203703</v>
      </c>
      <c r="D455" s="17" t="s">
        <v>1607</v>
      </c>
      <c r="E455" t="str">
        <f>IF(COUNTIF($B$2:B455,B455)&gt;1,"Duplicado","Único")</f>
        <v>Único</v>
      </c>
    </row>
    <row r="456" spans="1:5" x14ac:dyDescent="0.25">
      <c r="A456" s="15">
        <v>52247</v>
      </c>
      <c r="B456" s="7">
        <v>1016044158</v>
      </c>
      <c r="C456" s="11">
        <v>46051.512847222199</v>
      </c>
      <c r="D456" s="17" t="s">
        <v>3514</v>
      </c>
      <c r="E456" t="str">
        <f>IF(COUNTIF($B$2:B456,B456)&gt;1,"Duplicado","Único")</f>
        <v>Único</v>
      </c>
    </row>
    <row r="457" spans="1:5" hidden="1" x14ac:dyDescent="0.25">
      <c r="A457" s="15">
        <v>52247</v>
      </c>
      <c r="B457" s="7">
        <v>1016044158</v>
      </c>
      <c r="C457" s="11">
        <v>46007.495092592602</v>
      </c>
      <c r="D457" s="17" t="s">
        <v>2951</v>
      </c>
      <c r="E457" t="str">
        <f>IF(COUNTIF($B$2:B457,B457)&gt;1,"Duplicado","Único")</f>
        <v>Duplicado</v>
      </c>
    </row>
    <row r="458" spans="1:5" x14ac:dyDescent="0.25">
      <c r="A458" s="15">
        <v>27157</v>
      </c>
      <c r="B458" s="7">
        <v>1016050201</v>
      </c>
      <c r="C458" s="11">
        <v>45874.450185185196</v>
      </c>
      <c r="D458" s="17" t="s">
        <v>1247</v>
      </c>
      <c r="E458" t="str">
        <f>IF(COUNTIF($B$2:B458,B458)&gt;1,"Duplicado","Único")</f>
        <v>Único</v>
      </c>
    </row>
    <row r="459" spans="1:5" x14ac:dyDescent="0.25">
      <c r="A459" s="15">
        <v>30907</v>
      </c>
      <c r="B459" s="7">
        <v>1016059163</v>
      </c>
      <c r="C459" s="11">
        <v>45911.434131944399</v>
      </c>
      <c r="D459" s="17" t="s">
        <v>1663</v>
      </c>
      <c r="E459" t="str">
        <f>IF(COUNTIF($B$2:B459,B459)&gt;1,"Duplicado","Único")</f>
        <v>Único</v>
      </c>
    </row>
    <row r="460" spans="1:5" x14ac:dyDescent="0.25">
      <c r="A460" s="15">
        <v>48009</v>
      </c>
      <c r="B460" s="7">
        <v>1016059637</v>
      </c>
      <c r="C460" s="11">
        <v>45974.3745486111</v>
      </c>
      <c r="D460" s="17" t="s">
        <v>2487</v>
      </c>
      <c r="E460" t="str">
        <f>IF(COUNTIF($B$2:B460,B460)&gt;1,"Duplicado","Único")</f>
        <v>Único</v>
      </c>
    </row>
    <row r="461" spans="1:5" x14ac:dyDescent="0.25">
      <c r="A461" s="15">
        <v>32981</v>
      </c>
      <c r="B461" s="7">
        <v>1016062324</v>
      </c>
      <c r="C461" s="11">
        <v>45911.452685185199</v>
      </c>
      <c r="D461" s="17" t="s">
        <v>1669</v>
      </c>
      <c r="E461" t="str">
        <f>IF(COUNTIF($B$2:B461,B461)&gt;1,"Duplicado","Único")</f>
        <v>Único</v>
      </c>
    </row>
    <row r="462" spans="1:5" x14ac:dyDescent="0.25">
      <c r="A462" s="15">
        <v>20331</v>
      </c>
      <c r="B462" s="7">
        <v>1016069150</v>
      </c>
      <c r="C462" s="11">
        <v>45860.493472222202</v>
      </c>
      <c r="D462" s="17" t="s">
        <v>1137</v>
      </c>
      <c r="E462" t="str">
        <f>IF(COUNTIF($B$2:B462,B462)&gt;1,"Duplicado","Único")</f>
        <v>Único</v>
      </c>
    </row>
    <row r="463" spans="1:5" hidden="1" x14ac:dyDescent="0.25">
      <c r="A463" s="15">
        <v>20331</v>
      </c>
      <c r="B463" s="7">
        <v>1016069150</v>
      </c>
      <c r="C463" s="11">
        <v>45820.431099537003</v>
      </c>
      <c r="D463" s="17" t="s">
        <v>878</v>
      </c>
      <c r="E463" t="str">
        <f>IF(COUNTIF($B$2:B463,B463)&gt;1,"Duplicado","Único")</f>
        <v>Duplicado</v>
      </c>
    </row>
    <row r="464" spans="1:5" x14ac:dyDescent="0.25">
      <c r="A464" s="15">
        <v>20045</v>
      </c>
      <c r="B464" s="7">
        <v>1016072738</v>
      </c>
      <c r="C464" s="11">
        <v>45819.680428240703</v>
      </c>
      <c r="D464" s="17" t="s">
        <v>858</v>
      </c>
      <c r="E464" t="str">
        <f>IF(COUNTIF($B$2:B464,B464)&gt;1,"Duplicado","Único")</f>
        <v>Único</v>
      </c>
    </row>
    <row r="465" spans="1:5" x14ac:dyDescent="0.25">
      <c r="A465" s="15">
        <v>42465</v>
      </c>
      <c r="B465" s="7">
        <v>1016074714</v>
      </c>
      <c r="C465" s="11">
        <v>45954.479849536998</v>
      </c>
      <c r="D465" s="17" t="s">
        <v>2060</v>
      </c>
      <c r="E465" t="str">
        <f>IF(COUNTIF($B$2:B465,B465)&gt;1,"Duplicado","Único")</f>
        <v>Único</v>
      </c>
    </row>
    <row r="466" spans="1:5" hidden="1" x14ac:dyDescent="0.25">
      <c r="A466" s="15">
        <v>42465</v>
      </c>
      <c r="B466" s="7">
        <v>1016074714</v>
      </c>
      <c r="C466" s="11">
        <v>45951.614212963003</v>
      </c>
      <c r="D466" s="17" t="s">
        <v>2028</v>
      </c>
      <c r="E466" t="str">
        <f>IF(COUNTIF($B$2:B466,B466)&gt;1,"Duplicado","Único")</f>
        <v>Duplicado</v>
      </c>
    </row>
    <row r="467" spans="1:5" x14ac:dyDescent="0.25">
      <c r="A467" s="15">
        <v>32039</v>
      </c>
      <c r="B467" s="7">
        <v>1016089716</v>
      </c>
      <c r="C467" s="11">
        <v>45908.363541666702</v>
      </c>
      <c r="D467" s="17" t="s">
        <v>1585</v>
      </c>
      <c r="E467" t="str">
        <f>IF(COUNTIF($B$2:B467,B467)&gt;1,"Duplicado","Único")</f>
        <v>Único</v>
      </c>
    </row>
    <row r="468" spans="1:5" x14ac:dyDescent="0.25">
      <c r="A468" s="15">
        <v>17940</v>
      </c>
      <c r="B468" s="7">
        <v>1016096345</v>
      </c>
      <c r="C468" s="11">
        <v>45797.741192129601</v>
      </c>
      <c r="D468" s="17" t="s">
        <v>736</v>
      </c>
      <c r="E468" t="str">
        <f>IF(COUNTIF($B$2:B468,B468)&gt;1,"Duplicado","Único")</f>
        <v>Único</v>
      </c>
    </row>
    <row r="469" spans="1:5" x14ac:dyDescent="0.25">
      <c r="A469" s="15">
        <v>42839</v>
      </c>
      <c r="B469" s="7">
        <v>1016096653</v>
      </c>
      <c r="C469" s="11">
        <v>45954.599293981497</v>
      </c>
      <c r="D469" s="17" t="s">
        <v>2067</v>
      </c>
      <c r="E469" t="str">
        <f>IF(COUNTIF($B$2:B469,B469)&gt;1,"Duplicado","Único")</f>
        <v>Único</v>
      </c>
    </row>
    <row r="470" spans="1:5" x14ac:dyDescent="0.25">
      <c r="A470" s="15">
        <v>48337</v>
      </c>
      <c r="B470" s="7">
        <v>1016102968</v>
      </c>
      <c r="C470" s="11">
        <v>45975.675671296303</v>
      </c>
      <c r="D470" s="17" t="s">
        <v>2528</v>
      </c>
      <c r="E470" t="str">
        <f>IF(COUNTIF($B$2:B470,B470)&gt;1,"Duplicado","Único")</f>
        <v>Único</v>
      </c>
    </row>
    <row r="471" spans="1:5" x14ac:dyDescent="0.25">
      <c r="A471" s="15">
        <v>17861</v>
      </c>
      <c r="B471" s="7">
        <v>1016110319</v>
      </c>
      <c r="C471" s="11">
        <v>45813.491400462997</v>
      </c>
      <c r="D471" s="17" t="s">
        <v>802</v>
      </c>
      <c r="E471" t="str">
        <f>IF(COUNTIF($B$2:B471,B471)&gt;1,"Duplicado","Único")</f>
        <v>Único</v>
      </c>
    </row>
    <row r="472" spans="1:5" hidden="1" x14ac:dyDescent="0.25">
      <c r="A472" s="15">
        <v>17861</v>
      </c>
      <c r="B472" s="7">
        <v>1016110319</v>
      </c>
      <c r="C472" s="11">
        <v>45804.407210648104</v>
      </c>
      <c r="D472" s="17" t="s">
        <v>781</v>
      </c>
      <c r="E472" t="str">
        <f>IF(COUNTIF($B$2:B472,B472)&gt;1,"Duplicado","Único")</f>
        <v>Duplicado</v>
      </c>
    </row>
    <row r="473" spans="1:5" hidden="1" x14ac:dyDescent="0.25">
      <c r="A473" s="15">
        <v>17861</v>
      </c>
      <c r="B473" s="7">
        <v>1016110319</v>
      </c>
      <c r="C473" s="11">
        <v>45797.714872685203</v>
      </c>
      <c r="D473" s="17" t="s">
        <v>728</v>
      </c>
      <c r="E473" t="str">
        <f>IF(COUNTIF($B$2:B473,B473)&gt;1,"Duplicado","Único")</f>
        <v>Duplicado</v>
      </c>
    </row>
    <row r="474" spans="1:5" x14ac:dyDescent="0.25">
      <c r="A474" s="15">
        <v>30971</v>
      </c>
      <c r="B474" s="7">
        <v>1016112546</v>
      </c>
      <c r="C474" s="11">
        <v>45919.536793981497</v>
      </c>
      <c r="D474" s="17" t="s">
        <v>1769</v>
      </c>
      <c r="E474" t="str">
        <f>IF(COUNTIF($B$2:B474,B474)&gt;1,"Duplicado","Único")</f>
        <v>Único</v>
      </c>
    </row>
    <row r="475" spans="1:5" x14ac:dyDescent="0.25">
      <c r="A475" s="15">
        <v>30226</v>
      </c>
      <c r="B475" s="7">
        <v>1017154862</v>
      </c>
      <c r="C475" s="11">
        <v>45898.6268865741</v>
      </c>
      <c r="D475" s="17" t="s">
        <v>1469</v>
      </c>
      <c r="E475" t="str">
        <f>IF(COUNTIF($B$2:B475,B475)&gt;1,"Duplicado","Único")</f>
        <v>Único</v>
      </c>
    </row>
    <row r="476" spans="1:5" x14ac:dyDescent="0.25">
      <c r="A476" s="15">
        <v>14770</v>
      </c>
      <c r="B476" s="7">
        <v>1017159163</v>
      </c>
      <c r="C476" s="11">
        <v>46120.632037037001</v>
      </c>
      <c r="D476" s="17" t="s">
        <v>4312</v>
      </c>
      <c r="E476" t="str">
        <f>IF(COUNTIF($B$2:B476,B476)&gt;1,"Duplicado","Único")</f>
        <v>Único</v>
      </c>
    </row>
    <row r="477" spans="1:5" hidden="1" x14ac:dyDescent="0.25">
      <c r="A477" s="15">
        <v>14770</v>
      </c>
      <c r="B477" s="7">
        <v>1017159163</v>
      </c>
      <c r="C477" s="11">
        <v>46094.486111111102</v>
      </c>
      <c r="D477" s="17" t="s">
        <v>4042</v>
      </c>
      <c r="E477" t="str">
        <f>IF(COUNTIF($B$2:B477,B477)&gt;1,"Duplicado","Único")</f>
        <v>Duplicado</v>
      </c>
    </row>
    <row r="478" spans="1:5" x14ac:dyDescent="0.25">
      <c r="A478" s="15">
        <v>46649</v>
      </c>
      <c r="B478" s="7">
        <v>1017179190</v>
      </c>
      <c r="C478" s="11">
        <v>45966.671597222201</v>
      </c>
      <c r="D478" s="17" t="s">
        <v>2343</v>
      </c>
      <c r="E478" t="str">
        <f>IF(COUNTIF($B$2:B478,B478)&gt;1,"Duplicado","Único")</f>
        <v>Único</v>
      </c>
    </row>
    <row r="479" spans="1:5" x14ac:dyDescent="0.25">
      <c r="A479" s="15">
        <v>26368</v>
      </c>
      <c r="B479" s="7">
        <v>1017185025</v>
      </c>
      <c r="C479" s="11">
        <v>45867.414039351897</v>
      </c>
      <c r="D479" s="17" t="s">
        <v>1195</v>
      </c>
      <c r="E479" t="str">
        <f>IF(COUNTIF($B$2:B479,B479)&gt;1,"Duplicado","Único")</f>
        <v>Único</v>
      </c>
    </row>
    <row r="480" spans="1:5" x14ac:dyDescent="0.25">
      <c r="A480" s="15">
        <v>45390</v>
      </c>
      <c r="B480" s="7">
        <v>1017194139</v>
      </c>
      <c r="C480" s="11">
        <v>45959.402395833298</v>
      </c>
      <c r="D480" s="17" t="s">
        <v>2217</v>
      </c>
      <c r="E480" t="str">
        <f>IF(COUNTIF($B$2:B480,B480)&gt;1,"Duplicado","Único")</f>
        <v>Único</v>
      </c>
    </row>
    <row r="481" spans="1:5" x14ac:dyDescent="0.25">
      <c r="A481" s="15">
        <v>15751</v>
      </c>
      <c r="B481" s="7">
        <v>1017197568</v>
      </c>
      <c r="C481" s="11">
        <v>46121.4515046296</v>
      </c>
      <c r="D481" s="17" t="s">
        <v>4389</v>
      </c>
      <c r="E481" t="str">
        <f>IF(COUNTIF($B$2:B481,B481)&gt;1,"Duplicado","Único")</f>
        <v>Único</v>
      </c>
    </row>
    <row r="482" spans="1:5" hidden="1" x14ac:dyDescent="0.25">
      <c r="A482" s="15">
        <v>15751</v>
      </c>
      <c r="B482" s="7">
        <v>1017197568</v>
      </c>
      <c r="C482" s="11">
        <v>46101.6816203704</v>
      </c>
      <c r="D482" s="17" t="s">
        <v>4114</v>
      </c>
      <c r="E482" t="str">
        <f>IF(COUNTIF($B$2:B482,B482)&gt;1,"Duplicado","Único")</f>
        <v>Duplicado</v>
      </c>
    </row>
    <row r="483" spans="1:5" x14ac:dyDescent="0.25">
      <c r="A483" s="15">
        <v>21096</v>
      </c>
      <c r="B483" s="7">
        <v>1017198113</v>
      </c>
      <c r="C483" s="11">
        <v>45824.362303240698</v>
      </c>
      <c r="D483" s="17" t="s">
        <v>923</v>
      </c>
      <c r="E483" t="str">
        <f>IF(COUNTIF($B$2:B483,B483)&gt;1,"Duplicado","Único")</f>
        <v>Único</v>
      </c>
    </row>
    <row r="484" spans="1:5" x14ac:dyDescent="0.25">
      <c r="A484" s="15">
        <v>53750</v>
      </c>
      <c r="B484" s="7">
        <v>1017198393</v>
      </c>
      <c r="C484" s="11">
        <v>46057.419247685197</v>
      </c>
      <c r="D484" s="17" t="s">
        <v>3695</v>
      </c>
      <c r="E484" t="str">
        <f>IF(COUNTIF($B$2:B484,B484)&gt;1,"Duplicado","Único")</f>
        <v>Único</v>
      </c>
    </row>
    <row r="485" spans="1:5" hidden="1" x14ac:dyDescent="0.25">
      <c r="A485" s="15">
        <v>53750</v>
      </c>
      <c r="B485" s="7">
        <v>1017198393</v>
      </c>
      <c r="C485" s="11">
        <v>46013.523877314801</v>
      </c>
      <c r="D485" s="17" t="s">
        <v>3040</v>
      </c>
      <c r="E485" t="str">
        <f>IF(COUNTIF($B$2:B485,B485)&gt;1,"Duplicado","Único")</f>
        <v>Duplicado</v>
      </c>
    </row>
    <row r="486" spans="1:5" x14ac:dyDescent="0.25">
      <c r="A486" s="15">
        <v>50786</v>
      </c>
      <c r="B486" s="7">
        <v>1017201069</v>
      </c>
      <c r="C486" s="11">
        <v>46050.6663541667</v>
      </c>
      <c r="D486" s="17" t="s">
        <v>3380</v>
      </c>
      <c r="E486" t="str">
        <f>IF(COUNTIF($B$2:B486,B486)&gt;1,"Duplicado","Único")</f>
        <v>Único</v>
      </c>
    </row>
    <row r="487" spans="1:5" hidden="1" x14ac:dyDescent="0.25">
      <c r="A487" s="15">
        <v>50786</v>
      </c>
      <c r="B487" s="7">
        <v>1017201069</v>
      </c>
      <c r="C487" s="11">
        <v>45992.392094907402</v>
      </c>
      <c r="D487" s="17" t="s">
        <v>2807</v>
      </c>
      <c r="E487" t="str">
        <f>IF(COUNTIF($B$2:B487,B487)&gt;1,"Duplicado","Único")</f>
        <v>Duplicado</v>
      </c>
    </row>
    <row r="488" spans="1:5" x14ac:dyDescent="0.25">
      <c r="A488" s="15">
        <v>25962</v>
      </c>
      <c r="B488" s="7">
        <v>1017202624</v>
      </c>
      <c r="C488" s="11">
        <v>45866.627395833297</v>
      </c>
      <c r="D488" s="17" t="s">
        <v>1160</v>
      </c>
      <c r="E488" t="str">
        <f>IF(COUNTIF($B$2:B488,B488)&gt;1,"Duplicado","Único")</f>
        <v>Único</v>
      </c>
    </row>
    <row r="489" spans="1:5" x14ac:dyDescent="0.25">
      <c r="A489" s="15">
        <v>112</v>
      </c>
      <c r="B489" s="7">
        <v>1017210658</v>
      </c>
      <c r="C489" s="11">
        <v>46086.478831018503</v>
      </c>
      <c r="D489" s="17" t="s">
        <v>3809</v>
      </c>
      <c r="E489" t="str">
        <f>IF(COUNTIF($B$2:B489,B489)&gt;1,"Duplicado","Único")</f>
        <v>Único</v>
      </c>
    </row>
    <row r="490" spans="1:5" hidden="1" x14ac:dyDescent="0.25">
      <c r="A490" s="15">
        <v>112</v>
      </c>
      <c r="B490" s="7">
        <v>1017210658</v>
      </c>
      <c r="C490" s="11">
        <v>46031.489398148202</v>
      </c>
      <c r="D490" s="17" t="s">
        <v>3120</v>
      </c>
      <c r="E490" t="str">
        <f>IF(COUNTIF($B$2:B490,B490)&gt;1,"Duplicado","Único")</f>
        <v>Duplicado</v>
      </c>
    </row>
    <row r="491" spans="1:5" x14ac:dyDescent="0.25">
      <c r="A491" s="15">
        <v>50800</v>
      </c>
      <c r="B491" s="7">
        <v>1017215566</v>
      </c>
      <c r="C491" s="11">
        <v>46050.666944444398</v>
      </c>
      <c r="D491" s="17" t="s">
        <v>3381</v>
      </c>
      <c r="E491" t="str">
        <f>IF(COUNTIF($B$2:B491,B491)&gt;1,"Duplicado","Único")</f>
        <v>Único</v>
      </c>
    </row>
    <row r="492" spans="1:5" hidden="1" x14ac:dyDescent="0.25">
      <c r="A492" s="15">
        <v>50800</v>
      </c>
      <c r="B492" s="7">
        <v>1017215566</v>
      </c>
      <c r="C492" s="11">
        <v>45992.435648148101</v>
      </c>
      <c r="D492" s="17" t="s">
        <v>2810</v>
      </c>
      <c r="E492" t="str">
        <f>IF(COUNTIF($B$2:B492,B492)&gt;1,"Duplicado","Único")</f>
        <v>Duplicado</v>
      </c>
    </row>
    <row r="493" spans="1:5" x14ac:dyDescent="0.25">
      <c r="A493" s="15">
        <v>40364</v>
      </c>
      <c r="B493" s="7">
        <v>1017221236</v>
      </c>
      <c r="C493" s="11">
        <v>45936.375509259298</v>
      </c>
      <c r="D493" s="17" t="s">
        <v>1933</v>
      </c>
      <c r="E493" t="str">
        <f>IF(COUNTIF($B$2:B493,B493)&gt;1,"Duplicado","Único")</f>
        <v>Único</v>
      </c>
    </row>
    <row r="494" spans="1:5" x14ac:dyDescent="0.25">
      <c r="A494" s="15">
        <v>46506</v>
      </c>
      <c r="B494" s="7">
        <v>1017230306</v>
      </c>
      <c r="C494" s="11">
        <v>45966.647696759297</v>
      </c>
      <c r="D494" s="17" t="s">
        <v>2334</v>
      </c>
      <c r="E494" t="str">
        <f>IF(COUNTIF($B$2:B494,B494)&gt;1,"Duplicado","Único")</f>
        <v>Único</v>
      </c>
    </row>
    <row r="495" spans="1:5" x14ac:dyDescent="0.25">
      <c r="A495" s="15">
        <v>41175</v>
      </c>
      <c r="B495" s="7">
        <v>1017237630</v>
      </c>
      <c r="C495" s="11">
        <v>45937.316250000003</v>
      </c>
      <c r="D495" s="17" t="s">
        <v>1959</v>
      </c>
      <c r="E495" t="str">
        <f>IF(COUNTIF($B$2:B495,B495)&gt;1,"Duplicado","Único")</f>
        <v>Único</v>
      </c>
    </row>
    <row r="496" spans="1:5" x14ac:dyDescent="0.25">
      <c r="A496" s="15">
        <v>22011</v>
      </c>
      <c r="B496" s="7">
        <v>1017240716</v>
      </c>
      <c r="C496" s="11">
        <v>45834.6102777778</v>
      </c>
      <c r="D496" s="17" t="s">
        <v>982</v>
      </c>
      <c r="E496" t="str">
        <f>IF(COUNTIF($B$2:B496,B496)&gt;1,"Duplicado","Único")</f>
        <v>Único</v>
      </c>
    </row>
    <row r="497" spans="1:5" x14ac:dyDescent="0.25">
      <c r="A497" s="15">
        <v>38664</v>
      </c>
      <c r="B497" s="7">
        <v>1017243406</v>
      </c>
      <c r="C497" s="11">
        <v>45926.503761574102</v>
      </c>
      <c r="D497" s="17" t="s">
        <v>1845</v>
      </c>
      <c r="E497" t="str">
        <f>IF(COUNTIF($B$2:B497,B497)&gt;1,"Duplicado","Único")</f>
        <v>Único</v>
      </c>
    </row>
    <row r="498" spans="1:5" x14ac:dyDescent="0.25">
      <c r="A498" s="15">
        <v>15235</v>
      </c>
      <c r="B498" s="7">
        <v>1017245718</v>
      </c>
      <c r="C498" s="11">
        <v>46120.632511574098</v>
      </c>
      <c r="D498" s="17" t="s">
        <v>4313</v>
      </c>
      <c r="E498" t="str">
        <f>IF(COUNTIF($B$2:B498,B498)&gt;1,"Duplicado","Único")</f>
        <v>Único</v>
      </c>
    </row>
    <row r="499" spans="1:5" hidden="1" x14ac:dyDescent="0.25">
      <c r="A499" s="15">
        <v>15235</v>
      </c>
      <c r="B499" s="7">
        <v>1017245718</v>
      </c>
      <c r="C499" s="11">
        <v>46094.507650462998</v>
      </c>
      <c r="D499" s="17" t="s">
        <v>4072</v>
      </c>
      <c r="E499" t="str">
        <f>IF(COUNTIF($B$2:B499,B499)&gt;1,"Duplicado","Único")</f>
        <v>Duplicado</v>
      </c>
    </row>
    <row r="500" spans="1:5" x14ac:dyDescent="0.25">
      <c r="A500" s="15">
        <v>12338</v>
      </c>
      <c r="B500" s="7">
        <v>1017247153</v>
      </c>
      <c r="C500" s="11">
        <v>46087.669884259303</v>
      </c>
      <c r="D500" s="17" t="s">
        <v>4005</v>
      </c>
      <c r="E500" t="str">
        <f>IF(COUNTIF($B$2:B500,B500)&gt;1,"Duplicado","Único")</f>
        <v>Único</v>
      </c>
    </row>
    <row r="501" spans="1:5" hidden="1" x14ac:dyDescent="0.25">
      <c r="A501" s="15">
        <v>12338</v>
      </c>
      <c r="B501" s="7">
        <v>1017247153</v>
      </c>
      <c r="C501" s="11">
        <v>46079.487557870401</v>
      </c>
      <c r="D501" s="17" t="s">
        <v>825</v>
      </c>
      <c r="E501" t="str">
        <f>IF(COUNTIF($B$2:B501,B501)&gt;1,"Duplicado","Único")</f>
        <v>Duplicado</v>
      </c>
    </row>
    <row r="502" spans="1:5" x14ac:dyDescent="0.25">
      <c r="A502" s="15">
        <v>17592</v>
      </c>
      <c r="B502" s="7">
        <v>1017248796</v>
      </c>
      <c r="C502" s="11">
        <v>45797.596840277802</v>
      </c>
      <c r="D502" s="17" t="s">
        <v>717</v>
      </c>
      <c r="E502" t="str">
        <f>IF(COUNTIF($B$2:B502,B502)&gt;1,"Duplicado","Único")</f>
        <v>Único</v>
      </c>
    </row>
    <row r="503" spans="1:5" x14ac:dyDescent="0.25">
      <c r="A503" s="15">
        <v>18299</v>
      </c>
      <c r="B503" s="7">
        <v>1017249908</v>
      </c>
      <c r="C503" s="11">
        <v>45800.610150462999</v>
      </c>
      <c r="D503" s="17" t="s">
        <v>756</v>
      </c>
      <c r="E503" t="str">
        <f>IF(COUNTIF($B$2:B503,B503)&gt;1,"Duplicado","Único")</f>
        <v>Único</v>
      </c>
    </row>
    <row r="504" spans="1:5" x14ac:dyDescent="0.25">
      <c r="A504" s="15">
        <v>19472</v>
      </c>
      <c r="B504" s="7">
        <v>1017250045</v>
      </c>
      <c r="C504" s="11">
        <v>45813.815798611096</v>
      </c>
      <c r="D504" s="17" t="s">
        <v>830</v>
      </c>
      <c r="E504" t="str">
        <f>IF(COUNTIF($B$2:B504,B504)&gt;1,"Duplicado","Único")</f>
        <v>Único</v>
      </c>
    </row>
    <row r="505" spans="1:5" x14ac:dyDescent="0.25">
      <c r="A505" s="15">
        <v>14736</v>
      </c>
      <c r="B505" s="7">
        <v>1017262283</v>
      </c>
      <c r="C505" s="11">
        <v>46120.633414351898</v>
      </c>
      <c r="D505" s="17" t="s">
        <v>4314</v>
      </c>
      <c r="E505" t="str">
        <f>IF(COUNTIF($B$2:B505,B505)&gt;1,"Duplicado","Único")</f>
        <v>Único</v>
      </c>
    </row>
    <row r="506" spans="1:5" hidden="1" x14ac:dyDescent="0.25">
      <c r="A506" s="15">
        <v>14736</v>
      </c>
      <c r="B506" s="7">
        <v>1017262283</v>
      </c>
      <c r="C506" s="11">
        <v>46094.485115740703</v>
      </c>
      <c r="D506" s="17" t="s">
        <v>4040</v>
      </c>
      <c r="E506" t="str">
        <f>IF(COUNTIF($B$2:B506,B506)&gt;1,"Duplicado","Único")</f>
        <v>Duplicado</v>
      </c>
    </row>
    <row r="507" spans="1:5" x14ac:dyDescent="0.25">
      <c r="A507" s="15">
        <v>32196</v>
      </c>
      <c r="B507" s="7">
        <v>1017265988</v>
      </c>
      <c r="C507" s="11">
        <v>45908.445740740703</v>
      </c>
      <c r="D507" s="17" t="s">
        <v>1601</v>
      </c>
      <c r="E507" t="str">
        <f>IF(COUNTIF($B$2:B507,B507)&gt;1,"Duplicado","Único")</f>
        <v>Único</v>
      </c>
    </row>
    <row r="508" spans="1:5" x14ac:dyDescent="0.25">
      <c r="A508" s="15">
        <v>41886</v>
      </c>
      <c r="B508" s="7">
        <v>1017275600</v>
      </c>
      <c r="C508" s="11">
        <v>45968.366724537002</v>
      </c>
      <c r="D508" s="17" t="s">
        <v>2372</v>
      </c>
      <c r="E508" t="str">
        <f>IF(COUNTIF($B$2:B508,B508)&gt;1,"Duplicado","Único")</f>
        <v>Único</v>
      </c>
    </row>
    <row r="509" spans="1:5" x14ac:dyDescent="0.25">
      <c r="A509" s="15">
        <v>47799</v>
      </c>
      <c r="B509" s="7">
        <v>1017275605</v>
      </c>
      <c r="C509" s="11">
        <v>45973.6567476852</v>
      </c>
      <c r="D509" s="17" t="s">
        <v>2465</v>
      </c>
      <c r="E509" t="str">
        <f>IF(COUNTIF($B$2:B509,B509)&gt;1,"Duplicado","Único")</f>
        <v>Único</v>
      </c>
    </row>
    <row r="510" spans="1:5" x14ac:dyDescent="0.25">
      <c r="A510" s="15">
        <v>22492</v>
      </c>
      <c r="B510" s="7">
        <v>1018343440</v>
      </c>
      <c r="C510" s="11">
        <v>45841.657048611101</v>
      </c>
      <c r="D510" s="17" t="s">
        <v>1014</v>
      </c>
      <c r="E510" t="str">
        <f>IF(COUNTIF($B$2:B510,B510)&gt;1,"Duplicado","Único")</f>
        <v>Único</v>
      </c>
    </row>
    <row r="511" spans="1:5" x14ac:dyDescent="0.25">
      <c r="A511" s="15">
        <v>14114</v>
      </c>
      <c r="B511" s="7">
        <v>1018407768</v>
      </c>
      <c r="C511" s="11">
        <v>46149.522291666697</v>
      </c>
      <c r="D511" s="17" t="s">
        <v>4530</v>
      </c>
      <c r="E511" t="str">
        <f>IF(COUNTIF($B$2:B511,B511)&gt;1,"Duplicado","Único")</f>
        <v>Único</v>
      </c>
    </row>
    <row r="512" spans="1:5" hidden="1" x14ac:dyDescent="0.25">
      <c r="A512" s="15">
        <v>14114</v>
      </c>
      <c r="B512" s="7">
        <v>1018407768</v>
      </c>
      <c r="C512" s="11">
        <v>46086.674791666701</v>
      </c>
      <c r="D512" s="17" t="s">
        <v>3869</v>
      </c>
      <c r="E512" t="str">
        <f>IF(COUNTIF($B$2:B512,B512)&gt;1,"Duplicado","Único")</f>
        <v>Duplicado</v>
      </c>
    </row>
    <row r="513" spans="1:5" x14ac:dyDescent="0.25">
      <c r="A513" s="15">
        <v>18783</v>
      </c>
      <c r="B513" s="7">
        <v>1018408440</v>
      </c>
      <c r="C513" s="11">
        <v>45826.690439814804</v>
      </c>
      <c r="D513" s="17" t="s">
        <v>956</v>
      </c>
      <c r="E513" t="str">
        <f>IF(COUNTIF($B$2:B513,B513)&gt;1,"Duplicado","Único")</f>
        <v>Único</v>
      </c>
    </row>
    <row r="514" spans="1:5" hidden="1" x14ac:dyDescent="0.25">
      <c r="A514" s="15">
        <v>18783</v>
      </c>
      <c r="B514" s="7">
        <v>1018408440</v>
      </c>
      <c r="C514" s="11">
        <v>45805.4916898148</v>
      </c>
      <c r="D514" s="17" t="s">
        <v>789</v>
      </c>
      <c r="E514" t="str">
        <f>IF(COUNTIF($B$2:B514,B514)&gt;1,"Duplicado","Único")</f>
        <v>Duplicado</v>
      </c>
    </row>
    <row r="515" spans="1:5" x14ac:dyDescent="0.25">
      <c r="A515" s="15">
        <v>47626</v>
      </c>
      <c r="B515" s="7">
        <v>1018414503</v>
      </c>
      <c r="C515" s="11">
        <v>45972.657430555599</v>
      </c>
      <c r="D515" s="17" t="s">
        <v>2444</v>
      </c>
      <c r="E515" t="str">
        <f>IF(COUNTIF($B$2:B515,B515)&gt;1,"Duplicado","Único")</f>
        <v>Único</v>
      </c>
    </row>
    <row r="516" spans="1:5" x14ac:dyDescent="0.25">
      <c r="A516" s="15">
        <v>32590</v>
      </c>
      <c r="B516" s="7">
        <v>1018420862</v>
      </c>
      <c r="C516" s="11">
        <v>45909.504224536999</v>
      </c>
      <c r="D516" s="17" t="s">
        <v>1620</v>
      </c>
      <c r="E516" t="str">
        <f>IF(COUNTIF($B$2:B516,B516)&gt;1,"Duplicado","Único")</f>
        <v>Único</v>
      </c>
    </row>
    <row r="517" spans="1:5" x14ac:dyDescent="0.25">
      <c r="A517" s="15">
        <v>26289</v>
      </c>
      <c r="B517" s="7">
        <v>1018424916</v>
      </c>
      <c r="C517" s="11">
        <v>45867.392141203702</v>
      </c>
      <c r="D517" s="17" t="s">
        <v>1187</v>
      </c>
      <c r="E517" t="str">
        <f>IF(COUNTIF($B$2:B517,B517)&gt;1,"Duplicado","Único")</f>
        <v>Único</v>
      </c>
    </row>
    <row r="518" spans="1:5" x14ac:dyDescent="0.25">
      <c r="A518" s="15">
        <v>28546</v>
      </c>
      <c r="B518" s="7">
        <v>1018426439</v>
      </c>
      <c r="C518" s="11">
        <v>45888.585416666698</v>
      </c>
      <c r="D518" s="17" t="s">
        <v>1342</v>
      </c>
      <c r="E518" t="str">
        <f>IF(COUNTIF($B$2:B518,B518)&gt;1,"Duplicado","Único")</f>
        <v>Único</v>
      </c>
    </row>
    <row r="519" spans="1:5" x14ac:dyDescent="0.25">
      <c r="A519" s="15">
        <v>18101</v>
      </c>
      <c r="B519" s="7">
        <v>1018429230</v>
      </c>
      <c r="C519" s="11">
        <v>46149.416296296302</v>
      </c>
      <c r="D519" s="17" t="s">
        <v>4447</v>
      </c>
      <c r="E519" t="str">
        <f>IF(COUNTIF($B$2:B519,B519)&gt;1,"Duplicado","Único")</f>
        <v>Único</v>
      </c>
    </row>
    <row r="520" spans="1:5" hidden="1" x14ac:dyDescent="0.25">
      <c r="A520" s="15">
        <v>18101</v>
      </c>
      <c r="B520" s="7">
        <v>1018429230</v>
      </c>
      <c r="C520" s="11">
        <v>46118.341585648202</v>
      </c>
      <c r="D520" s="17" t="s">
        <v>1173</v>
      </c>
      <c r="E520" t="str">
        <f>IF(COUNTIF($B$2:B520,B520)&gt;1,"Duplicado","Único")</f>
        <v>Duplicado</v>
      </c>
    </row>
    <row r="521" spans="1:5" x14ac:dyDescent="0.25">
      <c r="A521" s="15">
        <v>46342</v>
      </c>
      <c r="B521" s="7">
        <v>1018434172</v>
      </c>
      <c r="C521" s="11">
        <v>45965.533240740697</v>
      </c>
      <c r="D521" s="17" t="s">
        <v>2321</v>
      </c>
      <c r="E521" t="str">
        <f>IF(COUNTIF($B$2:B521,B521)&gt;1,"Duplicado","Único")</f>
        <v>Único</v>
      </c>
    </row>
    <row r="522" spans="1:5" x14ac:dyDescent="0.25">
      <c r="A522" s="15">
        <v>17366</v>
      </c>
      <c r="B522" s="7">
        <v>1018438228</v>
      </c>
      <c r="C522" s="11">
        <v>45797.399490740703</v>
      </c>
      <c r="D522" s="17" t="s">
        <v>707</v>
      </c>
      <c r="E522" t="str">
        <f>IF(COUNTIF($B$2:B522,B522)&gt;1,"Duplicado","Único")</f>
        <v>Único</v>
      </c>
    </row>
    <row r="523" spans="1:5" x14ac:dyDescent="0.25">
      <c r="A523" s="15">
        <v>17345</v>
      </c>
      <c r="B523" s="7">
        <v>1018445913</v>
      </c>
      <c r="C523" s="11">
        <v>45796.681793981501</v>
      </c>
      <c r="D523" s="17" t="s">
        <v>703</v>
      </c>
      <c r="E523" t="str">
        <f>IF(COUNTIF($B$2:B523,B523)&gt;1,"Duplicado","Único")</f>
        <v>Único</v>
      </c>
    </row>
    <row r="524" spans="1:5" x14ac:dyDescent="0.25">
      <c r="A524" s="15">
        <v>29726</v>
      </c>
      <c r="B524" s="7">
        <v>1018455217</v>
      </c>
      <c r="C524" s="11">
        <v>45895.392187500001</v>
      </c>
      <c r="D524" s="17" t="s">
        <v>1426</v>
      </c>
      <c r="E524" t="str">
        <f>IF(COUNTIF($B$2:B524,B524)&gt;1,"Duplicado","Único")</f>
        <v>Único</v>
      </c>
    </row>
    <row r="525" spans="1:5" x14ac:dyDescent="0.25">
      <c r="A525" s="15">
        <v>17856</v>
      </c>
      <c r="B525" s="7">
        <v>1018459881</v>
      </c>
      <c r="C525" s="11">
        <v>45797.713090277801</v>
      </c>
      <c r="D525" s="17" t="s">
        <v>727</v>
      </c>
      <c r="E525" t="str">
        <f>IF(COUNTIF($B$2:B525,B525)&gt;1,"Duplicado","Único")</f>
        <v>Único</v>
      </c>
    </row>
    <row r="526" spans="1:5" x14ac:dyDescent="0.25">
      <c r="A526" s="15">
        <v>32755</v>
      </c>
      <c r="B526" s="7">
        <v>1018460340</v>
      </c>
      <c r="C526" s="11">
        <v>45910.415625000001</v>
      </c>
      <c r="D526" s="17" t="s">
        <v>1640</v>
      </c>
      <c r="E526" t="str">
        <f>IF(COUNTIF($B$2:B526,B526)&gt;1,"Duplicado","Único")</f>
        <v>Único</v>
      </c>
    </row>
    <row r="527" spans="1:5" x14ac:dyDescent="0.25">
      <c r="A527" s="15">
        <v>51323</v>
      </c>
      <c r="B527" s="7">
        <v>1018460641</v>
      </c>
      <c r="C527" s="11">
        <v>46051.436909722201</v>
      </c>
      <c r="D527" s="17" t="s">
        <v>3458</v>
      </c>
      <c r="E527" t="str">
        <f>IF(COUNTIF($B$2:B527,B527)&gt;1,"Duplicado","Único")</f>
        <v>Único</v>
      </c>
    </row>
    <row r="528" spans="1:5" hidden="1" x14ac:dyDescent="0.25">
      <c r="A528" s="15">
        <v>51323</v>
      </c>
      <c r="B528" s="7">
        <v>1018460641</v>
      </c>
      <c r="C528" s="11">
        <v>46002.3885069444</v>
      </c>
      <c r="D528" s="17" t="s">
        <v>2868</v>
      </c>
      <c r="E528" t="str">
        <f>IF(COUNTIF($B$2:B528,B528)&gt;1,"Duplicado","Único")</f>
        <v>Duplicado</v>
      </c>
    </row>
    <row r="529" spans="1:5" x14ac:dyDescent="0.25">
      <c r="A529" s="15">
        <v>54317</v>
      </c>
      <c r="B529" s="7">
        <v>1018461980</v>
      </c>
      <c r="C529" s="11">
        <v>46057.435011574104</v>
      </c>
      <c r="D529" s="17" t="s">
        <v>3706</v>
      </c>
      <c r="E529" t="str">
        <f>IF(COUNTIF($B$2:B529,B529)&gt;1,"Duplicado","Único")</f>
        <v>Único</v>
      </c>
    </row>
    <row r="530" spans="1:5" hidden="1" x14ac:dyDescent="0.25">
      <c r="A530" s="15">
        <v>54317</v>
      </c>
      <c r="B530" s="7">
        <v>1018461980</v>
      </c>
      <c r="C530" s="11">
        <v>46014.392025462999</v>
      </c>
      <c r="D530" s="17" t="s">
        <v>3072</v>
      </c>
      <c r="E530" t="str">
        <f>IF(COUNTIF($B$2:B530,B530)&gt;1,"Duplicado","Único")</f>
        <v>Duplicado</v>
      </c>
    </row>
    <row r="531" spans="1:5" x14ac:dyDescent="0.25">
      <c r="A531" s="15">
        <v>54449</v>
      </c>
      <c r="B531" s="7">
        <v>1018466685</v>
      </c>
      <c r="C531" s="11">
        <v>46057.445891203701</v>
      </c>
      <c r="D531" s="17" t="s">
        <v>3717</v>
      </c>
      <c r="E531" t="str">
        <f>IF(COUNTIF($B$2:B531,B531)&gt;1,"Duplicado","Único")</f>
        <v>Único</v>
      </c>
    </row>
    <row r="532" spans="1:5" hidden="1" x14ac:dyDescent="0.25">
      <c r="A532" s="15">
        <v>54449</v>
      </c>
      <c r="B532" s="7">
        <v>1018466685</v>
      </c>
      <c r="C532" s="11">
        <v>46015.432453703703</v>
      </c>
      <c r="D532" s="17" t="s">
        <v>3078</v>
      </c>
      <c r="E532" t="str">
        <f>IF(COUNTIF($B$2:B532,B532)&gt;1,"Duplicado","Único")</f>
        <v>Duplicado</v>
      </c>
    </row>
    <row r="533" spans="1:5" x14ac:dyDescent="0.25">
      <c r="A533" s="15">
        <v>31614</v>
      </c>
      <c r="B533" s="7">
        <v>1018466887</v>
      </c>
      <c r="C533" s="11">
        <v>45904.665798611102</v>
      </c>
      <c r="D533" s="17" t="s">
        <v>1535</v>
      </c>
      <c r="E533" t="str">
        <f>IF(COUNTIF($B$2:B533,B533)&gt;1,"Duplicado","Único")</f>
        <v>Único</v>
      </c>
    </row>
    <row r="534" spans="1:5" x14ac:dyDescent="0.25">
      <c r="A534" s="15">
        <v>40007</v>
      </c>
      <c r="B534" s="7">
        <v>1018467061</v>
      </c>
      <c r="C534" s="11">
        <v>45931.394166666701</v>
      </c>
      <c r="D534" s="17" t="s">
        <v>1906</v>
      </c>
      <c r="E534" t="str">
        <f>IF(COUNTIF($B$2:B534,B534)&gt;1,"Duplicado","Único")</f>
        <v>Único</v>
      </c>
    </row>
    <row r="535" spans="1:5" x14ac:dyDescent="0.25">
      <c r="A535" s="15">
        <v>44837</v>
      </c>
      <c r="B535" s="7">
        <v>1018472720</v>
      </c>
      <c r="C535" s="11">
        <v>45958.643622685202</v>
      </c>
      <c r="D535" s="17" t="s">
        <v>2171</v>
      </c>
      <c r="E535" t="str">
        <f>IF(COUNTIF($B$2:B535,B535)&gt;1,"Duplicado","Único")</f>
        <v>Único</v>
      </c>
    </row>
    <row r="536" spans="1:5" x14ac:dyDescent="0.25">
      <c r="A536" s="15">
        <v>1362</v>
      </c>
      <c r="B536" s="7">
        <v>1018472805</v>
      </c>
      <c r="C536" s="11">
        <v>46086.663425925901</v>
      </c>
      <c r="D536" s="17" t="s">
        <v>3861</v>
      </c>
      <c r="E536" t="str">
        <f>IF(COUNTIF($B$2:B536,B536)&gt;1,"Duplicado","Único")</f>
        <v>Único</v>
      </c>
    </row>
    <row r="537" spans="1:5" hidden="1" x14ac:dyDescent="0.25">
      <c r="A537" s="15">
        <v>1362</v>
      </c>
      <c r="B537" s="7">
        <v>1018472805</v>
      </c>
      <c r="C537" s="11">
        <v>46036.487453703703</v>
      </c>
      <c r="D537" s="17" t="s">
        <v>3172</v>
      </c>
      <c r="E537" t="str">
        <f>IF(COUNTIF($B$2:B537,B537)&gt;1,"Duplicado","Único")</f>
        <v>Duplicado</v>
      </c>
    </row>
    <row r="538" spans="1:5" x14ac:dyDescent="0.25">
      <c r="A538" s="15">
        <v>20875</v>
      </c>
      <c r="B538" s="7">
        <v>1018483586</v>
      </c>
      <c r="C538" s="11">
        <v>45821.7052430556</v>
      </c>
      <c r="D538" s="17" t="s">
        <v>911</v>
      </c>
      <c r="E538" t="str">
        <f>IF(COUNTIF($B$2:B538,B538)&gt;1,"Duplicado","Único")</f>
        <v>Único</v>
      </c>
    </row>
    <row r="539" spans="1:5" x14ac:dyDescent="0.25">
      <c r="A539" s="15">
        <v>36811</v>
      </c>
      <c r="B539" s="7">
        <v>1018485138</v>
      </c>
      <c r="C539" s="11">
        <v>45922.390520833302</v>
      </c>
      <c r="D539" s="17" t="s">
        <v>1775</v>
      </c>
      <c r="E539" t="str">
        <f>IF(COUNTIF($B$2:B539,B539)&gt;1,"Duplicado","Único")</f>
        <v>Único</v>
      </c>
    </row>
    <row r="540" spans="1:5" x14ac:dyDescent="0.25">
      <c r="A540" s="15">
        <v>44253</v>
      </c>
      <c r="B540" s="7">
        <v>1018488121</v>
      </c>
      <c r="C540" s="11">
        <v>45958.426458333299</v>
      </c>
      <c r="D540" s="17" t="s">
        <v>2119</v>
      </c>
      <c r="E540" t="str">
        <f>IF(COUNTIF($B$2:B540,B540)&gt;1,"Duplicado","Único")</f>
        <v>Único</v>
      </c>
    </row>
    <row r="541" spans="1:5" x14ac:dyDescent="0.25">
      <c r="A541" s="15">
        <v>19214</v>
      </c>
      <c r="B541" s="7">
        <v>1018490468</v>
      </c>
      <c r="C541" s="11">
        <v>45813.749131944402</v>
      </c>
      <c r="D541" s="17" t="s">
        <v>819</v>
      </c>
      <c r="E541" t="str">
        <f>IF(COUNTIF($B$2:B541,B541)&gt;1,"Duplicado","Único")</f>
        <v>Único</v>
      </c>
    </row>
    <row r="542" spans="1:5" x14ac:dyDescent="0.25">
      <c r="A542" s="15">
        <v>22399</v>
      </c>
      <c r="B542" s="7">
        <v>1018496085</v>
      </c>
      <c r="C542" s="11">
        <v>45841.513217592597</v>
      </c>
      <c r="D542" s="17" t="s">
        <v>1008</v>
      </c>
      <c r="E542" t="str">
        <f>IF(COUNTIF($B$2:B542,B542)&gt;1,"Duplicado","Único")</f>
        <v>Único</v>
      </c>
    </row>
    <row r="543" spans="1:5" x14ac:dyDescent="0.25">
      <c r="A543" s="15">
        <v>49603</v>
      </c>
      <c r="B543" s="7">
        <v>1018496855</v>
      </c>
      <c r="C543" s="11">
        <v>46050.434976851902</v>
      </c>
      <c r="D543" s="17" t="s">
        <v>3238</v>
      </c>
      <c r="E543" t="str">
        <f>IF(COUNTIF($B$2:B543,B543)&gt;1,"Duplicado","Único")</f>
        <v>Único</v>
      </c>
    </row>
    <row r="544" spans="1:5" hidden="1" x14ac:dyDescent="0.25">
      <c r="A544" s="15">
        <v>49603</v>
      </c>
      <c r="B544" s="7">
        <v>1018496855</v>
      </c>
      <c r="C544" s="11">
        <v>45985.373194444401</v>
      </c>
      <c r="D544" s="17" t="s">
        <v>2675</v>
      </c>
      <c r="E544" t="str">
        <f>IF(COUNTIF($B$2:B544,B544)&gt;1,"Duplicado","Único")</f>
        <v>Duplicado</v>
      </c>
    </row>
    <row r="545" spans="1:5" x14ac:dyDescent="0.25">
      <c r="A545" s="15">
        <v>36614</v>
      </c>
      <c r="B545" s="7">
        <v>1018498363</v>
      </c>
      <c r="C545" s="11">
        <v>45919.375682870399</v>
      </c>
      <c r="D545" s="17" t="s">
        <v>1754</v>
      </c>
      <c r="E545" t="str">
        <f>IF(COUNTIF($B$2:B545,B545)&gt;1,"Duplicado","Único")</f>
        <v>Único</v>
      </c>
    </row>
    <row r="546" spans="1:5" x14ac:dyDescent="0.25">
      <c r="A546" s="15">
        <v>23507</v>
      </c>
      <c r="B546" s="7">
        <v>1018498372</v>
      </c>
      <c r="C546" s="11">
        <v>45842.473425925898</v>
      </c>
      <c r="D546" s="17" t="s">
        <v>1048</v>
      </c>
      <c r="E546" t="str">
        <f>IF(COUNTIF($B$2:B546,B546)&gt;1,"Duplicado","Único")</f>
        <v>Único</v>
      </c>
    </row>
    <row r="547" spans="1:5" x14ac:dyDescent="0.25">
      <c r="A547" s="15">
        <v>39826</v>
      </c>
      <c r="B547" s="7">
        <v>1018506348</v>
      </c>
      <c r="C547" s="11">
        <v>45931.376030092601</v>
      </c>
      <c r="D547" s="17" t="s">
        <v>1900</v>
      </c>
      <c r="E547" t="str">
        <f>IF(COUNTIF($B$2:B547,B547)&gt;1,"Duplicado","Único")</f>
        <v>Único</v>
      </c>
    </row>
    <row r="548" spans="1:5" x14ac:dyDescent="0.25">
      <c r="A548" s="15">
        <v>48541</v>
      </c>
      <c r="B548" s="7">
        <v>1018507483</v>
      </c>
      <c r="C548" s="11">
        <v>45979.500347222202</v>
      </c>
      <c r="D548" s="17" t="s">
        <v>2557</v>
      </c>
      <c r="E548" t="str">
        <f>IF(COUNTIF($B$2:B548,B548)&gt;1,"Duplicado","Único")</f>
        <v>Único</v>
      </c>
    </row>
    <row r="549" spans="1:5" x14ac:dyDescent="0.25">
      <c r="A549" s="15">
        <v>42117</v>
      </c>
      <c r="B549" s="7">
        <v>1018507556</v>
      </c>
      <c r="C549" s="11">
        <v>45950.706377314797</v>
      </c>
      <c r="D549" s="17" t="s">
        <v>2010</v>
      </c>
      <c r="E549" t="str">
        <f>IF(COUNTIF($B$2:B549,B549)&gt;1,"Duplicado","Único")</f>
        <v>Único</v>
      </c>
    </row>
    <row r="550" spans="1:5" x14ac:dyDescent="0.25">
      <c r="A550" s="15">
        <v>17765</v>
      </c>
      <c r="B550" s="7">
        <v>1018510454</v>
      </c>
      <c r="C550" s="11">
        <v>45797.660034722197</v>
      </c>
      <c r="D550" s="17" t="s">
        <v>724</v>
      </c>
      <c r="E550" t="str">
        <f>IF(COUNTIF($B$2:B550,B550)&gt;1,"Duplicado","Único")</f>
        <v>Único</v>
      </c>
    </row>
    <row r="551" spans="1:5" x14ac:dyDescent="0.25">
      <c r="A551" s="15">
        <v>42603</v>
      </c>
      <c r="B551" s="7">
        <v>10187932</v>
      </c>
      <c r="C551" s="11">
        <v>45953.396296296298</v>
      </c>
      <c r="D551" s="17" t="s">
        <v>2043</v>
      </c>
      <c r="E551" t="str">
        <f>IF(COUNTIF($B$2:B551,B551)&gt;1,"Duplicado","Único")</f>
        <v>Único</v>
      </c>
    </row>
    <row r="552" spans="1:5" x14ac:dyDescent="0.25">
      <c r="A552" s="15">
        <v>1304</v>
      </c>
      <c r="B552" s="7">
        <v>1019003684</v>
      </c>
      <c r="C552" s="11">
        <v>46086.665011574099</v>
      </c>
      <c r="D552" s="17" t="s">
        <v>3864</v>
      </c>
      <c r="E552" t="str">
        <f>IF(COUNTIF($B$2:B552,B552)&gt;1,"Duplicado","Único")</f>
        <v>Único</v>
      </c>
    </row>
    <row r="553" spans="1:5" hidden="1" x14ac:dyDescent="0.25">
      <c r="A553" s="15">
        <v>1304</v>
      </c>
      <c r="B553" s="7">
        <v>1019003684</v>
      </c>
      <c r="C553" s="11">
        <v>46036.481273148202</v>
      </c>
      <c r="D553" s="17" t="s">
        <v>3169</v>
      </c>
      <c r="E553" t="str">
        <f>IF(COUNTIF($B$2:B553,B553)&gt;1,"Duplicado","Único")</f>
        <v>Duplicado</v>
      </c>
    </row>
    <row r="554" spans="1:5" x14ac:dyDescent="0.25">
      <c r="A554" s="15">
        <v>32967</v>
      </c>
      <c r="B554" s="7">
        <v>1019006303</v>
      </c>
      <c r="C554" s="11">
        <v>45911.510983796303</v>
      </c>
      <c r="D554" s="17" t="s">
        <v>1672</v>
      </c>
      <c r="E554" t="str">
        <f>IF(COUNTIF($B$2:B554,B554)&gt;1,"Duplicado","Único")</f>
        <v>Único</v>
      </c>
    </row>
    <row r="555" spans="1:5" x14ac:dyDescent="0.25">
      <c r="A555" s="15">
        <v>3017</v>
      </c>
      <c r="B555" s="7">
        <v>1019008935</v>
      </c>
      <c r="C555" s="11">
        <v>46086.749074074098</v>
      </c>
      <c r="D555" s="17" t="s">
        <v>3940</v>
      </c>
      <c r="E555" t="str">
        <f>IF(COUNTIF($B$2:B555,B555)&gt;1,"Duplicado","Único")</f>
        <v>Único</v>
      </c>
    </row>
    <row r="556" spans="1:5" hidden="1" x14ac:dyDescent="0.25">
      <c r="A556" s="15">
        <v>3017</v>
      </c>
      <c r="B556" s="7">
        <v>1019008935</v>
      </c>
      <c r="C556" s="11">
        <v>46051.403576388897</v>
      </c>
      <c r="D556" s="17" t="s">
        <v>3439</v>
      </c>
      <c r="E556" t="str">
        <f>IF(COUNTIF($B$2:B556,B556)&gt;1,"Duplicado","Único")</f>
        <v>Duplicado</v>
      </c>
    </row>
    <row r="557" spans="1:5" x14ac:dyDescent="0.25">
      <c r="A557" s="15">
        <v>47223</v>
      </c>
      <c r="B557" s="7">
        <v>1019023437</v>
      </c>
      <c r="C557" s="11">
        <v>45968.754733796297</v>
      </c>
      <c r="D557" s="17" t="s">
        <v>2402</v>
      </c>
      <c r="E557" t="str">
        <f>IF(COUNTIF($B$2:B557,B557)&gt;1,"Duplicado","Único")</f>
        <v>Único</v>
      </c>
    </row>
    <row r="558" spans="1:5" x14ac:dyDescent="0.25">
      <c r="A558" s="15">
        <v>45150</v>
      </c>
      <c r="B558" s="7">
        <v>1019029868</v>
      </c>
      <c r="C558" s="11">
        <v>46057.350775462997</v>
      </c>
      <c r="D558" s="17" t="s">
        <v>3633</v>
      </c>
      <c r="E558" t="str">
        <f>IF(COUNTIF($B$2:B558,B558)&gt;1,"Duplicado","Único")</f>
        <v>Único</v>
      </c>
    </row>
    <row r="559" spans="1:5" hidden="1" x14ac:dyDescent="0.25">
      <c r="A559" s="15">
        <v>45150</v>
      </c>
      <c r="B559" s="7">
        <v>1019029868</v>
      </c>
      <c r="C559" s="11">
        <v>46010.367870370399</v>
      </c>
      <c r="D559" s="17" t="s">
        <v>2990</v>
      </c>
      <c r="E559" t="str">
        <f>IF(COUNTIF($B$2:B559,B559)&gt;1,"Duplicado","Único")</f>
        <v>Duplicado</v>
      </c>
    </row>
    <row r="560" spans="1:5" hidden="1" x14ac:dyDescent="0.25">
      <c r="A560" s="15">
        <v>45150</v>
      </c>
      <c r="B560" s="7">
        <v>1019029868</v>
      </c>
      <c r="C560" s="11">
        <v>45958.730150463001</v>
      </c>
      <c r="D560" s="17" t="s">
        <v>2193</v>
      </c>
      <c r="E560" t="str">
        <f>IF(COUNTIF($B$2:B560,B560)&gt;1,"Duplicado","Único")</f>
        <v>Duplicado</v>
      </c>
    </row>
    <row r="561" spans="1:5" x14ac:dyDescent="0.25">
      <c r="A561" s="15">
        <v>45804</v>
      </c>
      <c r="B561" s="7">
        <v>1019044539</v>
      </c>
      <c r="C561" s="11">
        <v>45960.694270833301</v>
      </c>
      <c r="D561" s="17" t="s">
        <v>2267</v>
      </c>
      <c r="E561" t="str">
        <f>IF(COUNTIF($B$2:B561,B561)&gt;1,"Duplicado","Único")</f>
        <v>Único</v>
      </c>
    </row>
    <row r="562" spans="1:5" x14ac:dyDescent="0.25">
      <c r="A562" s="15">
        <v>45926</v>
      </c>
      <c r="B562" s="7">
        <v>1019047515</v>
      </c>
      <c r="C562" s="11">
        <v>45961.693472222199</v>
      </c>
      <c r="D562" s="17" t="s">
        <v>2289</v>
      </c>
      <c r="E562" t="str">
        <f>IF(COUNTIF($B$2:B562,B562)&gt;1,"Duplicado","Único")</f>
        <v>Único</v>
      </c>
    </row>
    <row r="563" spans="1:5" x14ac:dyDescent="0.25">
      <c r="A563" s="15">
        <v>18243</v>
      </c>
      <c r="B563" s="7">
        <v>1019058607</v>
      </c>
      <c r="C563" s="11">
        <v>46149.416666666701</v>
      </c>
      <c r="D563" s="17" t="s">
        <v>1381</v>
      </c>
      <c r="E563" t="str">
        <f>IF(COUNTIF($B$2:B563,B563)&gt;1,"Duplicado","Único")</f>
        <v>Único</v>
      </c>
    </row>
    <row r="564" spans="1:5" hidden="1" x14ac:dyDescent="0.25">
      <c r="A564" s="15">
        <v>18243</v>
      </c>
      <c r="B564" s="7">
        <v>1019058607</v>
      </c>
      <c r="C564" s="11">
        <v>46118.392303240696</v>
      </c>
      <c r="D564" s="17" t="s">
        <v>1185</v>
      </c>
      <c r="E564" t="str">
        <f>IF(COUNTIF($B$2:B564,B564)&gt;1,"Duplicado","Único")</f>
        <v>Duplicado</v>
      </c>
    </row>
    <row r="565" spans="1:5" x14ac:dyDescent="0.25">
      <c r="A565" s="15">
        <v>46162</v>
      </c>
      <c r="B565" s="7">
        <v>1019061975</v>
      </c>
      <c r="C565" s="11">
        <v>45965.464108796303</v>
      </c>
      <c r="D565" s="17" t="s">
        <v>2297</v>
      </c>
      <c r="E565" t="str">
        <f>IF(COUNTIF($B$2:B565,B565)&gt;1,"Duplicado","Único")</f>
        <v>Único</v>
      </c>
    </row>
    <row r="566" spans="1:5" x14ac:dyDescent="0.25">
      <c r="A566" s="15">
        <v>16749</v>
      </c>
      <c r="B566" s="7">
        <v>1019073821</v>
      </c>
      <c r="C566" s="11">
        <v>46121.452129629601</v>
      </c>
      <c r="D566" s="17" t="s">
        <v>4390</v>
      </c>
      <c r="E566" t="str">
        <f>IF(COUNTIF($B$2:B566,B566)&gt;1,"Duplicado","Único")</f>
        <v>Único</v>
      </c>
    </row>
    <row r="567" spans="1:5" hidden="1" x14ac:dyDescent="0.25">
      <c r="A567" s="15">
        <v>16749</v>
      </c>
      <c r="B567" s="7">
        <v>1019073821</v>
      </c>
      <c r="C567" s="11">
        <v>46101.848981481497</v>
      </c>
      <c r="D567" s="17" t="s">
        <v>4175</v>
      </c>
      <c r="E567" t="str">
        <f>IF(COUNTIF($B$2:B567,B567)&gt;1,"Duplicado","Único")</f>
        <v>Duplicado</v>
      </c>
    </row>
    <row r="568" spans="1:5" x14ac:dyDescent="0.25">
      <c r="A568" s="15">
        <v>22913</v>
      </c>
      <c r="B568" s="7">
        <v>1019077373</v>
      </c>
      <c r="C568" s="11">
        <v>45842.387812499997</v>
      </c>
      <c r="D568" s="17" t="s">
        <v>1034</v>
      </c>
      <c r="E568" t="str">
        <f>IF(COUNTIF($B$2:B568,B568)&gt;1,"Duplicado","Único")</f>
        <v>Único</v>
      </c>
    </row>
    <row r="569" spans="1:5" x14ac:dyDescent="0.25">
      <c r="A569" s="15">
        <v>49623</v>
      </c>
      <c r="B569" s="7">
        <v>1019080131</v>
      </c>
      <c r="C569" s="11">
        <v>46050.436111111099</v>
      </c>
      <c r="D569" s="17" t="s">
        <v>3239</v>
      </c>
      <c r="E569" t="str">
        <f>IF(COUNTIF($B$2:B569,B569)&gt;1,"Duplicado","Único")</f>
        <v>Único</v>
      </c>
    </row>
    <row r="570" spans="1:5" hidden="1" x14ac:dyDescent="0.25">
      <c r="A570" s="15">
        <v>49623</v>
      </c>
      <c r="B570" s="7">
        <v>1019080131</v>
      </c>
      <c r="C570" s="11">
        <v>45985.384016203701</v>
      </c>
      <c r="D570" s="17" t="s">
        <v>2681</v>
      </c>
      <c r="E570" t="str">
        <f>IF(COUNTIF($B$2:B570,B570)&gt;1,"Duplicado","Único")</f>
        <v>Duplicado</v>
      </c>
    </row>
    <row r="571" spans="1:5" x14ac:dyDescent="0.25">
      <c r="A571" s="15">
        <v>27402</v>
      </c>
      <c r="B571" s="7">
        <v>1019080657</v>
      </c>
      <c r="C571" s="11">
        <v>45874.603356481501</v>
      </c>
      <c r="D571" s="17" t="s">
        <v>1267</v>
      </c>
      <c r="E571" t="str">
        <f>IF(COUNTIF($B$2:B571,B571)&gt;1,"Duplicado","Único")</f>
        <v>Único</v>
      </c>
    </row>
    <row r="572" spans="1:5" x14ac:dyDescent="0.25">
      <c r="A572" s="15">
        <v>17258</v>
      </c>
      <c r="B572" s="7">
        <v>1019080725</v>
      </c>
      <c r="C572" s="11">
        <v>45790.464699074102</v>
      </c>
      <c r="D572" s="17" t="s">
        <v>688</v>
      </c>
      <c r="E572" t="str">
        <f>IF(COUNTIF($B$2:B572,B572)&gt;1,"Duplicado","Único")</f>
        <v>Único</v>
      </c>
    </row>
    <row r="573" spans="1:5" x14ac:dyDescent="0.25">
      <c r="A573" s="15">
        <v>44896</v>
      </c>
      <c r="B573" s="7">
        <v>1019082522</v>
      </c>
      <c r="C573" s="11">
        <v>45958.664305555598</v>
      </c>
      <c r="D573" s="17" t="s">
        <v>2175</v>
      </c>
      <c r="E573" t="str">
        <f>IF(COUNTIF($B$2:B573,B573)&gt;1,"Duplicado","Único")</f>
        <v>Único</v>
      </c>
    </row>
    <row r="574" spans="1:5" x14ac:dyDescent="0.25">
      <c r="A574" s="15">
        <v>51044</v>
      </c>
      <c r="B574" s="7">
        <v>1019082891</v>
      </c>
      <c r="C574" s="11">
        <v>46050.688518518502</v>
      </c>
      <c r="D574" s="17" t="s">
        <v>3408</v>
      </c>
      <c r="E574" t="str">
        <f>IF(COUNTIF($B$2:B574,B574)&gt;1,"Duplicado","Único")</f>
        <v>Único</v>
      </c>
    </row>
    <row r="575" spans="1:5" hidden="1" x14ac:dyDescent="0.25">
      <c r="A575" s="15">
        <v>51044</v>
      </c>
      <c r="B575" s="7">
        <v>1019082891</v>
      </c>
      <c r="C575" s="11">
        <v>46000.638865740701</v>
      </c>
      <c r="D575" s="17" t="s">
        <v>2842</v>
      </c>
      <c r="E575" t="str">
        <f>IF(COUNTIF($B$2:B575,B575)&gt;1,"Duplicado","Único")</f>
        <v>Duplicado</v>
      </c>
    </row>
    <row r="576" spans="1:5" x14ac:dyDescent="0.25">
      <c r="A576" s="15">
        <v>48852</v>
      </c>
      <c r="B576" s="7">
        <v>1019087420</v>
      </c>
      <c r="C576" s="11">
        <v>45980.435023148202</v>
      </c>
      <c r="D576" s="17" t="s">
        <v>2611</v>
      </c>
      <c r="E576" t="str">
        <f>IF(COUNTIF($B$2:B576,B576)&gt;1,"Duplicado","Único")</f>
        <v>Único</v>
      </c>
    </row>
    <row r="577" spans="1:5" x14ac:dyDescent="0.25">
      <c r="A577" s="15">
        <v>49589</v>
      </c>
      <c r="B577" s="7">
        <v>1019089594</v>
      </c>
      <c r="C577" s="11">
        <v>46050.4369560185</v>
      </c>
      <c r="D577" s="17" t="s">
        <v>3240</v>
      </c>
      <c r="E577" t="str">
        <f>IF(COUNTIF($B$2:B577,B577)&gt;1,"Duplicado","Único")</f>
        <v>Único</v>
      </c>
    </row>
    <row r="578" spans="1:5" hidden="1" x14ac:dyDescent="0.25">
      <c r="A578" s="15">
        <v>49589</v>
      </c>
      <c r="B578" s="7">
        <v>1019089594</v>
      </c>
      <c r="C578" s="11">
        <v>45985.367222222201</v>
      </c>
      <c r="D578" s="17" t="s">
        <v>2672</v>
      </c>
      <c r="E578" t="str">
        <f>IF(COUNTIF($B$2:B578,B578)&gt;1,"Duplicado","Único")</f>
        <v>Duplicado</v>
      </c>
    </row>
    <row r="579" spans="1:5" x14ac:dyDescent="0.25">
      <c r="A579" s="15">
        <v>21814</v>
      </c>
      <c r="B579" s="7">
        <v>1019090613</v>
      </c>
      <c r="C579" s="11">
        <v>45834.513981481497</v>
      </c>
      <c r="D579" s="17" t="s">
        <v>970</v>
      </c>
      <c r="E579" t="str">
        <f>IF(COUNTIF($B$2:B579,B579)&gt;1,"Duplicado","Único")</f>
        <v>Único</v>
      </c>
    </row>
    <row r="580" spans="1:5" x14ac:dyDescent="0.25">
      <c r="A580" s="15">
        <v>51967</v>
      </c>
      <c r="B580" s="7">
        <v>1019092460</v>
      </c>
      <c r="C580" s="11">
        <v>46057.354317129597</v>
      </c>
      <c r="D580" s="17" t="s">
        <v>3638</v>
      </c>
      <c r="E580" t="str">
        <f>IF(COUNTIF($B$2:B580,B580)&gt;1,"Duplicado","Único")</f>
        <v>Único</v>
      </c>
    </row>
    <row r="581" spans="1:5" hidden="1" x14ac:dyDescent="0.25">
      <c r="A581" s="15">
        <v>51967</v>
      </c>
      <c r="B581" s="7">
        <v>1019092460</v>
      </c>
      <c r="C581" s="11">
        <v>46010.489432870403</v>
      </c>
      <c r="D581" s="17" t="s">
        <v>2995</v>
      </c>
      <c r="E581" t="str">
        <f>IF(COUNTIF($B$2:B581,B581)&gt;1,"Duplicado","Único")</f>
        <v>Duplicado</v>
      </c>
    </row>
    <row r="582" spans="1:5" hidden="1" x14ac:dyDescent="0.25">
      <c r="A582" s="15">
        <v>51967</v>
      </c>
      <c r="B582" s="7">
        <v>1019092460</v>
      </c>
      <c r="C582" s="11">
        <v>46003.675324074102</v>
      </c>
      <c r="D582" s="17" t="s">
        <v>2921</v>
      </c>
      <c r="E582" t="str">
        <f>IF(COUNTIF($B$2:B582,B582)&gt;1,"Duplicado","Único")</f>
        <v>Duplicado</v>
      </c>
    </row>
    <row r="583" spans="1:5" x14ac:dyDescent="0.25">
      <c r="A583" s="15">
        <v>42878</v>
      </c>
      <c r="B583" s="7">
        <v>1019092586</v>
      </c>
      <c r="C583" s="11">
        <v>45954.606099536999</v>
      </c>
      <c r="D583" s="17" t="s">
        <v>2068</v>
      </c>
      <c r="E583" t="str">
        <f>IF(COUNTIF($B$2:B583,B583)&gt;1,"Duplicado","Único")</f>
        <v>Único</v>
      </c>
    </row>
    <row r="584" spans="1:5" x14ac:dyDescent="0.25">
      <c r="A584" s="15">
        <v>51724</v>
      </c>
      <c r="B584" s="7">
        <v>1019093973</v>
      </c>
      <c r="C584" s="11">
        <v>46051.464432870402</v>
      </c>
      <c r="D584" s="17" t="s">
        <v>3484</v>
      </c>
      <c r="E584" t="str">
        <f>IF(COUNTIF($B$2:B584,B584)&gt;1,"Duplicado","Único")</f>
        <v>Único</v>
      </c>
    </row>
    <row r="585" spans="1:5" hidden="1" x14ac:dyDescent="0.25">
      <c r="A585" s="15">
        <v>51724</v>
      </c>
      <c r="B585" s="7">
        <v>1019093973</v>
      </c>
      <c r="C585" s="11">
        <v>46002.645428240699</v>
      </c>
      <c r="D585" s="17" t="s">
        <v>2895</v>
      </c>
      <c r="E585" t="str">
        <f>IF(COUNTIF($B$2:B585,B585)&gt;1,"Duplicado","Único")</f>
        <v>Duplicado</v>
      </c>
    </row>
    <row r="586" spans="1:5" x14ac:dyDescent="0.25">
      <c r="A586" s="15">
        <v>33587</v>
      </c>
      <c r="B586" s="7">
        <v>1019094214</v>
      </c>
      <c r="C586" s="11">
        <v>45915.490462962996</v>
      </c>
      <c r="D586" s="17" t="s">
        <v>1702</v>
      </c>
      <c r="E586" t="str">
        <f>IF(COUNTIF($B$2:B586,B586)&gt;1,"Duplicado","Único")</f>
        <v>Único</v>
      </c>
    </row>
    <row r="587" spans="1:5" x14ac:dyDescent="0.25">
      <c r="A587" s="15">
        <v>45178</v>
      </c>
      <c r="B587" s="7">
        <v>1019098916</v>
      </c>
      <c r="C587" s="11">
        <v>45958.740810185198</v>
      </c>
      <c r="D587" s="17" t="s">
        <v>2195</v>
      </c>
      <c r="E587" t="str">
        <f>IF(COUNTIF($B$2:B587,B587)&gt;1,"Duplicado","Único")</f>
        <v>Único</v>
      </c>
    </row>
    <row r="588" spans="1:5" x14ac:dyDescent="0.25">
      <c r="A588" s="15">
        <v>30360</v>
      </c>
      <c r="B588" s="7">
        <v>1019104113</v>
      </c>
      <c r="C588" s="11">
        <v>45901.713796296302</v>
      </c>
      <c r="D588" s="17" t="s">
        <v>1498</v>
      </c>
      <c r="E588" t="str">
        <f>IF(COUNTIF($B$2:B588,B588)&gt;1,"Duplicado","Único")</f>
        <v>Único</v>
      </c>
    </row>
    <row r="589" spans="1:5" x14ac:dyDescent="0.25">
      <c r="A589" s="15">
        <v>16221</v>
      </c>
      <c r="B589" s="7">
        <v>1019104435</v>
      </c>
      <c r="C589" s="11">
        <v>46121.452569444402</v>
      </c>
      <c r="D589" s="17" t="s">
        <v>4391</v>
      </c>
      <c r="E589" t="str">
        <f>IF(COUNTIF($B$2:B589,B589)&gt;1,"Duplicado","Único")</f>
        <v>Único</v>
      </c>
    </row>
    <row r="590" spans="1:5" hidden="1" x14ac:dyDescent="0.25">
      <c r="A590" s="15">
        <v>16221</v>
      </c>
      <c r="B590" s="7">
        <v>1019104435</v>
      </c>
      <c r="C590" s="11">
        <v>46101.806111111102</v>
      </c>
      <c r="D590" s="17" t="s">
        <v>4135</v>
      </c>
      <c r="E590" t="str">
        <f>IF(COUNTIF($B$2:B590,B590)&gt;1,"Duplicado","Único")</f>
        <v>Duplicado</v>
      </c>
    </row>
    <row r="591" spans="1:5" x14ac:dyDescent="0.25">
      <c r="A591" s="15">
        <v>51180</v>
      </c>
      <c r="B591" s="7">
        <v>1019111625</v>
      </c>
      <c r="C591" s="11">
        <v>46051.3340046296</v>
      </c>
      <c r="D591" s="17" t="s">
        <v>3422</v>
      </c>
      <c r="E591" t="str">
        <f>IF(COUNTIF($B$2:B591,B591)&gt;1,"Duplicado","Único")</f>
        <v>Único</v>
      </c>
    </row>
    <row r="592" spans="1:5" hidden="1" x14ac:dyDescent="0.25">
      <c r="A592" s="15">
        <v>51180</v>
      </c>
      <c r="B592" s="7">
        <v>1019111625</v>
      </c>
      <c r="C592" s="11">
        <v>46001.444618055597</v>
      </c>
      <c r="D592" s="17" t="s">
        <v>2855</v>
      </c>
      <c r="E592" t="str">
        <f>IF(COUNTIF($B$2:B592,B592)&gt;1,"Duplicado","Único")</f>
        <v>Duplicado</v>
      </c>
    </row>
    <row r="593" spans="1:5" x14ac:dyDescent="0.25">
      <c r="A593" s="15">
        <v>31698</v>
      </c>
      <c r="B593" s="7">
        <v>1019117244</v>
      </c>
      <c r="C593" s="11">
        <v>45905.624756944402</v>
      </c>
      <c r="D593" s="17" t="s">
        <v>1564</v>
      </c>
      <c r="E593" t="str">
        <f>IF(COUNTIF($B$2:B593,B593)&gt;1,"Duplicado","Único")</f>
        <v>Único</v>
      </c>
    </row>
    <row r="594" spans="1:5" x14ac:dyDescent="0.25">
      <c r="A594" s="15">
        <v>26588</v>
      </c>
      <c r="B594" s="7">
        <v>1019123503</v>
      </c>
      <c r="C594" s="11">
        <v>45867.615451388898</v>
      </c>
      <c r="D594" s="17" t="s">
        <v>1216</v>
      </c>
      <c r="E594" t="str">
        <f>IF(COUNTIF($B$2:B594,B594)&gt;1,"Duplicado","Único")</f>
        <v>Único</v>
      </c>
    </row>
    <row r="595" spans="1:5" x14ac:dyDescent="0.25">
      <c r="A595" s="15">
        <v>41513</v>
      </c>
      <c r="B595" s="7">
        <v>1019124566</v>
      </c>
      <c r="C595" s="11">
        <v>45938.425127314797</v>
      </c>
      <c r="D595" s="17" t="s">
        <v>1984</v>
      </c>
      <c r="E595" t="str">
        <f>IF(COUNTIF($B$2:B595,B595)&gt;1,"Duplicado","Único")</f>
        <v>Único</v>
      </c>
    </row>
    <row r="596" spans="1:5" x14ac:dyDescent="0.25">
      <c r="A596" s="15">
        <v>29249</v>
      </c>
      <c r="B596" s="7">
        <v>1019125602</v>
      </c>
      <c r="C596" s="11">
        <v>45894.471828703703</v>
      </c>
      <c r="D596" s="17" t="s">
        <v>1399</v>
      </c>
      <c r="E596" t="str">
        <f>IF(COUNTIF($B$2:B596,B596)&gt;1,"Duplicado","Único")</f>
        <v>Único</v>
      </c>
    </row>
    <row r="597" spans="1:5" x14ac:dyDescent="0.25">
      <c r="A597" s="15">
        <v>42384</v>
      </c>
      <c r="B597" s="7">
        <v>1019127701</v>
      </c>
      <c r="C597" s="11">
        <v>45951.612199074101</v>
      </c>
      <c r="D597" s="17" t="s">
        <v>2025</v>
      </c>
      <c r="E597" t="str">
        <f>IF(COUNTIF($B$2:B597,B597)&gt;1,"Duplicado","Único")</f>
        <v>Único</v>
      </c>
    </row>
    <row r="598" spans="1:5" x14ac:dyDescent="0.25">
      <c r="A598" s="15">
        <v>32310</v>
      </c>
      <c r="B598" s="7">
        <v>1019128692</v>
      </c>
      <c r="C598" s="11">
        <v>45908.502152777801</v>
      </c>
      <c r="D598" s="17" t="s">
        <v>1606</v>
      </c>
      <c r="E598" t="str">
        <f>IF(COUNTIF($B$2:B598,B598)&gt;1,"Duplicado","Único")</f>
        <v>Único</v>
      </c>
    </row>
    <row r="599" spans="1:5" x14ac:dyDescent="0.25">
      <c r="A599" s="15">
        <v>15014</v>
      </c>
      <c r="B599" s="7">
        <v>1019133523</v>
      </c>
      <c r="C599" s="11">
        <v>46120.636539351799</v>
      </c>
      <c r="D599" s="17" t="s">
        <v>4315</v>
      </c>
      <c r="E599" t="str">
        <f>IF(COUNTIF($B$2:B599,B599)&gt;1,"Duplicado","Único")</f>
        <v>Único</v>
      </c>
    </row>
    <row r="600" spans="1:5" hidden="1" x14ac:dyDescent="0.25">
      <c r="A600" s="15">
        <v>15014</v>
      </c>
      <c r="B600" s="7">
        <v>1019133523</v>
      </c>
      <c r="C600" s="11">
        <v>46094.496736111098</v>
      </c>
      <c r="D600" s="17" t="s">
        <v>4057</v>
      </c>
      <c r="E600" t="str">
        <f>IF(COUNTIF($B$2:B600,B600)&gt;1,"Duplicado","Único")</f>
        <v>Duplicado</v>
      </c>
    </row>
    <row r="601" spans="1:5" x14ac:dyDescent="0.25">
      <c r="A601" s="15">
        <v>29885</v>
      </c>
      <c r="B601" s="7">
        <v>1019136899</v>
      </c>
      <c r="C601" s="11">
        <v>45898.450196759302</v>
      </c>
      <c r="D601" s="17" t="s">
        <v>1448</v>
      </c>
      <c r="E601" t="str">
        <f>IF(COUNTIF($B$2:B601,B601)&gt;1,"Duplicado","Único")</f>
        <v>Único</v>
      </c>
    </row>
    <row r="602" spans="1:5" x14ac:dyDescent="0.25">
      <c r="A602" s="15">
        <v>33712</v>
      </c>
      <c r="B602" s="7">
        <v>1019137691</v>
      </c>
      <c r="C602" s="11">
        <v>45915.511319444398</v>
      </c>
      <c r="D602" s="17" t="s">
        <v>1707</v>
      </c>
      <c r="E602" t="str">
        <f>IF(COUNTIF($B$2:B602,B602)&gt;1,"Duplicado","Único")</f>
        <v>Único</v>
      </c>
    </row>
    <row r="603" spans="1:5" x14ac:dyDescent="0.25">
      <c r="A603" s="15">
        <v>45967</v>
      </c>
      <c r="B603" s="7">
        <v>1019137943</v>
      </c>
      <c r="C603" s="11">
        <v>45961.459826388898</v>
      </c>
      <c r="D603" s="17" t="s">
        <v>2277</v>
      </c>
      <c r="E603" t="str">
        <f>IF(COUNTIF($B$2:B603,B603)&gt;1,"Duplicado","Único")</f>
        <v>Único</v>
      </c>
    </row>
    <row r="604" spans="1:5" x14ac:dyDescent="0.25">
      <c r="A604" s="15">
        <v>3622</v>
      </c>
      <c r="B604" s="7">
        <v>1019138582</v>
      </c>
      <c r="C604" s="11">
        <v>46086.763148148202</v>
      </c>
      <c r="D604" s="17" t="s">
        <v>3950</v>
      </c>
      <c r="E604" t="str">
        <f>IF(COUNTIF($B$2:B604,B604)&gt;1,"Duplicado","Único")</f>
        <v>Único</v>
      </c>
    </row>
    <row r="605" spans="1:5" hidden="1" x14ac:dyDescent="0.25">
      <c r="A605" s="15">
        <v>3622</v>
      </c>
      <c r="B605" s="7">
        <v>1019138582</v>
      </c>
      <c r="C605" s="11">
        <v>46052.503668981502</v>
      </c>
      <c r="D605" s="17" t="s">
        <v>3567</v>
      </c>
      <c r="E605" t="str">
        <f>IF(COUNTIF($B$2:B605,B605)&gt;1,"Duplicado","Único")</f>
        <v>Duplicado</v>
      </c>
    </row>
    <row r="606" spans="1:5" x14ac:dyDescent="0.25">
      <c r="A606" s="15">
        <v>21017</v>
      </c>
      <c r="B606" s="7">
        <v>1019142460</v>
      </c>
      <c r="C606" s="11">
        <v>45824.354293981502</v>
      </c>
      <c r="D606" s="17" t="s">
        <v>919</v>
      </c>
      <c r="E606" t="str">
        <f>IF(COUNTIF($B$2:B606,B606)&gt;1,"Duplicado","Único")</f>
        <v>Único</v>
      </c>
    </row>
    <row r="607" spans="1:5" x14ac:dyDescent="0.25">
      <c r="A607" s="15">
        <v>49658</v>
      </c>
      <c r="B607" s="7">
        <v>1019150922</v>
      </c>
      <c r="C607" s="11">
        <v>46050.439097222203</v>
      </c>
      <c r="D607" s="17" t="s">
        <v>3241</v>
      </c>
      <c r="E607" t="str">
        <f>IF(COUNTIF($B$2:B607,B607)&gt;1,"Duplicado","Único")</f>
        <v>Único</v>
      </c>
    </row>
    <row r="608" spans="1:5" hidden="1" x14ac:dyDescent="0.25">
      <c r="A608" s="15">
        <v>49658</v>
      </c>
      <c r="B608" s="7">
        <v>1019150922</v>
      </c>
      <c r="C608" s="11">
        <v>45985.395983796298</v>
      </c>
      <c r="D608" s="17" t="s">
        <v>2684</v>
      </c>
      <c r="E608" t="str">
        <f>IF(COUNTIF($B$2:B608,B608)&gt;1,"Duplicado","Único")</f>
        <v>Duplicado</v>
      </c>
    </row>
    <row r="609" spans="1:5" x14ac:dyDescent="0.25">
      <c r="A609" s="15">
        <v>46292</v>
      </c>
      <c r="B609" s="7">
        <v>1019153391</v>
      </c>
      <c r="C609" s="11">
        <v>45965.474953703699</v>
      </c>
      <c r="D609" s="17" t="s">
        <v>2305</v>
      </c>
      <c r="E609" t="str">
        <f>IF(COUNTIF($B$2:B609,B609)&gt;1,"Duplicado","Único")</f>
        <v>Único</v>
      </c>
    </row>
    <row r="610" spans="1:5" x14ac:dyDescent="0.25">
      <c r="A610" s="15">
        <v>18802</v>
      </c>
      <c r="B610" s="7">
        <v>1020397102</v>
      </c>
      <c r="C610" s="11">
        <v>45805.498993055597</v>
      </c>
      <c r="D610" s="17" t="s">
        <v>791</v>
      </c>
      <c r="E610" t="str">
        <f>IF(COUNTIF($B$2:B610,B610)&gt;1,"Duplicado","Único")</f>
        <v>Único</v>
      </c>
    </row>
    <row r="611" spans="1:5" x14ac:dyDescent="0.25">
      <c r="A611" s="15">
        <v>46206</v>
      </c>
      <c r="B611" s="7">
        <v>1020405375</v>
      </c>
      <c r="C611" s="11">
        <v>45965.469884259299</v>
      </c>
      <c r="D611" s="17" t="s">
        <v>2301</v>
      </c>
      <c r="E611" t="str">
        <f>IF(COUNTIF($B$2:B611,B611)&gt;1,"Duplicado","Único")</f>
        <v>Único</v>
      </c>
    </row>
    <row r="612" spans="1:5" x14ac:dyDescent="0.25">
      <c r="A612" s="15">
        <v>3620</v>
      </c>
      <c r="B612" s="7">
        <v>1020432993</v>
      </c>
      <c r="C612" s="11">
        <v>46086.763703703698</v>
      </c>
      <c r="D612" s="17" t="s">
        <v>998</v>
      </c>
      <c r="E612" t="str">
        <f>IF(COUNTIF($B$2:B612,B612)&gt;1,"Duplicado","Único")</f>
        <v>Único</v>
      </c>
    </row>
    <row r="613" spans="1:5" hidden="1" x14ac:dyDescent="0.25">
      <c r="A613" s="15">
        <v>3620</v>
      </c>
      <c r="B613" s="7">
        <v>1020432993</v>
      </c>
      <c r="C613" s="11">
        <v>46052.502534722204</v>
      </c>
      <c r="D613" s="17" t="s">
        <v>3566</v>
      </c>
      <c r="E613" t="str">
        <f>IF(COUNTIF($B$2:B613,B613)&gt;1,"Duplicado","Único")</f>
        <v>Duplicado</v>
      </c>
    </row>
    <row r="614" spans="1:5" x14ac:dyDescent="0.25">
      <c r="A614" s="15">
        <v>48818</v>
      </c>
      <c r="B614" s="7">
        <v>1020439711</v>
      </c>
      <c r="C614" s="11">
        <v>45980.395960648202</v>
      </c>
      <c r="D614" s="17" t="s">
        <v>2594</v>
      </c>
      <c r="E614" t="str">
        <f>IF(COUNTIF($B$2:B614,B614)&gt;1,"Duplicado","Único")</f>
        <v>Único</v>
      </c>
    </row>
    <row r="615" spans="1:5" x14ac:dyDescent="0.25">
      <c r="A615" s="15">
        <v>47925</v>
      </c>
      <c r="B615" s="7">
        <v>1020457844</v>
      </c>
      <c r="C615" s="11">
        <v>45973.675486111097</v>
      </c>
      <c r="D615" s="17" t="s">
        <v>2478</v>
      </c>
      <c r="E615" t="str">
        <f>IF(COUNTIF($B$2:B615,B615)&gt;1,"Duplicado","Único")</f>
        <v>Único</v>
      </c>
    </row>
    <row r="616" spans="1:5" x14ac:dyDescent="0.25">
      <c r="A616" s="15">
        <v>41338</v>
      </c>
      <c r="B616" s="7">
        <v>1020471911</v>
      </c>
      <c r="C616" s="11">
        <v>46051.473738425899</v>
      </c>
      <c r="D616" s="17" t="s">
        <v>3497</v>
      </c>
      <c r="E616" t="str">
        <f>IF(COUNTIF($B$2:B616,B616)&gt;1,"Duplicado","Único")</f>
        <v>Único</v>
      </c>
    </row>
    <row r="617" spans="1:5" hidden="1" x14ac:dyDescent="0.25">
      <c r="A617" s="15">
        <v>41338</v>
      </c>
      <c r="B617" s="7">
        <v>1020471911</v>
      </c>
      <c r="C617" s="11">
        <v>46003.401828703703</v>
      </c>
      <c r="D617" s="17" t="s">
        <v>2912</v>
      </c>
      <c r="E617" t="str">
        <f>IF(COUNTIF($B$2:B617,B617)&gt;1,"Duplicado","Único")</f>
        <v>Duplicado</v>
      </c>
    </row>
    <row r="618" spans="1:5" hidden="1" x14ac:dyDescent="0.25">
      <c r="A618" s="15">
        <v>41338</v>
      </c>
      <c r="B618" s="7">
        <v>1020471911</v>
      </c>
      <c r="C618" s="11">
        <v>45937.535937499997</v>
      </c>
      <c r="D618" s="17" t="s">
        <v>1967</v>
      </c>
      <c r="E618" t="str">
        <f>IF(COUNTIF($B$2:B618,B618)&gt;1,"Duplicado","Único")</f>
        <v>Duplicado</v>
      </c>
    </row>
    <row r="619" spans="1:5" x14ac:dyDescent="0.25">
      <c r="A619" s="15">
        <v>17767</v>
      </c>
      <c r="B619" s="7">
        <v>1020472210</v>
      </c>
      <c r="C619" s="11">
        <v>46149.465879629599</v>
      </c>
      <c r="D619" s="17" t="s">
        <v>4494</v>
      </c>
      <c r="E619" t="str">
        <f>IF(COUNTIF($B$2:B619,B619)&gt;1,"Duplicado","Único")</f>
        <v>Único</v>
      </c>
    </row>
    <row r="620" spans="1:5" hidden="1" x14ac:dyDescent="0.25">
      <c r="A620" s="15">
        <v>17767</v>
      </c>
      <c r="B620" s="7">
        <v>1020472210</v>
      </c>
      <c r="C620" s="11">
        <v>46108.830659722204</v>
      </c>
      <c r="D620" s="17" t="s">
        <v>1156</v>
      </c>
      <c r="E620" t="str">
        <f>IF(COUNTIF($B$2:B620,B620)&gt;1,"Duplicado","Único")</f>
        <v>Duplicado</v>
      </c>
    </row>
    <row r="621" spans="1:5" x14ac:dyDescent="0.25">
      <c r="A621" s="15">
        <v>53714</v>
      </c>
      <c r="B621" s="7">
        <v>1020714534</v>
      </c>
      <c r="C621" s="11">
        <v>46057.4198958333</v>
      </c>
      <c r="D621" s="17" t="s">
        <v>3696</v>
      </c>
      <c r="E621" t="str">
        <f>IF(COUNTIF($B$2:B621,B621)&gt;1,"Duplicado","Único")</f>
        <v>Único</v>
      </c>
    </row>
    <row r="622" spans="1:5" hidden="1" x14ac:dyDescent="0.25">
      <c r="A622" s="15">
        <v>53714</v>
      </c>
      <c r="B622" s="7">
        <v>1020714534</v>
      </c>
      <c r="C622" s="11">
        <v>46013.497685185197</v>
      </c>
      <c r="D622" s="17" t="s">
        <v>3029</v>
      </c>
      <c r="E622" t="str">
        <f>IF(COUNTIF($B$2:B622,B622)&gt;1,"Duplicado","Único")</f>
        <v>Duplicado</v>
      </c>
    </row>
    <row r="623" spans="1:5" x14ac:dyDescent="0.25">
      <c r="A623" s="15">
        <v>44815</v>
      </c>
      <c r="B623" s="7">
        <v>1020715074</v>
      </c>
      <c r="C623" s="11">
        <v>45958.641504629602</v>
      </c>
      <c r="D623" s="17" t="s">
        <v>2169</v>
      </c>
      <c r="E623" t="str">
        <f>IF(COUNTIF($B$2:B623,B623)&gt;1,"Duplicado","Único")</f>
        <v>Único</v>
      </c>
    </row>
    <row r="624" spans="1:5" x14ac:dyDescent="0.25">
      <c r="A624" s="15">
        <v>20030</v>
      </c>
      <c r="B624" s="7">
        <v>1020726990</v>
      </c>
      <c r="C624" s="11">
        <v>45852.418298611097</v>
      </c>
      <c r="D624" s="17" t="s">
        <v>1062</v>
      </c>
      <c r="E624" t="str">
        <f>IF(COUNTIF($B$2:B624,B624)&gt;1,"Duplicado","Único")</f>
        <v>Único</v>
      </c>
    </row>
    <row r="625" spans="1:5" hidden="1" x14ac:dyDescent="0.25">
      <c r="A625" s="15">
        <v>20030</v>
      </c>
      <c r="B625" s="7">
        <v>1020726990</v>
      </c>
      <c r="C625" s="11">
        <v>45821.3729282407</v>
      </c>
      <c r="D625" s="17" t="s">
        <v>898</v>
      </c>
      <c r="E625" t="str">
        <f>IF(COUNTIF($B$2:B625,B625)&gt;1,"Duplicado","Único")</f>
        <v>Duplicado</v>
      </c>
    </row>
    <row r="626" spans="1:5" hidden="1" x14ac:dyDescent="0.25">
      <c r="A626" s="15">
        <v>20030</v>
      </c>
      <c r="B626" s="7">
        <v>1020726990</v>
      </c>
      <c r="C626" s="11">
        <v>45819.678344907399</v>
      </c>
      <c r="D626" s="17" t="s">
        <v>857</v>
      </c>
      <c r="E626" t="str">
        <f>IF(COUNTIF($B$2:B626,B626)&gt;1,"Duplicado","Único")</f>
        <v>Duplicado</v>
      </c>
    </row>
    <row r="627" spans="1:5" x14ac:dyDescent="0.25">
      <c r="A627" s="15">
        <v>31137</v>
      </c>
      <c r="B627" s="7">
        <v>1020729676</v>
      </c>
      <c r="C627" s="11">
        <v>45903.686446759297</v>
      </c>
      <c r="D627" s="17" t="s">
        <v>1512</v>
      </c>
      <c r="E627" t="str">
        <f>IF(COUNTIF($B$2:B627,B627)&gt;1,"Duplicado","Único")</f>
        <v>Único</v>
      </c>
    </row>
    <row r="628" spans="1:5" x14ac:dyDescent="0.25">
      <c r="A628" s="15">
        <v>47540</v>
      </c>
      <c r="B628" s="7">
        <v>1020741363</v>
      </c>
      <c r="C628" s="11">
        <v>45972.422291666699</v>
      </c>
      <c r="D628" s="17" t="s">
        <v>2423</v>
      </c>
      <c r="E628" t="str">
        <f>IF(COUNTIF($B$2:B628,B628)&gt;1,"Duplicado","Único")</f>
        <v>Único</v>
      </c>
    </row>
    <row r="629" spans="1:5" x14ac:dyDescent="0.25">
      <c r="A629" s="15">
        <v>41399</v>
      </c>
      <c r="B629" s="7">
        <v>1020741514</v>
      </c>
      <c r="C629" s="11">
        <v>45938.3936805556</v>
      </c>
      <c r="D629" s="17" t="s">
        <v>1970</v>
      </c>
      <c r="E629" t="str">
        <f>IF(COUNTIF($B$2:B629,B629)&gt;1,"Duplicado","Único")</f>
        <v>Único</v>
      </c>
    </row>
    <row r="630" spans="1:5" x14ac:dyDescent="0.25">
      <c r="A630" s="15">
        <v>53868</v>
      </c>
      <c r="B630" s="7">
        <v>1020754335</v>
      </c>
      <c r="C630" s="11">
        <v>46057.420532407399</v>
      </c>
      <c r="D630" s="17" t="s">
        <v>3697</v>
      </c>
      <c r="E630" t="str">
        <f>IF(COUNTIF($B$2:B630,B630)&gt;1,"Duplicado","Único")</f>
        <v>Único</v>
      </c>
    </row>
    <row r="631" spans="1:5" hidden="1" x14ac:dyDescent="0.25">
      <c r="A631" s="15">
        <v>53868</v>
      </c>
      <c r="B631" s="7">
        <v>1020754335</v>
      </c>
      <c r="C631" s="11">
        <v>46013.6421527778</v>
      </c>
      <c r="D631" s="17" t="s">
        <v>3055</v>
      </c>
      <c r="E631" t="str">
        <f>IF(COUNTIF($B$2:B631,B631)&gt;1,"Duplicado","Único")</f>
        <v>Duplicado</v>
      </c>
    </row>
    <row r="632" spans="1:5" x14ac:dyDescent="0.25">
      <c r="A632" s="15">
        <v>484</v>
      </c>
      <c r="B632" s="7">
        <v>1020754419</v>
      </c>
      <c r="C632" s="11">
        <v>46086.507337962998</v>
      </c>
      <c r="D632" s="17" t="s">
        <v>3826</v>
      </c>
      <c r="E632" t="str">
        <f>IF(COUNTIF($B$2:B632,B632)&gt;1,"Duplicado","Único")</f>
        <v>Único</v>
      </c>
    </row>
    <row r="633" spans="1:5" hidden="1" x14ac:dyDescent="0.25">
      <c r="A633" s="15">
        <v>484</v>
      </c>
      <c r="B633" s="7">
        <v>1020754419</v>
      </c>
      <c r="C633" s="11">
        <v>46035.394722222198</v>
      </c>
      <c r="D633" s="17" t="s">
        <v>3133</v>
      </c>
      <c r="E633" t="str">
        <f>IF(COUNTIF($B$2:B633,B633)&gt;1,"Duplicado","Único")</f>
        <v>Duplicado</v>
      </c>
    </row>
    <row r="634" spans="1:5" x14ac:dyDescent="0.25">
      <c r="A634" s="15">
        <v>31081</v>
      </c>
      <c r="B634" s="7">
        <v>1020756720</v>
      </c>
      <c r="C634" s="11">
        <v>45903.661168981504</v>
      </c>
      <c r="D634" s="17" t="s">
        <v>1503</v>
      </c>
      <c r="E634" t="str">
        <f>IF(COUNTIF($B$2:B634,B634)&gt;1,"Duplicado","Único")</f>
        <v>Único</v>
      </c>
    </row>
    <row r="635" spans="1:5" x14ac:dyDescent="0.25">
      <c r="A635" s="15">
        <v>16919</v>
      </c>
      <c r="B635" s="7">
        <v>1020765272</v>
      </c>
      <c r="C635" s="11">
        <v>46149.466932870397</v>
      </c>
      <c r="D635" s="17" t="s">
        <v>4495</v>
      </c>
      <c r="E635" t="str">
        <f>IF(COUNTIF($B$2:B635,B635)&gt;1,"Duplicado","Único")</f>
        <v>Único</v>
      </c>
    </row>
    <row r="636" spans="1:5" hidden="1" x14ac:dyDescent="0.25">
      <c r="A636" s="15">
        <v>16919</v>
      </c>
      <c r="B636" s="7">
        <v>1020765272</v>
      </c>
      <c r="C636" s="11">
        <v>46108.497962963003</v>
      </c>
      <c r="D636" s="17" t="s">
        <v>4199</v>
      </c>
      <c r="E636" t="str">
        <f>IF(COUNTIF($B$2:B636,B636)&gt;1,"Duplicado","Único")</f>
        <v>Duplicado</v>
      </c>
    </row>
    <row r="637" spans="1:5" x14ac:dyDescent="0.25">
      <c r="A637" s="15">
        <v>17976</v>
      </c>
      <c r="B637" s="7">
        <v>1020777631</v>
      </c>
      <c r="C637" s="11">
        <v>45798.392002314802</v>
      </c>
      <c r="D637" s="17" t="s">
        <v>740</v>
      </c>
      <c r="E637" t="str">
        <f>IF(COUNTIF($B$2:B637,B637)&gt;1,"Duplicado","Único")</f>
        <v>Único</v>
      </c>
    </row>
    <row r="638" spans="1:5" x14ac:dyDescent="0.25">
      <c r="A638" s="15">
        <v>44250</v>
      </c>
      <c r="B638" s="7">
        <v>1020788309</v>
      </c>
      <c r="C638" s="11">
        <v>45958.425335648099</v>
      </c>
      <c r="D638" s="17" t="s">
        <v>2118</v>
      </c>
      <c r="E638" t="str">
        <f>IF(COUNTIF($B$2:B638,B638)&gt;1,"Duplicado","Único")</f>
        <v>Único</v>
      </c>
    </row>
    <row r="639" spans="1:5" x14ac:dyDescent="0.25">
      <c r="A639" s="15">
        <v>48848</v>
      </c>
      <c r="B639" s="7">
        <v>1020790919</v>
      </c>
      <c r="C639" s="11">
        <v>45980.430775462999</v>
      </c>
      <c r="D639" s="17" t="s">
        <v>2610</v>
      </c>
      <c r="E639" t="str">
        <f>IF(COUNTIF($B$2:B639,B639)&gt;1,"Duplicado","Único")</f>
        <v>Único</v>
      </c>
    </row>
    <row r="640" spans="1:5" x14ac:dyDescent="0.25">
      <c r="A640" s="15">
        <v>50446</v>
      </c>
      <c r="B640" s="7">
        <v>1020790976</v>
      </c>
      <c r="C640" s="11">
        <v>46050.617268518501</v>
      </c>
      <c r="D640" s="17" t="s">
        <v>3326</v>
      </c>
      <c r="E640" t="str">
        <f>IF(COUNTIF($B$2:B640,B640)&gt;1,"Duplicado","Único")</f>
        <v>Único</v>
      </c>
    </row>
    <row r="641" spans="1:5" hidden="1" x14ac:dyDescent="0.25">
      <c r="A641" s="15">
        <v>50446</v>
      </c>
      <c r="B641" s="7">
        <v>1020790976</v>
      </c>
      <c r="C641" s="11">
        <v>45988.729814814797</v>
      </c>
      <c r="D641" s="17" t="s">
        <v>2769</v>
      </c>
      <c r="E641" t="str">
        <f>IF(COUNTIF($B$2:B641,B641)&gt;1,"Duplicado","Único")</f>
        <v>Duplicado</v>
      </c>
    </row>
    <row r="642" spans="1:5" x14ac:dyDescent="0.25">
      <c r="A642" s="15">
        <v>44710</v>
      </c>
      <c r="B642" s="7">
        <v>1020794271</v>
      </c>
      <c r="C642" s="11">
        <v>45958.6074884259</v>
      </c>
      <c r="D642" s="17" t="s">
        <v>2158</v>
      </c>
      <c r="E642" t="str">
        <f>IF(COUNTIF($B$2:B642,B642)&gt;1,"Duplicado","Único")</f>
        <v>Único</v>
      </c>
    </row>
    <row r="643" spans="1:5" x14ac:dyDescent="0.25">
      <c r="A643" s="15">
        <v>49871</v>
      </c>
      <c r="B643" s="7">
        <v>1020798164</v>
      </c>
      <c r="C643" s="11">
        <v>46050.484039351897</v>
      </c>
      <c r="D643" s="17" t="s">
        <v>3267</v>
      </c>
      <c r="E643" t="str">
        <f>IF(COUNTIF($B$2:B643,B643)&gt;1,"Duplicado","Único")</f>
        <v>Único</v>
      </c>
    </row>
    <row r="644" spans="1:5" hidden="1" x14ac:dyDescent="0.25">
      <c r="A644" s="15">
        <v>49871</v>
      </c>
      <c r="B644" s="7">
        <v>1020798164</v>
      </c>
      <c r="C644" s="11">
        <v>45986.360810185201</v>
      </c>
      <c r="D644" s="17" t="s">
        <v>2703</v>
      </c>
      <c r="E644" t="str">
        <f>IF(COUNTIF($B$2:B644,B644)&gt;1,"Duplicado","Único")</f>
        <v>Duplicado</v>
      </c>
    </row>
    <row r="645" spans="1:5" x14ac:dyDescent="0.25">
      <c r="A645" s="15">
        <v>17285</v>
      </c>
      <c r="B645" s="7">
        <v>1020804799</v>
      </c>
      <c r="C645" s="11">
        <v>46149.467997685198</v>
      </c>
      <c r="D645" s="17" t="s">
        <v>4496</v>
      </c>
      <c r="E645" t="str">
        <f>IF(COUNTIF($B$2:B645,B645)&gt;1,"Duplicado","Único")</f>
        <v>Único</v>
      </c>
    </row>
    <row r="646" spans="1:5" hidden="1" x14ac:dyDescent="0.25">
      <c r="A646" s="15">
        <v>17285</v>
      </c>
      <c r="B646" s="7">
        <v>1020804799</v>
      </c>
      <c r="C646" s="11">
        <v>46108.5105555556</v>
      </c>
      <c r="D646" s="17" t="s">
        <v>4214</v>
      </c>
      <c r="E646" t="str">
        <f>IF(COUNTIF($B$2:B646,B646)&gt;1,"Duplicado","Único")</f>
        <v>Duplicado</v>
      </c>
    </row>
    <row r="647" spans="1:5" x14ac:dyDescent="0.25">
      <c r="A647" s="15">
        <v>17337</v>
      </c>
      <c r="B647" s="7">
        <v>1020805548</v>
      </c>
      <c r="C647" s="11">
        <v>46149.469224537002</v>
      </c>
      <c r="D647" s="17" t="s">
        <v>4497</v>
      </c>
      <c r="E647" t="str">
        <f>IF(COUNTIF($B$2:B647,B647)&gt;1,"Duplicado","Único")</f>
        <v>Único</v>
      </c>
    </row>
    <row r="648" spans="1:5" hidden="1" x14ac:dyDescent="0.25">
      <c r="A648" s="15">
        <v>17337</v>
      </c>
      <c r="B648" s="7">
        <v>1020805548</v>
      </c>
      <c r="C648" s="11">
        <v>46108.5546412037</v>
      </c>
      <c r="D648" s="17" t="s">
        <v>4216</v>
      </c>
      <c r="E648" t="str">
        <f>IF(COUNTIF($B$2:B648,B648)&gt;1,"Duplicado","Único")</f>
        <v>Duplicado</v>
      </c>
    </row>
    <row r="649" spans="1:5" x14ac:dyDescent="0.25">
      <c r="A649" s="15">
        <v>2604</v>
      </c>
      <c r="B649" s="7">
        <v>1020806034</v>
      </c>
      <c r="C649" s="11">
        <v>46086.749537037002</v>
      </c>
      <c r="D649" s="17" t="s">
        <v>3941</v>
      </c>
      <c r="E649" t="str">
        <f>IF(COUNTIF($B$2:B649,B649)&gt;1,"Duplicado","Único")</f>
        <v>Único</v>
      </c>
    </row>
    <row r="650" spans="1:5" hidden="1" x14ac:dyDescent="0.25">
      <c r="A650" s="15">
        <v>2604</v>
      </c>
      <c r="B650" s="7">
        <v>1020806034</v>
      </c>
      <c r="C650" s="11">
        <v>46051.447175925903</v>
      </c>
      <c r="D650" s="17" t="s">
        <v>3468</v>
      </c>
      <c r="E650" t="str">
        <f>IF(COUNTIF($B$2:B650,B650)&gt;1,"Duplicado","Único")</f>
        <v>Duplicado</v>
      </c>
    </row>
    <row r="651" spans="1:5" x14ac:dyDescent="0.25">
      <c r="A651" s="15">
        <v>34587</v>
      </c>
      <c r="B651" s="7">
        <v>1020809626</v>
      </c>
      <c r="C651" s="11">
        <v>45916.384097222202</v>
      </c>
      <c r="D651" s="17" t="s">
        <v>1715</v>
      </c>
      <c r="E651" t="str">
        <f>IF(COUNTIF($B$2:B651,B651)&gt;1,"Duplicado","Único")</f>
        <v>Único</v>
      </c>
    </row>
    <row r="652" spans="1:5" x14ac:dyDescent="0.25">
      <c r="A652" s="15">
        <v>15030</v>
      </c>
      <c r="B652" s="7">
        <v>1020810434</v>
      </c>
      <c r="C652" s="11">
        <v>46120.666030092601</v>
      </c>
      <c r="D652" s="17" t="s">
        <v>4343</v>
      </c>
      <c r="E652" t="str">
        <f>IF(COUNTIF($B$2:B652,B652)&gt;1,"Duplicado","Único")</f>
        <v>Único</v>
      </c>
    </row>
    <row r="653" spans="1:5" hidden="1" x14ac:dyDescent="0.25">
      <c r="A653" s="15">
        <v>15030</v>
      </c>
      <c r="B653" s="7">
        <v>1020810434</v>
      </c>
      <c r="C653" s="11">
        <v>46094.497766203698</v>
      </c>
      <c r="D653" s="17" t="s">
        <v>4058</v>
      </c>
      <c r="E653" t="str">
        <f>IF(COUNTIF($B$2:B653,B653)&gt;1,"Duplicado","Único")</f>
        <v>Duplicado</v>
      </c>
    </row>
    <row r="654" spans="1:5" x14ac:dyDescent="0.25">
      <c r="A654" s="15">
        <v>27143</v>
      </c>
      <c r="B654" s="7">
        <v>1020815529</v>
      </c>
      <c r="C654" s="11">
        <v>45874.448807870402</v>
      </c>
      <c r="D654" s="17" t="s">
        <v>1246</v>
      </c>
      <c r="E654" t="str">
        <f>IF(COUNTIF($B$2:B654,B654)&gt;1,"Duplicado","Único")</f>
        <v>Único</v>
      </c>
    </row>
    <row r="655" spans="1:5" x14ac:dyDescent="0.25">
      <c r="A655" s="15">
        <v>21924</v>
      </c>
      <c r="B655" s="7">
        <v>1020820927</v>
      </c>
      <c r="C655" s="11">
        <v>45834.527025463001</v>
      </c>
      <c r="D655" s="17" t="s">
        <v>975</v>
      </c>
      <c r="E655" t="str">
        <f>IF(COUNTIF($B$2:B655,B655)&gt;1,"Duplicado","Único")</f>
        <v>Único</v>
      </c>
    </row>
    <row r="656" spans="1:5" x14ac:dyDescent="0.25">
      <c r="A656" s="15">
        <v>49745</v>
      </c>
      <c r="B656" s="7">
        <v>1020827775</v>
      </c>
      <c r="C656" s="11">
        <v>46050.444259259297</v>
      </c>
      <c r="D656" s="17" t="s">
        <v>3242</v>
      </c>
      <c r="E656" t="str">
        <f>IF(COUNTIF($B$2:B656,B656)&gt;1,"Duplicado","Único")</f>
        <v>Único</v>
      </c>
    </row>
    <row r="657" spans="1:5" hidden="1" x14ac:dyDescent="0.25">
      <c r="A657" s="15">
        <v>49745</v>
      </c>
      <c r="B657" s="7">
        <v>1020827775</v>
      </c>
      <c r="C657" s="11">
        <v>45985.5875578704</v>
      </c>
      <c r="D657" s="17" t="s">
        <v>2694</v>
      </c>
      <c r="E657" t="str">
        <f>IF(COUNTIF($B$2:B657,B657)&gt;1,"Duplicado","Único")</f>
        <v>Duplicado</v>
      </c>
    </row>
    <row r="658" spans="1:5" x14ac:dyDescent="0.25">
      <c r="A658" s="15">
        <v>40733</v>
      </c>
      <c r="B658" s="7">
        <v>1020828063</v>
      </c>
      <c r="C658" s="11">
        <v>45936.445636574099</v>
      </c>
      <c r="D658" s="17" t="s">
        <v>1935</v>
      </c>
      <c r="E658" t="str">
        <f>IF(COUNTIF($B$2:B658,B658)&gt;1,"Duplicado","Único")</f>
        <v>Único</v>
      </c>
    </row>
    <row r="659" spans="1:5" x14ac:dyDescent="0.25">
      <c r="A659" s="15">
        <v>33425</v>
      </c>
      <c r="B659" s="7">
        <v>1020832367</v>
      </c>
      <c r="C659" s="11">
        <v>45915.402418981503</v>
      </c>
      <c r="D659" s="17" t="s">
        <v>1698</v>
      </c>
      <c r="E659" t="str">
        <f>IF(COUNTIF($B$2:B659,B659)&gt;1,"Duplicado","Único")</f>
        <v>Único</v>
      </c>
    </row>
    <row r="660" spans="1:5" x14ac:dyDescent="0.25">
      <c r="A660" s="15">
        <v>41419</v>
      </c>
      <c r="B660" s="7">
        <v>1020833139</v>
      </c>
      <c r="C660" s="11">
        <v>45938.406840277799</v>
      </c>
      <c r="D660" s="17" t="s">
        <v>1975</v>
      </c>
      <c r="E660" t="str">
        <f>IF(COUNTIF($B$2:B660,B660)&gt;1,"Duplicado","Único")</f>
        <v>Único</v>
      </c>
    </row>
    <row r="661" spans="1:5" x14ac:dyDescent="0.25">
      <c r="A661" s="15">
        <v>42598</v>
      </c>
      <c r="B661" s="7">
        <v>1020837841</v>
      </c>
      <c r="C661" s="11">
        <v>45953.395324074103</v>
      </c>
      <c r="D661" s="17" t="s">
        <v>2042</v>
      </c>
      <c r="E661" t="str">
        <f>IF(COUNTIF($B$2:B661,B661)&gt;1,"Duplicado","Único")</f>
        <v>Único</v>
      </c>
    </row>
    <row r="662" spans="1:5" x14ac:dyDescent="0.25">
      <c r="A662" s="15">
        <v>51710</v>
      </c>
      <c r="B662" s="7">
        <v>1020839030</v>
      </c>
      <c r="C662" s="11">
        <v>46051.437488425901</v>
      </c>
      <c r="D662" s="17" t="s">
        <v>3459</v>
      </c>
      <c r="E662" t="str">
        <f>IF(COUNTIF($B$2:B662,B662)&gt;1,"Duplicado","Único")</f>
        <v>Único</v>
      </c>
    </row>
    <row r="663" spans="1:5" hidden="1" x14ac:dyDescent="0.25">
      <c r="A663" s="15">
        <v>51710</v>
      </c>
      <c r="B663" s="7">
        <v>1020839030</v>
      </c>
      <c r="C663" s="11">
        <v>46002.5004976852</v>
      </c>
      <c r="D663" s="17" t="s">
        <v>2877</v>
      </c>
      <c r="E663" t="str">
        <f>IF(COUNTIF($B$2:B663,B663)&gt;1,"Duplicado","Único")</f>
        <v>Duplicado</v>
      </c>
    </row>
    <row r="664" spans="1:5" x14ac:dyDescent="0.25">
      <c r="A664" s="15">
        <v>39710</v>
      </c>
      <c r="B664" s="7">
        <v>1020840000</v>
      </c>
      <c r="C664" s="11">
        <v>45931.356481481504</v>
      </c>
      <c r="D664" s="17" t="s">
        <v>1895</v>
      </c>
      <c r="E664" t="str">
        <f>IF(COUNTIF($B$2:B664,B664)&gt;1,"Duplicado","Único")</f>
        <v>Único</v>
      </c>
    </row>
    <row r="665" spans="1:5" x14ac:dyDescent="0.25">
      <c r="A665" s="15">
        <v>3878</v>
      </c>
      <c r="B665" s="7">
        <v>1020840228</v>
      </c>
      <c r="C665" s="11">
        <v>46086.781435185199</v>
      </c>
      <c r="D665" s="17" t="s">
        <v>3972</v>
      </c>
      <c r="E665" t="str">
        <f>IF(COUNTIF($B$2:B665,B665)&gt;1,"Duplicado","Único")</f>
        <v>Único</v>
      </c>
    </row>
    <row r="666" spans="1:5" hidden="1" x14ac:dyDescent="0.25">
      <c r="A666" s="15">
        <v>3878</v>
      </c>
      <c r="B666" s="7">
        <v>1020840228</v>
      </c>
      <c r="C666" s="11">
        <v>46055.447800925896</v>
      </c>
      <c r="D666" s="17" t="s">
        <v>3596</v>
      </c>
      <c r="E666" t="str">
        <f>IF(COUNTIF($B$2:B666,B666)&gt;1,"Duplicado","Único")</f>
        <v>Duplicado</v>
      </c>
    </row>
    <row r="667" spans="1:5" x14ac:dyDescent="0.25">
      <c r="A667" s="15">
        <v>24890</v>
      </c>
      <c r="B667" s="7">
        <v>1020842570</v>
      </c>
      <c r="C667" s="11">
        <v>45859.589861111097</v>
      </c>
      <c r="D667" s="17" t="s">
        <v>1102</v>
      </c>
      <c r="E667" t="str">
        <f>IF(COUNTIF($B$2:B667,B667)&gt;1,"Duplicado","Único")</f>
        <v>Único</v>
      </c>
    </row>
    <row r="668" spans="1:5" x14ac:dyDescent="0.25">
      <c r="A668" s="15">
        <v>47717</v>
      </c>
      <c r="B668" s="7">
        <v>1020845311</v>
      </c>
      <c r="C668" s="11">
        <v>45973.645601851902</v>
      </c>
      <c r="D668" s="17" t="s">
        <v>2457</v>
      </c>
      <c r="E668" t="str">
        <f>IF(COUNTIF($B$2:B668,B668)&gt;1,"Duplicado","Único")</f>
        <v>Único</v>
      </c>
    </row>
    <row r="669" spans="1:5" hidden="1" x14ac:dyDescent="0.25">
      <c r="A669" s="15">
        <v>47717</v>
      </c>
      <c r="B669" s="7">
        <v>1020845311</v>
      </c>
      <c r="C669" s="11">
        <v>45973.368587962999</v>
      </c>
      <c r="D669" s="17" t="s">
        <v>2445</v>
      </c>
      <c r="E669" t="str">
        <f>IF(COUNTIF($B$2:B669,B669)&gt;1,"Duplicado","Único")</f>
        <v>Duplicado</v>
      </c>
    </row>
    <row r="670" spans="1:5" x14ac:dyDescent="0.25">
      <c r="A670" s="15">
        <v>46804</v>
      </c>
      <c r="B670" s="7">
        <v>1022095966</v>
      </c>
      <c r="C670" s="11">
        <v>45967.680613425902</v>
      </c>
      <c r="D670" s="17" t="s">
        <v>2352</v>
      </c>
      <c r="E670" t="str">
        <f>IF(COUNTIF($B$2:B670,B670)&gt;1,"Duplicado","Único")</f>
        <v>Único</v>
      </c>
    </row>
    <row r="671" spans="1:5" x14ac:dyDescent="0.25">
      <c r="A671" s="15">
        <v>47174</v>
      </c>
      <c r="B671" s="7">
        <v>1022324497</v>
      </c>
      <c r="C671" s="11">
        <v>45968.742754629602</v>
      </c>
      <c r="D671" s="17" t="s">
        <v>2398</v>
      </c>
      <c r="E671" t="str">
        <f>IF(COUNTIF($B$2:B671,B671)&gt;1,"Duplicado","Único")</f>
        <v>Único</v>
      </c>
    </row>
    <row r="672" spans="1:5" x14ac:dyDescent="0.25">
      <c r="A672" s="15">
        <v>27163</v>
      </c>
      <c r="B672" s="7">
        <v>1022332109</v>
      </c>
      <c r="C672" s="11">
        <v>45874.452395833301</v>
      </c>
      <c r="D672" s="17" t="s">
        <v>1249</v>
      </c>
      <c r="E672" t="str">
        <f>IF(COUNTIF($B$2:B672,B672)&gt;1,"Duplicado","Único")</f>
        <v>Único</v>
      </c>
    </row>
    <row r="673" spans="1:5" x14ac:dyDescent="0.25">
      <c r="A673" s="15">
        <v>32702</v>
      </c>
      <c r="B673" s="7">
        <v>1022344138</v>
      </c>
      <c r="C673" s="11">
        <v>45910.405231481498</v>
      </c>
      <c r="D673" s="17" t="s">
        <v>1637</v>
      </c>
      <c r="E673" t="str">
        <f>IF(COUNTIF($B$2:B673,B673)&gt;1,"Duplicado","Único")</f>
        <v>Único</v>
      </c>
    </row>
    <row r="674" spans="1:5" x14ac:dyDescent="0.25">
      <c r="A674" s="15">
        <v>26176</v>
      </c>
      <c r="B674" s="7">
        <v>1022351117</v>
      </c>
      <c r="C674" s="11">
        <v>45867.350324074097</v>
      </c>
      <c r="D674" s="17" t="s">
        <v>1174</v>
      </c>
      <c r="E674" t="str">
        <f>IF(COUNTIF($B$2:B674,B674)&gt;1,"Duplicado","Único")</f>
        <v>Único</v>
      </c>
    </row>
    <row r="675" spans="1:5" x14ac:dyDescent="0.25">
      <c r="A675" s="15">
        <v>28786</v>
      </c>
      <c r="B675" s="7">
        <v>1022355057</v>
      </c>
      <c r="C675" s="11">
        <v>45888.678819444402</v>
      </c>
      <c r="D675" s="17" t="s">
        <v>1361</v>
      </c>
      <c r="E675" t="str">
        <f>IF(COUNTIF($B$2:B675,B675)&gt;1,"Duplicado","Único")</f>
        <v>Único</v>
      </c>
    </row>
    <row r="676" spans="1:5" x14ac:dyDescent="0.25">
      <c r="A676" s="15">
        <v>14595</v>
      </c>
      <c r="B676" s="7">
        <v>1022361627</v>
      </c>
      <c r="C676" s="11">
        <v>46120.472210648099</v>
      </c>
      <c r="D676" s="17" t="s">
        <v>4265</v>
      </c>
      <c r="E676" t="str">
        <f>IF(COUNTIF($B$2:B676,B676)&gt;1,"Duplicado","Único")</f>
        <v>Único</v>
      </c>
    </row>
    <row r="677" spans="1:5" hidden="1" x14ac:dyDescent="0.25">
      <c r="A677" s="15">
        <v>14595</v>
      </c>
      <c r="B677" s="7">
        <v>1022361627</v>
      </c>
      <c r="C677" s="11">
        <v>46090.685081018499</v>
      </c>
      <c r="D677" s="17" t="s">
        <v>1027</v>
      </c>
      <c r="E677" t="str">
        <f>IF(COUNTIF($B$2:B677,B677)&gt;1,"Duplicado","Único")</f>
        <v>Duplicado</v>
      </c>
    </row>
    <row r="678" spans="1:5" x14ac:dyDescent="0.25">
      <c r="A678" s="15">
        <v>48386</v>
      </c>
      <c r="B678" s="7">
        <v>1022370301</v>
      </c>
      <c r="C678" s="11">
        <v>45975.684236111098</v>
      </c>
      <c r="D678" s="17" t="s">
        <v>2532</v>
      </c>
      <c r="E678" t="str">
        <f>IF(COUNTIF($B$2:B678,B678)&gt;1,"Duplicado","Único")</f>
        <v>Único</v>
      </c>
    </row>
    <row r="679" spans="1:5" x14ac:dyDescent="0.25">
      <c r="A679" s="15">
        <v>49547</v>
      </c>
      <c r="B679" s="7">
        <v>1022373507</v>
      </c>
      <c r="C679" s="11">
        <v>46086.357777777797</v>
      </c>
      <c r="D679" s="17" t="s">
        <v>3788</v>
      </c>
      <c r="E679" t="str">
        <f>IF(COUNTIF($B$2:B679,B679)&gt;1,"Duplicado","Único")</f>
        <v>Único</v>
      </c>
    </row>
    <row r="680" spans="1:5" hidden="1" x14ac:dyDescent="0.25">
      <c r="A680" s="15">
        <v>49547</v>
      </c>
      <c r="B680" s="7">
        <v>1022373507</v>
      </c>
      <c r="C680" s="11">
        <v>45985.414756944403</v>
      </c>
      <c r="D680" s="17" t="s">
        <v>2687</v>
      </c>
      <c r="E680" t="str">
        <f>IF(COUNTIF($B$2:B680,B680)&gt;1,"Duplicado","Único")</f>
        <v>Duplicado</v>
      </c>
    </row>
    <row r="681" spans="1:5" x14ac:dyDescent="0.25">
      <c r="A681" s="15">
        <v>32437</v>
      </c>
      <c r="B681" s="7">
        <v>1022378419</v>
      </c>
      <c r="C681" s="11">
        <v>45908.5325115741</v>
      </c>
      <c r="D681" s="17" t="s">
        <v>1614</v>
      </c>
      <c r="E681" t="str">
        <f>IF(COUNTIF($B$2:B681,B681)&gt;1,"Duplicado","Único")</f>
        <v>Único</v>
      </c>
    </row>
    <row r="682" spans="1:5" x14ac:dyDescent="0.25">
      <c r="A682" s="15">
        <v>14034</v>
      </c>
      <c r="B682" s="7">
        <v>1022379779</v>
      </c>
      <c r="C682" s="11">
        <v>46149.522812499999</v>
      </c>
      <c r="D682" s="17" t="s">
        <v>4531</v>
      </c>
      <c r="E682" t="str">
        <f>IF(COUNTIF($B$2:B682,B682)&gt;1,"Duplicado","Único")</f>
        <v>Único</v>
      </c>
    </row>
    <row r="683" spans="1:5" hidden="1" x14ac:dyDescent="0.25">
      <c r="A683" s="15">
        <v>14034</v>
      </c>
      <c r="B683" s="7">
        <v>1022379779</v>
      </c>
      <c r="C683" s="11">
        <v>46086.665983796302</v>
      </c>
      <c r="D683" s="17" t="s">
        <v>3867</v>
      </c>
      <c r="E683" t="str">
        <f>IF(COUNTIF($B$2:B683,B683)&gt;1,"Duplicado","Único")</f>
        <v>Duplicado</v>
      </c>
    </row>
    <row r="684" spans="1:5" hidden="1" x14ac:dyDescent="0.25">
      <c r="A684" s="15">
        <v>42605</v>
      </c>
      <c r="B684" s="7">
        <v>1022379779</v>
      </c>
      <c r="C684" s="11">
        <v>45953.3980787037</v>
      </c>
      <c r="D684" s="17" t="s">
        <v>2044</v>
      </c>
      <c r="E684" t="str">
        <f>IF(COUNTIF($B$2:B684,B684)&gt;1,"Duplicado","Único")</f>
        <v>Duplicado</v>
      </c>
    </row>
    <row r="685" spans="1:5" x14ac:dyDescent="0.25">
      <c r="A685" s="15">
        <v>26292</v>
      </c>
      <c r="B685" s="7">
        <v>1022380194</v>
      </c>
      <c r="C685" s="11">
        <v>45867.392962963</v>
      </c>
      <c r="D685" s="17" t="s">
        <v>1188</v>
      </c>
      <c r="E685" t="str">
        <f>IF(COUNTIF($B$2:B685,B685)&gt;1,"Duplicado","Único")</f>
        <v>Único</v>
      </c>
    </row>
    <row r="686" spans="1:5" x14ac:dyDescent="0.25">
      <c r="A686" s="15">
        <v>25670</v>
      </c>
      <c r="B686" s="7">
        <v>1022382832</v>
      </c>
      <c r="C686" s="11">
        <v>45866.588668981502</v>
      </c>
      <c r="D686" s="17" t="s">
        <v>1142</v>
      </c>
      <c r="E686" t="str">
        <f>IF(COUNTIF($B$2:B686,B686)&gt;1,"Duplicado","Único")</f>
        <v>Único</v>
      </c>
    </row>
    <row r="687" spans="1:5" x14ac:dyDescent="0.25">
      <c r="A687" s="15">
        <v>48160</v>
      </c>
      <c r="B687" s="7">
        <v>1022382959</v>
      </c>
      <c r="C687" s="11">
        <v>45974.437106481499</v>
      </c>
      <c r="D687" s="17" t="s">
        <v>2502</v>
      </c>
      <c r="E687" t="str">
        <f>IF(COUNTIF($B$2:B687,B687)&gt;1,"Duplicado","Único")</f>
        <v>Único</v>
      </c>
    </row>
    <row r="688" spans="1:5" x14ac:dyDescent="0.25">
      <c r="A688" s="15">
        <v>22995</v>
      </c>
      <c r="B688" s="7">
        <v>1022384409</v>
      </c>
      <c r="C688" s="11">
        <v>45968.390104166698</v>
      </c>
      <c r="D688" s="17" t="s">
        <v>2378</v>
      </c>
      <c r="E688" t="str">
        <f>IF(COUNTIF($B$2:B688,B688)&gt;1,"Duplicado","Único")</f>
        <v>Único</v>
      </c>
    </row>
    <row r="689" spans="1:5" x14ac:dyDescent="0.25">
      <c r="A689" s="15">
        <v>39780</v>
      </c>
      <c r="B689" s="7">
        <v>1022384606</v>
      </c>
      <c r="C689" s="11">
        <v>45931.365891203699</v>
      </c>
      <c r="D689" s="17" t="s">
        <v>1898</v>
      </c>
      <c r="E689" t="str">
        <f>IF(COUNTIF($B$2:B689,B689)&gt;1,"Duplicado","Único")</f>
        <v>Único</v>
      </c>
    </row>
    <row r="690" spans="1:5" x14ac:dyDescent="0.25">
      <c r="A690" s="15">
        <v>15123</v>
      </c>
      <c r="B690" s="7">
        <v>1022390561</v>
      </c>
      <c r="C690" s="11">
        <v>46120.638923611099</v>
      </c>
      <c r="D690" s="17" t="s">
        <v>4316</v>
      </c>
      <c r="E690" t="str">
        <f>IF(COUNTIF($B$2:B690,B690)&gt;1,"Duplicado","Único")</f>
        <v>Único</v>
      </c>
    </row>
    <row r="691" spans="1:5" hidden="1" x14ac:dyDescent="0.25">
      <c r="A691" s="15">
        <v>15123</v>
      </c>
      <c r="B691" s="7">
        <v>1022390561</v>
      </c>
      <c r="C691" s="11">
        <v>46094.504490740699</v>
      </c>
      <c r="D691" s="17" t="s">
        <v>4067</v>
      </c>
      <c r="E691" t="str">
        <f>IF(COUNTIF($B$2:B691,B691)&gt;1,"Duplicado","Único")</f>
        <v>Duplicado</v>
      </c>
    </row>
    <row r="692" spans="1:5" x14ac:dyDescent="0.25">
      <c r="A692" s="15">
        <v>51130</v>
      </c>
      <c r="B692" s="7">
        <v>1022396108</v>
      </c>
      <c r="C692" s="11">
        <v>46050.689201388901</v>
      </c>
      <c r="D692" s="17" t="s">
        <v>3409</v>
      </c>
      <c r="E692" t="str">
        <f>IF(COUNTIF($B$2:B692,B692)&gt;1,"Duplicado","Único")</f>
        <v>Único</v>
      </c>
    </row>
    <row r="693" spans="1:5" hidden="1" x14ac:dyDescent="0.25">
      <c r="A693" s="15">
        <v>51130</v>
      </c>
      <c r="B693" s="7">
        <v>1022396108</v>
      </c>
      <c r="C693" s="11">
        <v>46000.682881944398</v>
      </c>
      <c r="D693" s="17" t="s">
        <v>2845</v>
      </c>
      <c r="E693" t="str">
        <f>IF(COUNTIF($B$2:B693,B693)&gt;1,"Duplicado","Único")</f>
        <v>Duplicado</v>
      </c>
    </row>
    <row r="694" spans="1:5" x14ac:dyDescent="0.25">
      <c r="A694" s="15">
        <v>19907</v>
      </c>
      <c r="B694" s="7">
        <v>1022401250</v>
      </c>
      <c r="C694" s="11">
        <v>45819.461493055598</v>
      </c>
      <c r="D694" s="17" t="s">
        <v>849</v>
      </c>
      <c r="E694" t="str">
        <f>IF(COUNTIF($B$2:B694,B694)&gt;1,"Duplicado","Único")</f>
        <v>Único</v>
      </c>
    </row>
    <row r="695" spans="1:5" x14ac:dyDescent="0.25">
      <c r="A695" s="15">
        <v>19511</v>
      </c>
      <c r="B695" s="7">
        <v>1022402168</v>
      </c>
      <c r="C695" s="11">
        <v>45814.299861111103</v>
      </c>
      <c r="D695" s="17" t="s">
        <v>832</v>
      </c>
      <c r="E695" t="str">
        <f>IF(COUNTIF($B$2:B695,B695)&gt;1,"Duplicado","Único")</f>
        <v>Único</v>
      </c>
    </row>
    <row r="696" spans="1:5" x14ac:dyDescent="0.25">
      <c r="A696" s="15">
        <v>21307</v>
      </c>
      <c r="B696" s="7">
        <v>1022402850</v>
      </c>
      <c r="C696" s="11">
        <v>45824.4365972222</v>
      </c>
      <c r="D696" s="17" t="s">
        <v>936</v>
      </c>
      <c r="E696" t="str">
        <f>IF(COUNTIF($B$2:B696,B696)&gt;1,"Duplicado","Único")</f>
        <v>Único</v>
      </c>
    </row>
    <row r="697" spans="1:5" x14ac:dyDescent="0.25">
      <c r="A697" s="15">
        <v>2547</v>
      </c>
      <c r="B697" s="7">
        <v>1022404675</v>
      </c>
      <c r="C697" s="11">
        <v>46086.750011574099</v>
      </c>
      <c r="D697" s="17" t="s">
        <v>3942</v>
      </c>
      <c r="E697" t="str">
        <f>IF(COUNTIF($B$2:B697,B697)&gt;1,"Duplicado","Único")</f>
        <v>Único</v>
      </c>
    </row>
    <row r="698" spans="1:5" hidden="1" x14ac:dyDescent="0.25">
      <c r="A698" s="15">
        <v>2547</v>
      </c>
      <c r="B698" s="7">
        <v>1022404675</v>
      </c>
      <c r="C698" s="11">
        <v>46051.417442129597</v>
      </c>
      <c r="D698" s="17" t="s">
        <v>3447</v>
      </c>
      <c r="E698" t="str">
        <f>IF(COUNTIF($B$2:B698,B698)&gt;1,"Duplicado","Único")</f>
        <v>Duplicado</v>
      </c>
    </row>
    <row r="699" spans="1:5" x14ac:dyDescent="0.25">
      <c r="A699" s="15">
        <v>26370</v>
      </c>
      <c r="B699" s="7">
        <v>1022410167</v>
      </c>
      <c r="C699" s="11">
        <v>45867.416793981502</v>
      </c>
      <c r="D699" s="17" t="s">
        <v>1196</v>
      </c>
      <c r="E699" t="str">
        <f>IF(COUNTIF($B$2:B699,B699)&gt;1,"Duplicado","Único")</f>
        <v>Único</v>
      </c>
    </row>
    <row r="700" spans="1:5" x14ac:dyDescent="0.25">
      <c r="A700" s="15">
        <v>696</v>
      </c>
      <c r="B700" s="7">
        <v>1022414708</v>
      </c>
      <c r="C700" s="11">
        <v>46086.510347222204</v>
      </c>
      <c r="D700" s="17" t="s">
        <v>3827</v>
      </c>
      <c r="E700" t="str">
        <f>IF(COUNTIF($B$2:B700,B700)&gt;1,"Duplicado","Único")</f>
        <v>Único</v>
      </c>
    </row>
    <row r="701" spans="1:5" hidden="1" x14ac:dyDescent="0.25">
      <c r="A701" s="15">
        <v>696</v>
      </c>
      <c r="B701" s="7">
        <v>1022414708</v>
      </c>
      <c r="C701" s="11">
        <v>46035.433460648099</v>
      </c>
      <c r="D701" s="17" t="s">
        <v>3138</v>
      </c>
      <c r="E701" t="str">
        <f>IF(COUNTIF($B$2:B701,B701)&gt;1,"Duplicado","Único")</f>
        <v>Duplicado</v>
      </c>
    </row>
    <row r="702" spans="1:5" x14ac:dyDescent="0.25">
      <c r="A702" s="15">
        <v>25687</v>
      </c>
      <c r="B702" s="7">
        <v>1022415175</v>
      </c>
      <c r="C702" s="11">
        <v>45866.592418981498</v>
      </c>
      <c r="D702" s="17" t="s">
        <v>1144</v>
      </c>
      <c r="E702" t="str">
        <f>IF(COUNTIF($B$2:B702,B702)&gt;1,"Duplicado","Único")</f>
        <v>Único</v>
      </c>
    </row>
    <row r="703" spans="1:5" x14ac:dyDescent="0.25">
      <c r="A703" s="15">
        <v>50312</v>
      </c>
      <c r="B703" s="7">
        <v>1022416151</v>
      </c>
      <c r="C703" s="11">
        <v>46050.6178587963</v>
      </c>
      <c r="D703" s="17" t="s">
        <v>3327</v>
      </c>
      <c r="E703" t="str">
        <f>IF(COUNTIF($B$2:B703,B703)&gt;1,"Duplicado","Único")</f>
        <v>Único</v>
      </c>
    </row>
    <row r="704" spans="1:5" hidden="1" x14ac:dyDescent="0.25">
      <c r="A704" s="15">
        <v>50312</v>
      </c>
      <c r="B704" s="7">
        <v>1022416151</v>
      </c>
      <c r="C704" s="11">
        <v>45988.355567129598</v>
      </c>
      <c r="D704" s="17" t="s">
        <v>2750</v>
      </c>
      <c r="E704" t="str">
        <f>IF(COUNTIF($B$2:B704,B704)&gt;1,"Duplicado","Único")</f>
        <v>Duplicado</v>
      </c>
    </row>
    <row r="705" spans="1:5" x14ac:dyDescent="0.25">
      <c r="A705" s="15">
        <v>25884</v>
      </c>
      <c r="B705" s="7">
        <v>1022445698</v>
      </c>
      <c r="C705" s="11">
        <v>45905.6976041667</v>
      </c>
      <c r="D705" s="17" t="s">
        <v>1576</v>
      </c>
      <c r="E705" t="str">
        <f>IF(COUNTIF($B$2:B705,B705)&gt;1,"Duplicado","Único")</f>
        <v>Único</v>
      </c>
    </row>
    <row r="706" spans="1:5" hidden="1" x14ac:dyDescent="0.25">
      <c r="A706" s="15">
        <v>25884</v>
      </c>
      <c r="B706" s="7">
        <v>1022445698</v>
      </c>
      <c r="C706" s="11">
        <v>45866.614166666703</v>
      </c>
      <c r="D706" s="17" t="s">
        <v>1151</v>
      </c>
      <c r="E706" t="str">
        <f>IF(COUNTIF($B$2:B706,B706)&gt;1,"Duplicado","Único")</f>
        <v>Duplicado</v>
      </c>
    </row>
    <row r="707" spans="1:5" x14ac:dyDescent="0.25">
      <c r="A707" s="15">
        <v>51576</v>
      </c>
      <c r="B707" s="7">
        <v>1022955162</v>
      </c>
      <c r="C707" s="11">
        <v>46051.438078703701</v>
      </c>
      <c r="D707" s="17" t="s">
        <v>3460</v>
      </c>
      <c r="E707" t="str">
        <f>IF(COUNTIF($B$2:B707,B707)&gt;1,"Duplicado","Único")</f>
        <v>Único</v>
      </c>
    </row>
    <row r="708" spans="1:5" hidden="1" x14ac:dyDescent="0.25">
      <c r="A708" s="15">
        <v>51576</v>
      </c>
      <c r="B708" s="7">
        <v>1022955162</v>
      </c>
      <c r="C708" s="11">
        <v>46002.508194444403</v>
      </c>
      <c r="D708" s="17" t="s">
        <v>2879</v>
      </c>
      <c r="E708" t="str">
        <f>IF(COUNTIF($B$2:B708,B708)&gt;1,"Duplicado","Único")</f>
        <v>Duplicado</v>
      </c>
    </row>
    <row r="709" spans="1:5" x14ac:dyDescent="0.25">
      <c r="A709" s="15">
        <v>40462</v>
      </c>
      <c r="B709" s="7">
        <v>1022962367</v>
      </c>
      <c r="C709" s="11">
        <v>45933.667870370402</v>
      </c>
      <c r="D709" s="17" t="s">
        <v>1922</v>
      </c>
      <c r="E709" t="str">
        <f>IF(COUNTIF($B$2:B709,B709)&gt;1,"Duplicado","Único")</f>
        <v>Único</v>
      </c>
    </row>
    <row r="710" spans="1:5" x14ac:dyDescent="0.25">
      <c r="A710" s="15">
        <v>36687</v>
      </c>
      <c r="B710" s="7">
        <v>1023861557</v>
      </c>
      <c r="C710" s="11">
        <v>45919.413182870398</v>
      </c>
      <c r="D710" s="17" t="s">
        <v>1763</v>
      </c>
      <c r="E710" t="str">
        <f>IF(COUNTIF($B$2:B710,B710)&gt;1,"Duplicado","Único")</f>
        <v>Único</v>
      </c>
    </row>
    <row r="711" spans="1:5" x14ac:dyDescent="0.25">
      <c r="A711" s="15">
        <v>50344</v>
      </c>
      <c r="B711" s="7">
        <v>1023867303</v>
      </c>
      <c r="C711" s="11">
        <v>46050.618437500001</v>
      </c>
      <c r="D711" s="17" t="s">
        <v>3328</v>
      </c>
      <c r="E711" t="str">
        <f>IF(COUNTIF($B$2:B711,B711)&gt;1,"Duplicado","Único")</f>
        <v>Único</v>
      </c>
    </row>
    <row r="712" spans="1:5" hidden="1" x14ac:dyDescent="0.25">
      <c r="A712" s="15">
        <v>50344</v>
      </c>
      <c r="B712" s="7">
        <v>1023867303</v>
      </c>
      <c r="C712" s="11">
        <v>45988.688888888901</v>
      </c>
      <c r="D712" s="17" t="s">
        <v>2766</v>
      </c>
      <c r="E712" t="str">
        <f>IF(COUNTIF($B$2:B712,B712)&gt;1,"Duplicado","Único")</f>
        <v>Duplicado</v>
      </c>
    </row>
    <row r="713" spans="1:5" x14ac:dyDescent="0.25">
      <c r="A713" s="15">
        <v>32646</v>
      </c>
      <c r="B713" s="7">
        <v>1023905465</v>
      </c>
      <c r="C713" s="11">
        <v>45909.530451388899</v>
      </c>
      <c r="D713" s="17" t="s">
        <v>1622</v>
      </c>
      <c r="E713" t="str">
        <f>IF(COUNTIF($B$2:B713,B713)&gt;1,"Duplicado","Único")</f>
        <v>Único</v>
      </c>
    </row>
    <row r="714" spans="1:5" x14ac:dyDescent="0.25">
      <c r="A714" s="15">
        <v>31068</v>
      </c>
      <c r="B714" s="7">
        <v>1023916270</v>
      </c>
      <c r="C714" s="11">
        <v>45903.650405092601</v>
      </c>
      <c r="D714" s="17" t="s">
        <v>1502</v>
      </c>
      <c r="E714" t="str">
        <f>IF(COUNTIF($B$2:B714,B714)&gt;1,"Duplicado","Único")</f>
        <v>Único</v>
      </c>
    </row>
    <row r="715" spans="1:5" x14ac:dyDescent="0.25">
      <c r="A715" s="15">
        <v>848</v>
      </c>
      <c r="B715" s="7">
        <v>1023923567</v>
      </c>
      <c r="C715" s="11">
        <v>46086.511134259301</v>
      </c>
      <c r="D715" s="17" t="s">
        <v>3828</v>
      </c>
      <c r="E715" t="str">
        <f>IF(COUNTIF($B$2:B715,B715)&gt;1,"Duplicado","Único")</f>
        <v>Único</v>
      </c>
    </row>
    <row r="716" spans="1:5" hidden="1" x14ac:dyDescent="0.25">
      <c r="A716" s="15">
        <v>848</v>
      </c>
      <c r="B716" s="7">
        <v>1023923567</v>
      </c>
      <c r="C716" s="11">
        <v>46035.530150462997</v>
      </c>
      <c r="D716" s="17" t="s">
        <v>3149</v>
      </c>
      <c r="E716" t="str">
        <f>IF(COUNTIF($B$2:B716,B716)&gt;1,"Duplicado","Único")</f>
        <v>Duplicado</v>
      </c>
    </row>
    <row r="717" spans="1:5" x14ac:dyDescent="0.25">
      <c r="A717" s="15">
        <v>21766</v>
      </c>
      <c r="B717" s="7">
        <v>1023929159</v>
      </c>
      <c r="C717" s="11">
        <v>45834.503379629597</v>
      </c>
      <c r="D717" s="17" t="s">
        <v>969</v>
      </c>
      <c r="E717" t="str">
        <f>IF(COUNTIF($B$2:B717,B717)&gt;1,"Duplicado","Único")</f>
        <v>Único</v>
      </c>
    </row>
    <row r="718" spans="1:5" x14ac:dyDescent="0.25">
      <c r="A718" s="15">
        <v>2416</v>
      </c>
      <c r="B718" s="7">
        <v>1023932696</v>
      </c>
      <c r="C718" s="11">
        <v>46086.720185185201</v>
      </c>
      <c r="D718" s="17" t="s">
        <v>3904</v>
      </c>
      <c r="E718" t="str">
        <f>IF(COUNTIF($B$2:B718,B718)&gt;1,"Duplicado","Único")</f>
        <v>Único</v>
      </c>
    </row>
    <row r="719" spans="1:5" hidden="1" x14ac:dyDescent="0.25">
      <c r="A719" s="15">
        <v>2416</v>
      </c>
      <c r="B719" s="7">
        <v>1023932696</v>
      </c>
      <c r="C719" s="11">
        <v>46049.572303240697</v>
      </c>
      <c r="D719" s="17" t="s">
        <v>3220</v>
      </c>
      <c r="E719" t="str">
        <f>IF(COUNTIF($B$2:B719,B719)&gt;1,"Duplicado","Único")</f>
        <v>Duplicado</v>
      </c>
    </row>
    <row r="720" spans="1:5" x14ac:dyDescent="0.25">
      <c r="A720" s="15">
        <v>37866</v>
      </c>
      <c r="B720" s="7">
        <v>1023934624</v>
      </c>
      <c r="C720" s="11">
        <v>45924.463726851798</v>
      </c>
      <c r="D720" s="17" t="s">
        <v>1813</v>
      </c>
      <c r="E720" t="str">
        <f>IF(COUNTIF($B$2:B720,B720)&gt;1,"Duplicado","Único")</f>
        <v>Único</v>
      </c>
    </row>
    <row r="721" spans="1:5" x14ac:dyDescent="0.25">
      <c r="A721" s="15">
        <v>371</v>
      </c>
      <c r="B721" s="7">
        <v>1023956906</v>
      </c>
      <c r="C721" s="11">
        <v>46086.479444444398</v>
      </c>
      <c r="D721" s="17" t="s">
        <v>3810</v>
      </c>
      <c r="E721" t="str">
        <f>IF(COUNTIF($B$2:B721,B721)&gt;1,"Duplicado","Único")</f>
        <v>Único</v>
      </c>
    </row>
    <row r="722" spans="1:5" hidden="1" x14ac:dyDescent="0.25">
      <c r="A722" s="15">
        <v>371</v>
      </c>
      <c r="B722" s="7">
        <v>1023956906</v>
      </c>
      <c r="C722" s="11">
        <v>46031.6503703704</v>
      </c>
      <c r="D722" s="17" t="s">
        <v>3128</v>
      </c>
      <c r="E722" t="str">
        <f>IF(COUNTIF($B$2:B722,B722)&gt;1,"Duplicado","Único")</f>
        <v>Duplicado</v>
      </c>
    </row>
    <row r="723" spans="1:5" x14ac:dyDescent="0.25">
      <c r="A723" s="15">
        <v>27161</v>
      </c>
      <c r="B723" s="7">
        <v>1024556696</v>
      </c>
      <c r="C723" s="11">
        <v>45874.451446759304</v>
      </c>
      <c r="D723" s="17" t="s">
        <v>1248</v>
      </c>
      <c r="E723" t="str">
        <f>IF(COUNTIF($B$2:B723,B723)&gt;1,"Duplicado","Único")</f>
        <v>Único</v>
      </c>
    </row>
    <row r="724" spans="1:5" x14ac:dyDescent="0.25">
      <c r="A724" s="15">
        <v>25897</v>
      </c>
      <c r="B724" s="7">
        <v>1024567312</v>
      </c>
      <c r="C724" s="11">
        <v>45873.455694444398</v>
      </c>
      <c r="D724" s="17" t="s">
        <v>1222</v>
      </c>
      <c r="E724" t="str">
        <f>IF(COUNTIF($B$2:B724,B724)&gt;1,"Duplicado","Único")</f>
        <v>Único</v>
      </c>
    </row>
    <row r="725" spans="1:5" hidden="1" x14ac:dyDescent="0.25">
      <c r="A725" s="15">
        <v>25897</v>
      </c>
      <c r="B725" s="7">
        <v>1024567312</v>
      </c>
      <c r="C725" s="11">
        <v>45866.616759259297</v>
      </c>
      <c r="D725" s="17" t="s">
        <v>1152</v>
      </c>
      <c r="E725" t="str">
        <f>IF(COUNTIF($B$2:B725,B725)&gt;1,"Duplicado","Único")</f>
        <v>Duplicado</v>
      </c>
    </row>
    <row r="726" spans="1:5" x14ac:dyDescent="0.25">
      <c r="A726" s="15">
        <v>5573</v>
      </c>
      <c r="B726" s="7">
        <v>1024568445</v>
      </c>
      <c r="C726" s="11">
        <v>46094.4670833333</v>
      </c>
      <c r="D726" s="17" t="s">
        <v>4038</v>
      </c>
      <c r="E726" t="str">
        <f>IF(COUNTIF($B$2:B726,B726)&gt;1,"Duplicado","Único")</f>
        <v>Único</v>
      </c>
    </row>
    <row r="727" spans="1:5" hidden="1" x14ac:dyDescent="0.25">
      <c r="A727" s="15">
        <v>5573</v>
      </c>
      <c r="B727" s="7">
        <v>1024568445</v>
      </c>
      <c r="C727" s="11">
        <v>46062.493576388901</v>
      </c>
      <c r="D727" s="17" t="s">
        <v>3754</v>
      </c>
      <c r="E727" t="str">
        <f>IF(COUNTIF($B$2:B727,B727)&gt;1,"Duplicado","Único")</f>
        <v>Duplicado</v>
      </c>
    </row>
    <row r="728" spans="1:5" x14ac:dyDescent="0.25">
      <c r="A728" s="15">
        <v>29627</v>
      </c>
      <c r="B728" s="7">
        <v>1024571274</v>
      </c>
      <c r="C728" s="11">
        <v>45894.708784722199</v>
      </c>
      <c r="D728" s="17" t="s">
        <v>1417</v>
      </c>
      <c r="E728" t="str">
        <f>IF(COUNTIF($B$2:B728,B728)&gt;1,"Duplicado","Único")</f>
        <v>Único</v>
      </c>
    </row>
    <row r="729" spans="1:5" x14ac:dyDescent="0.25">
      <c r="A729" s="15">
        <v>19533</v>
      </c>
      <c r="B729" s="7">
        <v>1026136951</v>
      </c>
      <c r="C729" s="11">
        <v>45814.304872685199</v>
      </c>
      <c r="D729" s="17" t="s">
        <v>837</v>
      </c>
      <c r="E729" t="str">
        <f>IF(COUNTIF($B$2:B729,B729)&gt;1,"Duplicado","Único")</f>
        <v>Único</v>
      </c>
    </row>
    <row r="730" spans="1:5" x14ac:dyDescent="0.25">
      <c r="A730" s="15">
        <v>918</v>
      </c>
      <c r="B730" s="7">
        <v>1026137069</v>
      </c>
      <c r="C730" s="11">
        <v>46086.512314814798</v>
      </c>
      <c r="D730" s="17" t="s">
        <v>3829</v>
      </c>
      <c r="E730" t="str">
        <f>IF(COUNTIF($B$2:B730,B730)&gt;1,"Duplicado","Único")</f>
        <v>Único</v>
      </c>
    </row>
    <row r="731" spans="1:5" hidden="1" x14ac:dyDescent="0.25">
      <c r="A731" s="15">
        <v>918</v>
      </c>
      <c r="B731" s="7">
        <v>1026137069</v>
      </c>
      <c r="C731" s="11">
        <v>46035.5948726852</v>
      </c>
      <c r="D731" s="17" t="s">
        <v>3153</v>
      </c>
      <c r="E731" t="str">
        <f>IF(COUNTIF($B$2:B731,B731)&gt;1,"Duplicado","Único")</f>
        <v>Duplicado</v>
      </c>
    </row>
    <row r="732" spans="1:5" x14ac:dyDescent="0.25">
      <c r="A732" s="15">
        <v>30474</v>
      </c>
      <c r="B732" s="7">
        <v>1026149144</v>
      </c>
      <c r="C732" s="11">
        <v>45895.718043981498</v>
      </c>
      <c r="D732" s="17" t="s">
        <v>1437</v>
      </c>
      <c r="E732" t="str">
        <f>IF(COUNTIF($B$2:B732,B732)&gt;1,"Duplicado","Único")</f>
        <v>Único</v>
      </c>
    </row>
    <row r="733" spans="1:5" x14ac:dyDescent="0.25">
      <c r="A733" s="15">
        <v>48088</v>
      </c>
      <c r="B733" s="7">
        <v>1026272850</v>
      </c>
      <c r="C733" s="11">
        <v>45974.398321759298</v>
      </c>
      <c r="D733" s="17" t="s">
        <v>2496</v>
      </c>
      <c r="E733" t="str">
        <f>IF(COUNTIF($B$2:B733,B733)&gt;1,"Duplicado","Único")</f>
        <v>Único</v>
      </c>
    </row>
    <row r="734" spans="1:5" x14ac:dyDescent="0.25">
      <c r="A734" s="15">
        <v>47731</v>
      </c>
      <c r="B734" s="7">
        <v>1026277891</v>
      </c>
      <c r="C734" s="11">
        <v>45973.391689814802</v>
      </c>
      <c r="D734" s="17" t="s">
        <v>2449</v>
      </c>
      <c r="E734" t="str">
        <f>IF(COUNTIF($B$2:B734,B734)&gt;1,"Duplicado","Único")</f>
        <v>Único</v>
      </c>
    </row>
    <row r="735" spans="1:5" x14ac:dyDescent="0.25">
      <c r="A735" s="15">
        <v>41742</v>
      </c>
      <c r="B735" s="7">
        <v>1026278610</v>
      </c>
      <c r="C735" s="11">
        <v>45950.497627314799</v>
      </c>
      <c r="D735" s="17" t="s">
        <v>2003</v>
      </c>
      <c r="E735" t="str">
        <f>IF(COUNTIF($B$2:B735,B735)&gt;1,"Duplicado","Único")</f>
        <v>Único</v>
      </c>
    </row>
    <row r="736" spans="1:5" x14ac:dyDescent="0.25">
      <c r="A736" s="15">
        <v>31730</v>
      </c>
      <c r="B736" s="7">
        <v>1026279492</v>
      </c>
      <c r="C736" s="11">
        <v>45904.7117013889</v>
      </c>
      <c r="D736" s="17" t="s">
        <v>1544</v>
      </c>
      <c r="E736" t="str">
        <f>IF(COUNTIF($B$2:B736,B736)&gt;1,"Duplicado","Único")</f>
        <v>Único</v>
      </c>
    </row>
    <row r="737" spans="1:5" x14ac:dyDescent="0.25">
      <c r="A737" s="15">
        <v>20195</v>
      </c>
      <c r="B737" s="7">
        <v>1026279809</v>
      </c>
      <c r="C737" s="11">
        <v>45819.724872685198</v>
      </c>
      <c r="D737" s="17" t="s">
        <v>864</v>
      </c>
      <c r="E737" t="str">
        <f>IF(COUNTIF($B$2:B737,B737)&gt;1,"Duplicado","Único")</f>
        <v>Único</v>
      </c>
    </row>
    <row r="738" spans="1:5" x14ac:dyDescent="0.25">
      <c r="A738" s="15">
        <v>16451</v>
      </c>
      <c r="B738" s="7">
        <v>1026285095</v>
      </c>
      <c r="C738" s="11">
        <v>46121.453726851898</v>
      </c>
      <c r="D738" s="17" t="s">
        <v>4392</v>
      </c>
      <c r="E738" t="str">
        <f>IF(COUNTIF($B$2:B738,B738)&gt;1,"Duplicado","Único")</f>
        <v>Único</v>
      </c>
    </row>
    <row r="739" spans="1:5" hidden="1" x14ac:dyDescent="0.25">
      <c r="A739" s="15">
        <v>16451</v>
      </c>
      <c r="B739" s="7">
        <v>1026285095</v>
      </c>
      <c r="C739" s="11">
        <v>46101.819178240701</v>
      </c>
      <c r="D739" s="17" t="s">
        <v>4150</v>
      </c>
      <c r="E739" t="str">
        <f>IF(COUNTIF($B$2:B739,B739)&gt;1,"Duplicado","Único")</f>
        <v>Duplicado</v>
      </c>
    </row>
    <row r="740" spans="1:5" x14ac:dyDescent="0.25">
      <c r="A740" s="15">
        <v>15377</v>
      </c>
      <c r="B740" s="7">
        <v>1026285777</v>
      </c>
      <c r="C740" s="11">
        <v>46120.640706018501</v>
      </c>
      <c r="D740" s="17" t="s">
        <v>4317</v>
      </c>
      <c r="E740" t="str">
        <f>IF(COUNTIF($B$2:B740,B740)&gt;1,"Duplicado","Único")</f>
        <v>Único</v>
      </c>
    </row>
    <row r="741" spans="1:5" hidden="1" x14ac:dyDescent="0.25">
      <c r="A741" s="15">
        <v>15377</v>
      </c>
      <c r="B741" s="7">
        <v>1026285777</v>
      </c>
      <c r="C741" s="11">
        <v>46094.521898148101</v>
      </c>
      <c r="D741" s="17" t="s">
        <v>4084</v>
      </c>
      <c r="E741" t="str">
        <f>IF(COUNTIF($B$2:B741,B741)&gt;1,"Duplicado","Único")</f>
        <v>Duplicado</v>
      </c>
    </row>
    <row r="742" spans="1:5" x14ac:dyDescent="0.25">
      <c r="A742" s="15">
        <v>47757</v>
      </c>
      <c r="B742" s="7">
        <v>1026292771</v>
      </c>
      <c r="C742" s="11">
        <v>45973.6505555556</v>
      </c>
      <c r="D742" s="17" t="s">
        <v>2460</v>
      </c>
      <c r="E742" t="str">
        <f>IF(COUNTIF($B$2:B742,B742)&gt;1,"Duplicado","Único")</f>
        <v>Único</v>
      </c>
    </row>
    <row r="743" spans="1:5" x14ac:dyDescent="0.25">
      <c r="A743" s="15">
        <v>44311</v>
      </c>
      <c r="B743" s="7">
        <v>1026296542</v>
      </c>
      <c r="C743" s="11">
        <v>45958.449409722198</v>
      </c>
      <c r="D743" s="17" t="s">
        <v>2123</v>
      </c>
      <c r="E743" t="str">
        <f>IF(COUNTIF($B$2:B743,B743)&gt;1,"Duplicado","Único")</f>
        <v>Único</v>
      </c>
    </row>
    <row r="744" spans="1:5" x14ac:dyDescent="0.25">
      <c r="A744" s="15">
        <v>17675</v>
      </c>
      <c r="B744" s="7">
        <v>1026306655</v>
      </c>
      <c r="C744" s="11">
        <v>45797.615081018499</v>
      </c>
      <c r="D744" s="17" t="s">
        <v>721</v>
      </c>
      <c r="E744" t="str">
        <f>IF(COUNTIF($B$2:B744,B744)&gt;1,"Duplicado","Único")</f>
        <v>Único</v>
      </c>
    </row>
    <row r="745" spans="1:5" x14ac:dyDescent="0.25">
      <c r="A745" s="15">
        <v>23267</v>
      </c>
      <c r="B745" s="7">
        <v>1026560803</v>
      </c>
      <c r="C745" s="11">
        <v>45842.433761574102</v>
      </c>
      <c r="D745" s="17" t="s">
        <v>1041</v>
      </c>
      <c r="E745" t="str">
        <f>IF(COUNTIF($B$2:B745,B745)&gt;1,"Duplicado","Único")</f>
        <v>Único</v>
      </c>
    </row>
    <row r="746" spans="1:5" x14ac:dyDescent="0.25">
      <c r="A746" s="15">
        <v>20193</v>
      </c>
      <c r="B746" s="7">
        <v>1026564480</v>
      </c>
      <c r="C746" s="11">
        <v>46150.364745370403</v>
      </c>
      <c r="D746" s="17" t="s">
        <v>4555</v>
      </c>
      <c r="E746" t="str">
        <f>IF(COUNTIF($B$2:B746,B746)&gt;1,"Duplicado","Único")</f>
        <v>Único</v>
      </c>
    </row>
    <row r="747" spans="1:5" hidden="1" x14ac:dyDescent="0.25">
      <c r="A747" s="15">
        <v>20193</v>
      </c>
      <c r="B747" s="7">
        <v>1026564480</v>
      </c>
      <c r="C747" s="11">
        <v>46129.644907407397</v>
      </c>
      <c r="D747" s="17" t="s">
        <v>4429</v>
      </c>
      <c r="E747" t="str">
        <f>IF(COUNTIF($B$2:B747,B747)&gt;1,"Duplicado","Único")</f>
        <v>Duplicado</v>
      </c>
    </row>
    <row r="748" spans="1:5" x14ac:dyDescent="0.25">
      <c r="A748" s="15">
        <v>55439</v>
      </c>
      <c r="B748" s="7">
        <v>1026565476</v>
      </c>
      <c r="C748" s="11">
        <v>46035.489467592597</v>
      </c>
      <c r="D748" s="17" t="s">
        <v>3139</v>
      </c>
      <c r="E748" t="str">
        <f>IF(COUNTIF($B$2:B748,B748)&gt;1,"Duplicado","Único")</f>
        <v>Único</v>
      </c>
    </row>
    <row r="749" spans="1:5" hidden="1" x14ac:dyDescent="0.25">
      <c r="A749" s="15">
        <v>55439</v>
      </c>
      <c r="B749" s="7">
        <v>1026565476</v>
      </c>
      <c r="C749" s="11">
        <v>46022.376585648097</v>
      </c>
      <c r="D749" s="17" t="s">
        <v>3108</v>
      </c>
      <c r="E749" t="str">
        <f>IF(COUNTIF($B$2:B749,B749)&gt;1,"Duplicado","Único")</f>
        <v>Duplicado</v>
      </c>
    </row>
    <row r="750" spans="1:5" x14ac:dyDescent="0.25">
      <c r="A750" s="15">
        <v>47209</v>
      </c>
      <c r="B750" s="7">
        <v>1026585819</v>
      </c>
      <c r="C750" s="11">
        <v>45968.753240740698</v>
      </c>
      <c r="D750" s="17" t="s">
        <v>2401</v>
      </c>
      <c r="E750" t="str">
        <f>IF(COUNTIF($B$2:B750,B750)&gt;1,"Duplicado","Único")</f>
        <v>Único</v>
      </c>
    </row>
    <row r="751" spans="1:5" x14ac:dyDescent="0.25">
      <c r="A751" s="15">
        <v>46220</v>
      </c>
      <c r="B751" s="7">
        <v>1026589941</v>
      </c>
      <c r="C751" s="11">
        <v>45965.472256944398</v>
      </c>
      <c r="D751" s="17" t="s">
        <v>2302</v>
      </c>
      <c r="E751" t="str">
        <f>IF(COUNTIF($B$2:B751,B751)&gt;1,"Duplicado","Único")</f>
        <v>Único</v>
      </c>
    </row>
    <row r="752" spans="1:5" x14ac:dyDescent="0.25">
      <c r="A752" s="15">
        <v>16296</v>
      </c>
      <c r="B752" s="7">
        <v>1026591819</v>
      </c>
      <c r="C752" s="11">
        <v>46121.454236111102</v>
      </c>
      <c r="D752" s="17" t="s">
        <v>4393</v>
      </c>
      <c r="E752" t="str">
        <f>IF(COUNTIF($B$2:B752,B752)&gt;1,"Duplicado","Único")</f>
        <v>Único</v>
      </c>
    </row>
    <row r="753" spans="1:5" hidden="1" x14ac:dyDescent="0.25">
      <c r="A753" s="15">
        <v>16296</v>
      </c>
      <c r="B753" s="7">
        <v>1026591819</v>
      </c>
      <c r="C753" s="11">
        <v>46101.638483796298</v>
      </c>
      <c r="D753" s="17" t="s">
        <v>4098</v>
      </c>
      <c r="E753" t="str">
        <f>IF(COUNTIF($B$2:B753,B753)&gt;1,"Duplicado","Único")</f>
        <v>Duplicado</v>
      </c>
    </row>
    <row r="754" spans="1:5" x14ac:dyDescent="0.25">
      <c r="A754" s="15">
        <v>21947</v>
      </c>
      <c r="B754" s="7">
        <v>1026592458</v>
      </c>
      <c r="C754" s="11">
        <v>45834.591944444401</v>
      </c>
      <c r="D754" s="17" t="s">
        <v>977</v>
      </c>
      <c r="E754" t="str">
        <f>IF(COUNTIF($B$2:B754,B754)&gt;1,"Duplicado","Único")</f>
        <v>Único</v>
      </c>
    </row>
    <row r="755" spans="1:5" x14ac:dyDescent="0.25">
      <c r="A755" s="15">
        <v>44694</v>
      </c>
      <c r="B755" s="7">
        <v>1026599710</v>
      </c>
      <c r="C755" s="11">
        <v>45958.606493055602</v>
      </c>
      <c r="D755" s="17" t="s">
        <v>2157</v>
      </c>
      <c r="E755" t="str">
        <f>IF(COUNTIF($B$2:B755,B755)&gt;1,"Duplicado","Único")</f>
        <v>Único</v>
      </c>
    </row>
    <row r="756" spans="1:5" x14ac:dyDescent="0.25">
      <c r="A756" s="15">
        <v>40782</v>
      </c>
      <c r="B756" s="7">
        <v>10276602</v>
      </c>
      <c r="C756" s="11">
        <v>45936.471909722197</v>
      </c>
      <c r="D756" s="17" t="s">
        <v>1943</v>
      </c>
      <c r="E756" t="str">
        <f>IF(COUNTIF($B$2:B756,B756)&gt;1,"Duplicado","Único")</f>
        <v>Único</v>
      </c>
    </row>
    <row r="757" spans="1:5" x14ac:dyDescent="0.25">
      <c r="A757" s="15">
        <v>14877</v>
      </c>
      <c r="B757" s="7">
        <v>1027883766</v>
      </c>
      <c r="C757" s="11">
        <v>46120.641990740703</v>
      </c>
      <c r="D757" s="17" t="s">
        <v>4318</v>
      </c>
      <c r="E757" t="str">
        <f>IF(COUNTIF($B$2:B757,B757)&gt;1,"Duplicado","Único")</f>
        <v>Único</v>
      </c>
    </row>
    <row r="758" spans="1:5" hidden="1" x14ac:dyDescent="0.25">
      <c r="A758" s="15">
        <v>14877</v>
      </c>
      <c r="B758" s="7">
        <v>1027883766</v>
      </c>
      <c r="C758" s="11">
        <v>46094.488518518498</v>
      </c>
      <c r="D758" s="17" t="s">
        <v>4046</v>
      </c>
      <c r="E758" t="str">
        <f>IF(COUNTIF($B$2:B758,B758)&gt;1,"Duplicado","Único")</f>
        <v>Duplicado</v>
      </c>
    </row>
    <row r="759" spans="1:5" x14ac:dyDescent="0.25">
      <c r="A759" s="15">
        <v>25576</v>
      </c>
      <c r="B759" s="7">
        <v>1027886795</v>
      </c>
      <c r="C759" s="11">
        <v>45860.483460648102</v>
      </c>
      <c r="D759" s="17" t="s">
        <v>1133</v>
      </c>
      <c r="E759" t="str">
        <f>IF(COUNTIF($B$2:B759,B759)&gt;1,"Duplicado","Único")</f>
        <v>Único</v>
      </c>
    </row>
    <row r="760" spans="1:5" x14ac:dyDescent="0.25">
      <c r="A760" s="15">
        <v>17871</v>
      </c>
      <c r="B760" s="7">
        <v>1027941930</v>
      </c>
      <c r="C760" s="11">
        <v>46149.417071759301</v>
      </c>
      <c r="D760" s="17" t="s">
        <v>4448</v>
      </c>
      <c r="E760" t="str">
        <f>IF(COUNTIF($B$2:B760,B760)&gt;1,"Duplicado","Único")</f>
        <v>Único</v>
      </c>
    </row>
    <row r="761" spans="1:5" hidden="1" x14ac:dyDescent="0.25">
      <c r="A761" s="15">
        <v>17871</v>
      </c>
      <c r="B761" s="7">
        <v>1027941930</v>
      </c>
      <c r="C761" s="11">
        <v>46118.318009259303</v>
      </c>
      <c r="D761" s="17" t="s">
        <v>4236</v>
      </c>
      <c r="E761" t="str">
        <f>IF(COUNTIF($B$2:B761,B761)&gt;1,"Duplicado","Único")</f>
        <v>Duplicado</v>
      </c>
    </row>
    <row r="762" spans="1:5" x14ac:dyDescent="0.25">
      <c r="A762" s="15">
        <v>43910</v>
      </c>
      <c r="B762" s="7">
        <v>1027947501</v>
      </c>
      <c r="C762" s="11">
        <v>45957.673263888901</v>
      </c>
      <c r="D762" s="17" t="s">
        <v>2095</v>
      </c>
      <c r="E762" t="str">
        <f>IF(COUNTIF($B$2:B762,B762)&gt;1,"Duplicado","Único")</f>
        <v>Único</v>
      </c>
    </row>
    <row r="763" spans="1:5" x14ac:dyDescent="0.25">
      <c r="A763" s="15">
        <v>16469</v>
      </c>
      <c r="B763" s="7">
        <v>1027957037</v>
      </c>
      <c r="C763" s="11">
        <v>46121.454756944397</v>
      </c>
      <c r="D763" s="17" t="s">
        <v>4394</v>
      </c>
      <c r="E763" t="str">
        <f>IF(COUNTIF($B$2:B763,B763)&gt;1,"Duplicado","Único")</f>
        <v>Único</v>
      </c>
    </row>
    <row r="764" spans="1:5" hidden="1" x14ac:dyDescent="0.25">
      <c r="A764" s="15">
        <v>16469</v>
      </c>
      <c r="B764" s="7">
        <v>1027957037</v>
      </c>
      <c r="C764" s="11">
        <v>46101.821157407401</v>
      </c>
      <c r="D764" s="17" t="s">
        <v>4153</v>
      </c>
      <c r="E764" t="str">
        <f>IF(COUNTIF($B$2:B764,B764)&gt;1,"Duplicado","Único")</f>
        <v>Duplicado</v>
      </c>
    </row>
    <row r="765" spans="1:5" x14ac:dyDescent="0.25">
      <c r="A765" s="15">
        <v>49373</v>
      </c>
      <c r="B765" s="7">
        <v>1028006608</v>
      </c>
      <c r="C765" s="11">
        <v>45981.675844907397</v>
      </c>
      <c r="D765" s="17" t="s">
        <v>2648</v>
      </c>
      <c r="E765" t="str">
        <f>IF(COUNTIF($B$2:B765,B765)&gt;1,"Duplicado","Único")</f>
        <v>Único</v>
      </c>
    </row>
    <row r="766" spans="1:5" x14ac:dyDescent="0.25">
      <c r="A766" s="15">
        <v>31562</v>
      </c>
      <c r="B766" s="7">
        <v>1028033582</v>
      </c>
      <c r="C766" s="11">
        <v>45905.401539351798</v>
      </c>
      <c r="D766" s="17" t="s">
        <v>1555</v>
      </c>
      <c r="E766" t="str">
        <f>IF(COUNTIF($B$2:B766,B766)&gt;1,"Duplicado","Único")</f>
        <v>Único</v>
      </c>
    </row>
    <row r="767" spans="1:5" x14ac:dyDescent="0.25">
      <c r="A767" s="15">
        <v>49185</v>
      </c>
      <c r="B767" s="7">
        <v>10292903</v>
      </c>
      <c r="C767" s="11">
        <v>45981.477812500001</v>
      </c>
      <c r="D767" s="17" t="s">
        <v>2642</v>
      </c>
      <c r="E767" t="str">
        <f>IF(COUNTIF($B$2:B767,B767)&gt;1,"Duplicado","Único")</f>
        <v>Único</v>
      </c>
    </row>
    <row r="768" spans="1:5" x14ac:dyDescent="0.25">
      <c r="A768" s="15">
        <v>20893</v>
      </c>
      <c r="B768" s="7">
        <v>10294478</v>
      </c>
      <c r="C768" s="11">
        <v>45821.708460648202</v>
      </c>
      <c r="D768" s="17" t="s">
        <v>913</v>
      </c>
      <c r="E768" t="str">
        <f>IF(COUNTIF($B$2:B768,B768)&gt;1,"Duplicado","Único")</f>
        <v>Único</v>
      </c>
    </row>
    <row r="769" spans="1:5" x14ac:dyDescent="0.25">
      <c r="A769" s="15">
        <v>16307</v>
      </c>
      <c r="B769" s="7">
        <v>10300461</v>
      </c>
      <c r="C769" s="11">
        <v>46121.3899074074</v>
      </c>
      <c r="D769" s="17" t="s">
        <v>4345</v>
      </c>
      <c r="E769" t="str">
        <f>IF(COUNTIF($B$2:B769,B769)&gt;1,"Duplicado","Único")</f>
        <v>Único</v>
      </c>
    </row>
    <row r="770" spans="1:5" hidden="1" x14ac:dyDescent="0.25">
      <c r="A770" s="15">
        <v>16307</v>
      </c>
      <c r="B770" s="7">
        <v>10300461</v>
      </c>
      <c r="C770" s="11">
        <v>46101.810729166697</v>
      </c>
      <c r="D770" s="17" t="s">
        <v>4141</v>
      </c>
      <c r="E770" t="str">
        <f>IF(COUNTIF($B$2:B770,B770)&gt;1,"Duplicado","Único")</f>
        <v>Duplicado</v>
      </c>
    </row>
    <row r="771" spans="1:5" hidden="1" x14ac:dyDescent="0.25">
      <c r="A771" s="15">
        <v>19515</v>
      </c>
      <c r="B771" s="7">
        <v>10300461</v>
      </c>
      <c r="C771" s="11">
        <v>45814.300729166702</v>
      </c>
      <c r="D771" s="17" t="s">
        <v>833</v>
      </c>
      <c r="E771" t="str">
        <f>IF(COUNTIF($B$2:B771,B771)&gt;1,"Duplicado","Único")</f>
        <v>Duplicado</v>
      </c>
    </row>
    <row r="772" spans="1:5" x14ac:dyDescent="0.25">
      <c r="A772" s="15">
        <v>50275</v>
      </c>
      <c r="B772" s="7">
        <v>10304711</v>
      </c>
      <c r="C772" s="11">
        <v>46050.609537037002</v>
      </c>
      <c r="D772" s="17" t="s">
        <v>3314</v>
      </c>
      <c r="E772" t="str">
        <f>IF(COUNTIF($B$2:B772,B772)&gt;1,"Duplicado","Único")</f>
        <v>Único</v>
      </c>
    </row>
    <row r="773" spans="1:5" hidden="1" x14ac:dyDescent="0.25">
      <c r="A773" s="15">
        <v>50275</v>
      </c>
      <c r="B773" s="7">
        <v>10304711</v>
      </c>
      <c r="C773" s="11">
        <v>45988.425740740699</v>
      </c>
      <c r="D773" s="17" t="s">
        <v>2764</v>
      </c>
      <c r="E773" t="str">
        <f>IF(COUNTIF($B$2:B773,B773)&gt;1,"Duplicado","Único")</f>
        <v>Duplicado</v>
      </c>
    </row>
    <row r="774" spans="1:5" x14ac:dyDescent="0.25">
      <c r="A774" s="15">
        <v>32223</v>
      </c>
      <c r="B774" s="7">
        <v>1030529147</v>
      </c>
      <c r="C774" s="11">
        <v>45908.452557870398</v>
      </c>
      <c r="D774" s="17" t="s">
        <v>1602</v>
      </c>
      <c r="E774" t="str">
        <f>IF(COUNTIF($B$2:B774,B774)&gt;1,"Duplicado","Único")</f>
        <v>Único</v>
      </c>
    </row>
    <row r="775" spans="1:5" x14ac:dyDescent="0.25">
      <c r="A775" s="15">
        <v>27564</v>
      </c>
      <c r="B775" s="7">
        <v>1030533631</v>
      </c>
      <c r="C775" s="11">
        <v>45874.679988425902</v>
      </c>
      <c r="D775" s="17" t="s">
        <v>1278</v>
      </c>
      <c r="E775" t="str">
        <f>IF(COUNTIF($B$2:B775,B775)&gt;1,"Duplicado","Único")</f>
        <v>Único</v>
      </c>
    </row>
    <row r="776" spans="1:5" x14ac:dyDescent="0.25">
      <c r="A776" s="15">
        <v>2551</v>
      </c>
      <c r="B776" s="7">
        <v>1030540161</v>
      </c>
      <c r="C776" s="11">
        <v>46086.7504513889</v>
      </c>
      <c r="D776" s="17" t="s">
        <v>3943</v>
      </c>
      <c r="E776" t="str">
        <f>IF(COUNTIF($B$2:B776,B776)&gt;1,"Duplicado","Único")</f>
        <v>Único</v>
      </c>
    </row>
    <row r="777" spans="1:5" hidden="1" x14ac:dyDescent="0.25">
      <c r="A777" s="15">
        <v>2551</v>
      </c>
      <c r="B777" s="7">
        <v>1030540161</v>
      </c>
      <c r="C777" s="11">
        <v>46051.421215277798</v>
      </c>
      <c r="D777" s="17" t="s">
        <v>3448</v>
      </c>
      <c r="E777" t="str">
        <f>IF(COUNTIF($B$2:B777,B777)&gt;1,"Duplicado","Único")</f>
        <v>Duplicado</v>
      </c>
    </row>
    <row r="778" spans="1:5" x14ac:dyDescent="0.25">
      <c r="A778" s="15">
        <v>43264</v>
      </c>
      <c r="B778" s="7">
        <v>1030545778</v>
      </c>
      <c r="C778" s="11">
        <v>45954.654976851903</v>
      </c>
      <c r="D778" s="17" t="s">
        <v>2075</v>
      </c>
      <c r="E778" t="str">
        <f>IF(COUNTIF($B$2:B778,B778)&gt;1,"Duplicado","Único")</f>
        <v>Único</v>
      </c>
    </row>
    <row r="779" spans="1:5" x14ac:dyDescent="0.25">
      <c r="A779" s="15">
        <v>29842</v>
      </c>
      <c r="B779" s="7">
        <v>1030547110</v>
      </c>
      <c r="C779" s="11">
        <v>45895.545856481498</v>
      </c>
      <c r="D779" s="17" t="s">
        <v>1432</v>
      </c>
      <c r="E779" t="str">
        <f>IF(COUNTIF($B$2:B779,B779)&gt;1,"Duplicado","Único")</f>
        <v>Único</v>
      </c>
    </row>
    <row r="780" spans="1:5" x14ac:dyDescent="0.25">
      <c r="A780" s="15">
        <v>48317</v>
      </c>
      <c r="B780" s="7">
        <v>1030553719</v>
      </c>
      <c r="C780" s="11">
        <v>46057.455277777801</v>
      </c>
      <c r="D780" s="17" t="s">
        <v>3727</v>
      </c>
      <c r="E780" t="str">
        <f>IF(COUNTIF($B$2:B780,B780)&gt;1,"Duplicado","Único")</f>
        <v>Único</v>
      </c>
    </row>
    <row r="781" spans="1:5" hidden="1" x14ac:dyDescent="0.25">
      <c r="A781" s="15">
        <v>48317</v>
      </c>
      <c r="B781" s="7">
        <v>1030553719</v>
      </c>
      <c r="C781" s="11">
        <v>46017.439131944397</v>
      </c>
      <c r="D781" s="17" t="s">
        <v>3086</v>
      </c>
      <c r="E781" t="str">
        <f>IF(COUNTIF($B$2:B781,B781)&gt;1,"Duplicado","Único")</f>
        <v>Duplicado</v>
      </c>
    </row>
    <row r="782" spans="1:5" hidden="1" x14ac:dyDescent="0.25">
      <c r="A782" s="15">
        <v>48317</v>
      </c>
      <c r="B782" s="7">
        <v>1030553719</v>
      </c>
      <c r="C782" s="11">
        <v>45975.668668981503</v>
      </c>
      <c r="D782" s="17" t="s">
        <v>2525</v>
      </c>
      <c r="E782" t="str">
        <f>IF(COUNTIF($B$2:B782,B782)&gt;1,"Duplicado","Único")</f>
        <v>Duplicado</v>
      </c>
    </row>
    <row r="783" spans="1:5" x14ac:dyDescent="0.25">
      <c r="A783" s="15">
        <v>31095</v>
      </c>
      <c r="B783" s="7">
        <v>1030555505</v>
      </c>
      <c r="C783" s="11">
        <v>45903.6644212963</v>
      </c>
      <c r="D783" s="17" t="s">
        <v>1505</v>
      </c>
      <c r="E783" t="str">
        <f>IF(COUNTIF($B$2:B783,B783)&gt;1,"Duplicado","Único")</f>
        <v>Único</v>
      </c>
    </row>
    <row r="784" spans="1:5" x14ac:dyDescent="0.25">
      <c r="A784" s="15">
        <v>47359</v>
      </c>
      <c r="B784" s="7">
        <v>1030567338</v>
      </c>
      <c r="C784" s="11">
        <v>45971.473923611098</v>
      </c>
      <c r="D784" s="17" t="s">
        <v>2413</v>
      </c>
      <c r="E784" t="str">
        <f>IF(COUNTIF($B$2:B784,B784)&gt;1,"Duplicado","Único")</f>
        <v>Único</v>
      </c>
    </row>
    <row r="785" spans="1:5" x14ac:dyDescent="0.25">
      <c r="A785" s="15">
        <v>45246</v>
      </c>
      <c r="B785" s="7">
        <v>1030577447</v>
      </c>
      <c r="C785" s="11">
        <v>45958.745312500003</v>
      </c>
      <c r="D785" s="17" t="s">
        <v>2199</v>
      </c>
      <c r="E785" t="str">
        <f>IF(COUNTIF($B$2:B785,B785)&gt;1,"Duplicado","Único")</f>
        <v>Único</v>
      </c>
    </row>
    <row r="786" spans="1:5" x14ac:dyDescent="0.25">
      <c r="A786" s="15">
        <v>45022</v>
      </c>
      <c r="B786" s="7">
        <v>1030596952</v>
      </c>
      <c r="C786" s="11">
        <v>45958.6803587963</v>
      </c>
      <c r="D786" s="17" t="s">
        <v>2182</v>
      </c>
      <c r="E786" t="str">
        <f>IF(COUNTIF($B$2:B786,B786)&gt;1,"Duplicado","Único")</f>
        <v>Único</v>
      </c>
    </row>
    <row r="787" spans="1:5" x14ac:dyDescent="0.25">
      <c r="A787" s="15">
        <v>40954</v>
      </c>
      <c r="B787" s="7">
        <v>1030606228</v>
      </c>
      <c r="C787" s="11">
        <v>45936.4761574074</v>
      </c>
      <c r="D787" s="17" t="s">
        <v>1946</v>
      </c>
      <c r="E787" t="str">
        <f>IF(COUNTIF($B$2:B787,B787)&gt;1,"Duplicado","Único")</f>
        <v>Único</v>
      </c>
    </row>
    <row r="788" spans="1:5" x14ac:dyDescent="0.25">
      <c r="A788" s="15">
        <v>39332</v>
      </c>
      <c r="B788" s="7">
        <v>1030610255</v>
      </c>
      <c r="C788" s="11">
        <v>45930.390868055598</v>
      </c>
      <c r="D788" s="17" t="s">
        <v>1876</v>
      </c>
      <c r="E788" t="str">
        <f>IF(COUNTIF($B$2:B788,B788)&gt;1,"Duplicado","Único")</f>
        <v>Único</v>
      </c>
    </row>
    <row r="789" spans="1:5" x14ac:dyDescent="0.25">
      <c r="A789" s="15">
        <v>48867</v>
      </c>
      <c r="B789" s="7">
        <v>1030613782</v>
      </c>
      <c r="C789" s="11">
        <v>45980.4459837963</v>
      </c>
      <c r="D789" s="17" t="s">
        <v>2612</v>
      </c>
      <c r="E789" t="str">
        <f>IF(COUNTIF($B$2:B789,B789)&gt;1,"Duplicado","Único")</f>
        <v>Único</v>
      </c>
    </row>
    <row r="790" spans="1:5" x14ac:dyDescent="0.25">
      <c r="A790" s="15">
        <v>44570</v>
      </c>
      <c r="B790" s="7">
        <v>1030616086</v>
      </c>
      <c r="C790" s="11">
        <v>45958.499120370398</v>
      </c>
      <c r="D790" s="17" t="s">
        <v>2137</v>
      </c>
      <c r="E790" t="str">
        <f>IF(COUNTIF($B$2:B790,B790)&gt;1,"Duplicado","Único")</f>
        <v>Único</v>
      </c>
    </row>
    <row r="791" spans="1:5" x14ac:dyDescent="0.25">
      <c r="A791" s="15">
        <v>48856</v>
      </c>
      <c r="B791" s="7">
        <v>1030618022</v>
      </c>
      <c r="C791" s="11">
        <v>45980.347025463001</v>
      </c>
      <c r="D791" s="17" t="s">
        <v>2575</v>
      </c>
      <c r="E791" t="str">
        <f>IF(COUNTIF($B$2:B791,B791)&gt;1,"Duplicado","Único")</f>
        <v>Único</v>
      </c>
    </row>
    <row r="792" spans="1:5" x14ac:dyDescent="0.25">
      <c r="A792" s="15">
        <v>2763</v>
      </c>
      <c r="B792" s="7">
        <v>1030632672</v>
      </c>
      <c r="C792" s="11">
        <v>46086.752025463</v>
      </c>
      <c r="D792" s="17" t="s">
        <v>3944</v>
      </c>
      <c r="E792" t="str">
        <f>IF(COUNTIF($B$2:B792,B792)&gt;1,"Duplicado","Único")</f>
        <v>Único</v>
      </c>
    </row>
    <row r="793" spans="1:5" hidden="1" x14ac:dyDescent="0.25">
      <c r="A793" s="15">
        <v>2763</v>
      </c>
      <c r="B793" s="7">
        <v>1030632672</v>
      </c>
      <c r="C793" s="11">
        <v>46051.663587962998</v>
      </c>
      <c r="D793" s="17" t="s">
        <v>3552</v>
      </c>
      <c r="E793" t="str">
        <f>IF(COUNTIF($B$2:B793,B793)&gt;1,"Duplicado","Único")</f>
        <v>Duplicado</v>
      </c>
    </row>
    <row r="794" spans="1:5" x14ac:dyDescent="0.25">
      <c r="A794" s="15">
        <v>49657</v>
      </c>
      <c r="B794" s="7">
        <v>1030634823</v>
      </c>
      <c r="C794" s="11">
        <v>46050.4452199074</v>
      </c>
      <c r="D794" s="17" t="s">
        <v>3243</v>
      </c>
      <c r="E794" t="str">
        <f>IF(COUNTIF($B$2:B794,B794)&gt;1,"Duplicado","Único")</f>
        <v>Único</v>
      </c>
    </row>
    <row r="795" spans="1:5" hidden="1" x14ac:dyDescent="0.25">
      <c r="A795" s="15">
        <v>49657</v>
      </c>
      <c r="B795" s="7">
        <v>1030634823</v>
      </c>
      <c r="C795" s="11">
        <v>45985.394398148099</v>
      </c>
      <c r="D795" s="17" t="s">
        <v>2683</v>
      </c>
      <c r="E795" t="str">
        <f>IF(COUNTIF($B$2:B795,B795)&gt;1,"Duplicado","Único")</f>
        <v>Duplicado</v>
      </c>
    </row>
    <row r="796" spans="1:5" x14ac:dyDescent="0.25">
      <c r="A796" s="15">
        <v>18416</v>
      </c>
      <c r="B796" s="7">
        <v>1030635759</v>
      </c>
      <c r="C796" s="11">
        <v>45803.351631944402</v>
      </c>
      <c r="D796" s="17" t="s">
        <v>765</v>
      </c>
      <c r="E796" t="str">
        <f>IF(COUNTIF($B$2:B796,B796)&gt;1,"Duplicado","Único")</f>
        <v>Único</v>
      </c>
    </row>
    <row r="797" spans="1:5" x14ac:dyDescent="0.25">
      <c r="A797" s="15">
        <v>14456</v>
      </c>
      <c r="B797" s="7">
        <v>1030642301</v>
      </c>
      <c r="C797" s="11">
        <v>46120.472685185203</v>
      </c>
      <c r="D797" s="17" t="s">
        <v>4266</v>
      </c>
      <c r="E797" t="str">
        <f>IF(COUNTIF($B$2:B797,B797)&gt;1,"Duplicado","Único")</f>
        <v>Único</v>
      </c>
    </row>
    <row r="798" spans="1:5" hidden="1" x14ac:dyDescent="0.25">
      <c r="A798" s="15">
        <v>14456</v>
      </c>
      <c r="B798" s="7">
        <v>1030642301</v>
      </c>
      <c r="C798" s="11">
        <v>46090.472951388903</v>
      </c>
      <c r="D798" s="17" t="s">
        <v>4006</v>
      </c>
      <c r="E798" t="str">
        <f>IF(COUNTIF($B$2:B798,B798)&gt;1,"Duplicado","Único")</f>
        <v>Duplicado</v>
      </c>
    </row>
    <row r="799" spans="1:5" x14ac:dyDescent="0.25">
      <c r="A799" s="15">
        <v>27224</v>
      </c>
      <c r="B799" s="7">
        <v>1030652119</v>
      </c>
      <c r="C799" s="11">
        <v>45874.472453703696</v>
      </c>
      <c r="D799" s="17" t="s">
        <v>1255</v>
      </c>
      <c r="E799" t="str">
        <f>IF(COUNTIF($B$2:B799,B799)&gt;1,"Duplicado","Único")</f>
        <v>Único</v>
      </c>
    </row>
    <row r="800" spans="1:5" x14ac:dyDescent="0.25">
      <c r="A800" s="15">
        <v>18384</v>
      </c>
      <c r="B800" s="7">
        <v>1030654221</v>
      </c>
      <c r="C800" s="11">
        <v>45800.647465277798</v>
      </c>
      <c r="D800" s="17" t="s">
        <v>764</v>
      </c>
      <c r="E800" t="str">
        <f>IF(COUNTIF($B$2:B800,B800)&gt;1,"Duplicado","Único")</f>
        <v>Único</v>
      </c>
    </row>
    <row r="801" spans="1:5" x14ac:dyDescent="0.25">
      <c r="A801" s="15">
        <v>34063</v>
      </c>
      <c r="B801" s="7">
        <v>1030656492</v>
      </c>
      <c r="C801" s="11">
        <v>45916.354594907403</v>
      </c>
      <c r="D801" s="17" t="s">
        <v>1714</v>
      </c>
      <c r="E801" t="str">
        <f>IF(COUNTIF($B$2:B801,B801)&gt;1,"Duplicado","Único")</f>
        <v>Único</v>
      </c>
    </row>
    <row r="802" spans="1:5" x14ac:dyDescent="0.25">
      <c r="A802" s="15">
        <v>46426</v>
      </c>
      <c r="B802" s="7">
        <v>1030670656</v>
      </c>
      <c r="C802" s="11">
        <v>45966.638090277796</v>
      </c>
      <c r="D802" s="17" t="s">
        <v>2330</v>
      </c>
      <c r="E802" t="str">
        <f>IF(COUNTIF($B$2:B802,B802)&gt;1,"Duplicado","Único")</f>
        <v>Único</v>
      </c>
    </row>
    <row r="803" spans="1:5" x14ac:dyDescent="0.25">
      <c r="A803" s="15">
        <v>32584</v>
      </c>
      <c r="B803" s="7">
        <v>1030682580</v>
      </c>
      <c r="C803" s="11">
        <v>45909.685902777797</v>
      </c>
      <c r="D803" s="17" t="s">
        <v>1627</v>
      </c>
      <c r="E803" t="str">
        <f>IF(COUNTIF($B$2:B803,B803)&gt;1,"Duplicado","Único")</f>
        <v>Único</v>
      </c>
    </row>
    <row r="804" spans="1:5" x14ac:dyDescent="0.25">
      <c r="A804" s="15">
        <v>48064</v>
      </c>
      <c r="B804" s="7">
        <v>1030685374</v>
      </c>
      <c r="C804" s="11">
        <v>45974.387268518498</v>
      </c>
      <c r="D804" s="17" t="s">
        <v>2493</v>
      </c>
      <c r="E804" t="str">
        <f>IF(COUNTIF($B$2:B804,B804)&gt;1,"Duplicado","Único")</f>
        <v>Único</v>
      </c>
    </row>
    <row r="805" spans="1:5" x14ac:dyDescent="0.25">
      <c r="A805" s="15">
        <v>31590</v>
      </c>
      <c r="B805" s="7">
        <v>1031127069</v>
      </c>
      <c r="C805" s="11">
        <v>45904.6633912037</v>
      </c>
      <c r="D805" s="17" t="s">
        <v>1534</v>
      </c>
      <c r="E805" t="str">
        <f>IF(COUNTIF($B$2:B805,B805)&gt;1,"Duplicado","Único")</f>
        <v>Único</v>
      </c>
    </row>
    <row r="806" spans="1:5" x14ac:dyDescent="0.25">
      <c r="A806" s="15">
        <v>53668</v>
      </c>
      <c r="B806" s="7">
        <v>1031129883</v>
      </c>
      <c r="C806" s="11">
        <v>46057.371157407397</v>
      </c>
      <c r="D806" s="17" t="s">
        <v>3657</v>
      </c>
      <c r="E806" t="str">
        <f>IF(COUNTIF($B$2:B806,B806)&gt;1,"Duplicado","Único")</f>
        <v>Único</v>
      </c>
    </row>
    <row r="807" spans="1:5" hidden="1" x14ac:dyDescent="0.25">
      <c r="A807" s="15">
        <v>53668</v>
      </c>
      <c r="B807" s="7">
        <v>1031129883</v>
      </c>
      <c r="C807" s="11">
        <v>46013.502962963001</v>
      </c>
      <c r="D807" s="17" t="s">
        <v>3031</v>
      </c>
      <c r="E807" t="str">
        <f>IF(COUNTIF($B$2:B807,B807)&gt;1,"Duplicado","Único")</f>
        <v>Duplicado</v>
      </c>
    </row>
    <row r="808" spans="1:5" x14ac:dyDescent="0.25">
      <c r="A808" s="15">
        <v>47948</v>
      </c>
      <c r="B808" s="7">
        <v>1031134140</v>
      </c>
      <c r="C808" s="11">
        <v>45975.487465277802</v>
      </c>
      <c r="D808" s="17" t="s">
        <v>2517</v>
      </c>
      <c r="E808" t="str">
        <f>IF(COUNTIF($B$2:B808,B808)&gt;1,"Duplicado","Único")</f>
        <v>Único</v>
      </c>
    </row>
    <row r="809" spans="1:5" x14ac:dyDescent="0.25">
      <c r="A809" s="15">
        <v>47106</v>
      </c>
      <c r="B809" s="7">
        <v>1031139678</v>
      </c>
      <c r="C809" s="11">
        <v>45968.418483796297</v>
      </c>
      <c r="D809" s="17" t="s">
        <v>2389</v>
      </c>
      <c r="E809" t="str">
        <f>IF(COUNTIF($B$2:B809,B809)&gt;1,"Duplicado","Único")</f>
        <v>Único</v>
      </c>
    </row>
    <row r="810" spans="1:5" x14ac:dyDescent="0.25">
      <c r="A810" s="15">
        <v>26020</v>
      </c>
      <c r="B810" s="7">
        <v>1031150849</v>
      </c>
      <c r="C810" s="11">
        <v>45866.641631944403</v>
      </c>
      <c r="D810" s="17" t="s">
        <v>1165</v>
      </c>
      <c r="E810" t="str">
        <f>IF(COUNTIF($B$2:B810,B810)&gt;1,"Duplicado","Único")</f>
        <v>Único</v>
      </c>
    </row>
    <row r="811" spans="1:5" x14ac:dyDescent="0.25">
      <c r="A811" s="15">
        <v>18622</v>
      </c>
      <c r="B811" s="7">
        <v>1031151910</v>
      </c>
      <c r="C811" s="11">
        <v>45803.512372685203</v>
      </c>
      <c r="D811" s="17" t="s">
        <v>774</v>
      </c>
      <c r="E811" t="str">
        <f>IF(COUNTIF($B$2:B811,B811)&gt;1,"Duplicado","Único")</f>
        <v>Único</v>
      </c>
    </row>
    <row r="812" spans="1:5" x14ac:dyDescent="0.25">
      <c r="A812" s="15">
        <v>31096</v>
      </c>
      <c r="B812" s="7">
        <v>1031154520</v>
      </c>
      <c r="C812" s="11">
        <v>45903.665474537003</v>
      </c>
      <c r="D812" s="17" t="s">
        <v>1506</v>
      </c>
      <c r="E812" t="str">
        <f>IF(COUNTIF($B$2:B812,B812)&gt;1,"Duplicado","Único")</f>
        <v>Único</v>
      </c>
    </row>
    <row r="813" spans="1:5" x14ac:dyDescent="0.25">
      <c r="A813" s="15">
        <v>32807</v>
      </c>
      <c r="B813" s="7">
        <v>1031160962</v>
      </c>
      <c r="C813" s="11">
        <v>45910.419409722199</v>
      </c>
      <c r="D813" s="17" t="s">
        <v>1643</v>
      </c>
      <c r="E813" t="str">
        <f>IF(COUNTIF($B$2:B813,B813)&gt;1,"Duplicado","Único")</f>
        <v>Único</v>
      </c>
    </row>
    <row r="814" spans="1:5" x14ac:dyDescent="0.25">
      <c r="A814" s="15">
        <v>2960</v>
      </c>
      <c r="B814" s="7">
        <v>1031164043</v>
      </c>
      <c r="C814" s="11">
        <v>46059.428402777798</v>
      </c>
      <c r="D814" s="17" t="s">
        <v>3743</v>
      </c>
      <c r="E814" t="str">
        <f>IF(COUNTIF($B$2:B814,B814)&gt;1,"Duplicado","Único")</f>
        <v>Único</v>
      </c>
    </row>
    <row r="815" spans="1:5" hidden="1" x14ac:dyDescent="0.25">
      <c r="A815" s="15">
        <v>2960</v>
      </c>
      <c r="B815" s="7">
        <v>1031164043</v>
      </c>
      <c r="C815" s="11">
        <v>46050.665902777801</v>
      </c>
      <c r="D815" s="17" t="s">
        <v>3379</v>
      </c>
      <c r="E815" t="str">
        <f>IF(COUNTIF($B$2:B815,B815)&gt;1,"Duplicado","Único")</f>
        <v>Duplicado</v>
      </c>
    </row>
    <row r="816" spans="1:5" x14ac:dyDescent="0.25">
      <c r="A816" s="15">
        <v>48053</v>
      </c>
      <c r="B816" s="7">
        <v>1031183918</v>
      </c>
      <c r="C816" s="11">
        <v>45974.385752314804</v>
      </c>
      <c r="D816" s="17" t="s">
        <v>2492</v>
      </c>
      <c r="E816" t="str">
        <f>IF(COUNTIF($B$2:B816,B816)&gt;1,"Duplicado","Único")</f>
        <v>Único</v>
      </c>
    </row>
    <row r="817" spans="1:5" x14ac:dyDescent="0.25">
      <c r="A817" s="15">
        <v>52138</v>
      </c>
      <c r="B817" s="7">
        <v>1032356317</v>
      </c>
      <c r="C817" s="11">
        <v>46051.513530092598</v>
      </c>
      <c r="D817" s="17" t="s">
        <v>3515</v>
      </c>
      <c r="E817" t="str">
        <f>IF(COUNTIF($B$2:B817,B817)&gt;1,"Duplicado","Único")</f>
        <v>Único</v>
      </c>
    </row>
    <row r="818" spans="1:5" hidden="1" x14ac:dyDescent="0.25">
      <c r="A818" s="15">
        <v>52138</v>
      </c>
      <c r="B818" s="7">
        <v>1032356317</v>
      </c>
      <c r="C818" s="11">
        <v>46007.456435185202</v>
      </c>
      <c r="D818" s="17" t="s">
        <v>2936</v>
      </c>
      <c r="E818" t="str">
        <f>IF(COUNTIF($B$2:B818,B818)&gt;1,"Duplicado","Único")</f>
        <v>Duplicado</v>
      </c>
    </row>
    <row r="819" spans="1:5" x14ac:dyDescent="0.25">
      <c r="A819" s="15">
        <v>49429</v>
      </c>
      <c r="B819" s="7">
        <v>1032357427</v>
      </c>
      <c r="C819" s="11">
        <v>45981.679525462998</v>
      </c>
      <c r="D819" s="17" t="s">
        <v>2652</v>
      </c>
      <c r="E819" t="str">
        <f>IF(COUNTIF($B$2:B819,B819)&gt;1,"Duplicado","Único")</f>
        <v>Único</v>
      </c>
    </row>
    <row r="820" spans="1:5" x14ac:dyDescent="0.25">
      <c r="A820" s="15">
        <v>18502</v>
      </c>
      <c r="B820" s="7">
        <v>1032358156</v>
      </c>
      <c r="C820" s="11">
        <v>45803.425231481502</v>
      </c>
      <c r="D820" s="17" t="s">
        <v>770</v>
      </c>
      <c r="E820" t="str">
        <f>IF(COUNTIF($B$2:B820,B820)&gt;1,"Duplicado","Único")</f>
        <v>Único</v>
      </c>
    </row>
    <row r="821" spans="1:5" x14ac:dyDescent="0.25">
      <c r="A821" s="15">
        <v>33756</v>
      </c>
      <c r="B821" s="7">
        <v>1032364896</v>
      </c>
      <c r="C821" s="11">
        <v>45916.330752314803</v>
      </c>
      <c r="D821" s="17" t="s">
        <v>1711</v>
      </c>
      <c r="E821" t="str">
        <f>IF(COUNTIF($B$2:B821,B821)&gt;1,"Duplicado","Único")</f>
        <v>Único</v>
      </c>
    </row>
    <row r="822" spans="1:5" x14ac:dyDescent="0.25">
      <c r="A822" s="15">
        <v>54228</v>
      </c>
      <c r="B822" s="7">
        <v>1032376121</v>
      </c>
      <c r="C822" s="11">
        <v>46057.436435185198</v>
      </c>
      <c r="D822" s="17" t="s">
        <v>3707</v>
      </c>
      <c r="E822" t="str">
        <f>IF(COUNTIF($B$2:B822,B822)&gt;1,"Duplicado","Único")</f>
        <v>Único</v>
      </c>
    </row>
    <row r="823" spans="1:5" hidden="1" x14ac:dyDescent="0.25">
      <c r="A823" s="15">
        <v>54228</v>
      </c>
      <c r="B823" s="7">
        <v>1032376121</v>
      </c>
      <c r="C823" s="11">
        <v>46014.409421296303</v>
      </c>
      <c r="D823" s="17" t="s">
        <v>3073</v>
      </c>
      <c r="E823" t="str">
        <f>IF(COUNTIF($B$2:B823,B823)&gt;1,"Duplicado","Único")</f>
        <v>Duplicado</v>
      </c>
    </row>
    <row r="824" spans="1:5" x14ac:dyDescent="0.25">
      <c r="A824" s="15">
        <v>14450</v>
      </c>
      <c r="B824" s="7">
        <v>1032382759</v>
      </c>
      <c r="C824" s="11">
        <v>46120.474907407399</v>
      </c>
      <c r="D824" s="17" t="s">
        <v>4267</v>
      </c>
      <c r="E824" t="str">
        <f>IF(COUNTIF($B$2:B824,B824)&gt;1,"Duplicado","Único")</f>
        <v>Único</v>
      </c>
    </row>
    <row r="825" spans="1:5" hidden="1" x14ac:dyDescent="0.25">
      <c r="A825" s="15">
        <v>14450</v>
      </c>
      <c r="B825" s="7">
        <v>1032382759</v>
      </c>
      <c r="C825" s="11">
        <v>46090.668981481504</v>
      </c>
      <c r="D825" s="17" t="s">
        <v>1016</v>
      </c>
      <c r="E825" t="str">
        <f>IF(COUNTIF($B$2:B825,B825)&gt;1,"Duplicado","Único")</f>
        <v>Duplicado</v>
      </c>
    </row>
    <row r="826" spans="1:5" x14ac:dyDescent="0.25">
      <c r="A826" s="15">
        <v>18923</v>
      </c>
      <c r="B826" s="7">
        <v>1032384671</v>
      </c>
      <c r="C826" s="11">
        <v>45805.675925925898</v>
      </c>
      <c r="D826" s="17" t="s">
        <v>798</v>
      </c>
      <c r="E826" t="str">
        <f>IF(COUNTIF($B$2:B826,B826)&gt;1,"Duplicado","Único")</f>
        <v>Único</v>
      </c>
    </row>
    <row r="827" spans="1:5" x14ac:dyDescent="0.25">
      <c r="A827" s="15">
        <v>31810</v>
      </c>
      <c r="B827" s="7">
        <v>1032385055</v>
      </c>
      <c r="C827" s="11">
        <v>45905.597476851799</v>
      </c>
      <c r="D827" s="17" t="s">
        <v>1562</v>
      </c>
      <c r="E827" t="str">
        <f>IF(COUNTIF($B$2:B827,B827)&gt;1,"Duplicado","Único")</f>
        <v>Único</v>
      </c>
    </row>
    <row r="828" spans="1:5" hidden="1" x14ac:dyDescent="0.25">
      <c r="A828" s="15">
        <v>21825</v>
      </c>
      <c r="B828" s="7">
        <v>1032385055</v>
      </c>
      <c r="C828" s="11">
        <v>45834.515451388899</v>
      </c>
      <c r="D828" s="17" t="s">
        <v>972</v>
      </c>
      <c r="E828" t="str">
        <f>IF(COUNTIF($B$2:B828,B828)&gt;1,"Duplicado","Único")</f>
        <v>Duplicado</v>
      </c>
    </row>
    <row r="829" spans="1:5" x14ac:dyDescent="0.25">
      <c r="A829" s="15">
        <v>35535</v>
      </c>
      <c r="B829" s="7">
        <v>1032390743</v>
      </c>
      <c r="C829" s="11">
        <v>45917.4390277778</v>
      </c>
      <c r="D829" s="17" t="s">
        <v>1731</v>
      </c>
      <c r="E829" t="str">
        <f>IF(COUNTIF($B$2:B829,B829)&gt;1,"Duplicado","Único")</f>
        <v>Único</v>
      </c>
    </row>
    <row r="830" spans="1:5" hidden="1" x14ac:dyDescent="0.25">
      <c r="A830" s="15">
        <v>19404</v>
      </c>
      <c r="B830" s="7">
        <v>1032390743</v>
      </c>
      <c r="C830" s="11">
        <v>45813.7649537037</v>
      </c>
      <c r="D830" s="17" t="s">
        <v>828</v>
      </c>
      <c r="E830" t="str">
        <f>IF(COUNTIF($B$2:B830,B830)&gt;1,"Duplicado","Único")</f>
        <v>Duplicado</v>
      </c>
    </row>
    <row r="831" spans="1:5" x14ac:dyDescent="0.25">
      <c r="A831" s="15">
        <v>24441</v>
      </c>
      <c r="B831" s="7">
        <v>1032396679</v>
      </c>
      <c r="C831" s="11">
        <v>45860.495474536998</v>
      </c>
      <c r="D831" s="17" t="s">
        <v>1138</v>
      </c>
      <c r="E831" t="str">
        <f>IF(COUNTIF($B$2:B831,B831)&gt;1,"Duplicado","Único")</f>
        <v>Único</v>
      </c>
    </row>
    <row r="832" spans="1:5" hidden="1" x14ac:dyDescent="0.25">
      <c r="A832" s="15">
        <v>24441</v>
      </c>
      <c r="B832" s="7">
        <v>1032396679</v>
      </c>
      <c r="C832" s="11">
        <v>45856.477557870399</v>
      </c>
      <c r="D832" s="17" t="s">
        <v>1079</v>
      </c>
      <c r="E832" t="str">
        <f>IF(COUNTIF($B$2:B832,B832)&gt;1,"Duplicado","Único")</f>
        <v>Duplicado</v>
      </c>
    </row>
    <row r="833" spans="1:5" x14ac:dyDescent="0.25">
      <c r="A833" s="15">
        <v>941</v>
      </c>
      <c r="B833" s="7">
        <v>1032403655</v>
      </c>
      <c r="C833" s="11">
        <v>46086.514884259297</v>
      </c>
      <c r="D833" s="17" t="s">
        <v>3830</v>
      </c>
      <c r="E833" t="str">
        <f>IF(COUNTIF($B$2:B833,B833)&gt;1,"Duplicado","Único")</f>
        <v>Único</v>
      </c>
    </row>
    <row r="834" spans="1:5" hidden="1" x14ac:dyDescent="0.25">
      <c r="A834" s="15">
        <v>941</v>
      </c>
      <c r="B834" s="7">
        <v>1032403655</v>
      </c>
      <c r="C834" s="11">
        <v>46035.678622685198</v>
      </c>
      <c r="D834" s="17" t="s">
        <v>3156</v>
      </c>
      <c r="E834" t="str">
        <f>IF(COUNTIF($B$2:B834,B834)&gt;1,"Duplicado","Único")</f>
        <v>Duplicado</v>
      </c>
    </row>
    <row r="835" spans="1:5" x14ac:dyDescent="0.25">
      <c r="A835" s="15">
        <v>49983</v>
      </c>
      <c r="B835" s="7">
        <v>1032408836</v>
      </c>
      <c r="C835" s="11">
        <v>46050.487615740698</v>
      </c>
      <c r="D835" s="17" t="s">
        <v>3268</v>
      </c>
      <c r="E835" t="str">
        <f>IF(COUNTIF($B$2:B835,B835)&gt;1,"Duplicado","Único")</f>
        <v>Único</v>
      </c>
    </row>
    <row r="836" spans="1:5" hidden="1" x14ac:dyDescent="0.25">
      <c r="A836" s="15">
        <v>49983</v>
      </c>
      <c r="B836" s="7">
        <v>1032408836</v>
      </c>
      <c r="C836" s="11">
        <v>45986.386631944399</v>
      </c>
      <c r="D836" s="17" t="s">
        <v>2711</v>
      </c>
      <c r="E836" t="str">
        <f>IF(COUNTIF($B$2:B836,B836)&gt;1,"Duplicado","Único")</f>
        <v>Duplicado</v>
      </c>
    </row>
    <row r="837" spans="1:5" x14ac:dyDescent="0.25">
      <c r="A837" s="15">
        <v>47467</v>
      </c>
      <c r="B837" s="7">
        <v>1032421417</v>
      </c>
      <c r="C837" s="11">
        <v>45972.414988425902</v>
      </c>
      <c r="D837" s="17" t="s">
        <v>2418</v>
      </c>
      <c r="E837" t="str">
        <f>IF(COUNTIF($B$2:B837,B837)&gt;1,"Duplicado","Único")</f>
        <v>Único</v>
      </c>
    </row>
    <row r="838" spans="1:5" x14ac:dyDescent="0.25">
      <c r="A838" s="15">
        <v>47350</v>
      </c>
      <c r="B838" s="7">
        <v>1032427280</v>
      </c>
      <c r="C838" s="11">
        <v>45971.472048611096</v>
      </c>
      <c r="D838" s="17" t="s">
        <v>2412</v>
      </c>
      <c r="E838" t="str">
        <f>IF(COUNTIF($B$2:B838,B838)&gt;1,"Duplicado","Único")</f>
        <v>Único</v>
      </c>
    </row>
    <row r="839" spans="1:5" x14ac:dyDescent="0.25">
      <c r="A839" s="15">
        <v>26534</v>
      </c>
      <c r="B839" s="7">
        <v>1032429459</v>
      </c>
      <c r="C839" s="11">
        <v>45867.528645833299</v>
      </c>
      <c r="D839" s="17" t="s">
        <v>1209</v>
      </c>
      <c r="E839" t="str">
        <f>IF(COUNTIF($B$2:B839,B839)&gt;1,"Duplicado","Único")</f>
        <v>Único</v>
      </c>
    </row>
    <row r="840" spans="1:5" x14ac:dyDescent="0.25">
      <c r="A840" s="15">
        <v>47709</v>
      </c>
      <c r="B840" s="7">
        <v>1032432896</v>
      </c>
      <c r="C840" s="11">
        <v>45972.475821759297</v>
      </c>
      <c r="D840" s="17" t="s">
        <v>2442</v>
      </c>
      <c r="E840" t="str">
        <f>IF(COUNTIF($B$2:B840,B840)&gt;1,"Duplicado","Único")</f>
        <v>Único</v>
      </c>
    </row>
    <row r="841" spans="1:5" x14ac:dyDescent="0.25">
      <c r="A841" s="15">
        <v>55320</v>
      </c>
      <c r="B841" s="7">
        <v>1032436197</v>
      </c>
      <c r="C841" s="11">
        <v>46086.459652777798</v>
      </c>
      <c r="D841" s="17" t="s">
        <v>3796</v>
      </c>
      <c r="E841" t="str">
        <f>IF(COUNTIF($B$2:B841,B841)&gt;1,"Duplicado","Único")</f>
        <v>Único</v>
      </c>
    </row>
    <row r="842" spans="1:5" hidden="1" x14ac:dyDescent="0.25">
      <c r="A842" s="15">
        <v>55320</v>
      </c>
      <c r="B842" s="7">
        <v>1032436197</v>
      </c>
      <c r="C842" s="11">
        <v>46021.428587962997</v>
      </c>
      <c r="D842" s="17" t="s">
        <v>3107</v>
      </c>
      <c r="E842" t="str">
        <f>IF(COUNTIF($B$2:B842,B842)&gt;1,"Duplicado","Único")</f>
        <v>Duplicado</v>
      </c>
    </row>
    <row r="843" spans="1:5" x14ac:dyDescent="0.25">
      <c r="A843" s="15">
        <v>52793</v>
      </c>
      <c r="B843" s="7">
        <v>1032439759</v>
      </c>
      <c r="C843" s="11">
        <v>46051.617928240703</v>
      </c>
      <c r="D843" s="17" t="s">
        <v>3544</v>
      </c>
      <c r="E843" t="str">
        <f>IF(COUNTIF($B$2:B843,B843)&gt;1,"Duplicado","Único")</f>
        <v>Único</v>
      </c>
    </row>
    <row r="844" spans="1:5" hidden="1" x14ac:dyDescent="0.25">
      <c r="A844" s="15">
        <v>52793</v>
      </c>
      <c r="B844" s="7">
        <v>1032439759</v>
      </c>
      <c r="C844" s="11">
        <v>46009.385405092602</v>
      </c>
      <c r="D844" s="17" t="s">
        <v>2969</v>
      </c>
      <c r="E844" t="str">
        <f>IF(COUNTIF($B$2:B844,B844)&gt;1,"Duplicado","Único")</f>
        <v>Duplicado</v>
      </c>
    </row>
    <row r="845" spans="1:5" x14ac:dyDescent="0.25">
      <c r="A845" s="15">
        <v>45572</v>
      </c>
      <c r="B845" s="7">
        <v>1032439766</v>
      </c>
      <c r="C845" s="11">
        <v>45960.491238425901</v>
      </c>
      <c r="D845" s="17" t="s">
        <v>2241</v>
      </c>
      <c r="E845" t="str">
        <f>IF(COUNTIF($B$2:B845,B845)&gt;1,"Duplicado","Único")</f>
        <v>Único</v>
      </c>
    </row>
    <row r="846" spans="1:5" x14ac:dyDescent="0.25">
      <c r="A846" s="15">
        <v>25449</v>
      </c>
      <c r="B846" s="7">
        <v>1032441741</v>
      </c>
      <c r="C846" s="11">
        <v>45860.459074074097</v>
      </c>
      <c r="D846" s="17" t="s">
        <v>1128</v>
      </c>
      <c r="E846" t="str">
        <f>IF(COUNTIF($B$2:B846,B846)&gt;1,"Duplicado","Único")</f>
        <v>Único</v>
      </c>
    </row>
    <row r="847" spans="1:5" x14ac:dyDescent="0.25">
      <c r="A847" s="15">
        <v>36049</v>
      </c>
      <c r="B847" s="7">
        <v>1032443776</v>
      </c>
      <c r="C847" s="11">
        <v>45918.4140162037</v>
      </c>
      <c r="D847" s="17" t="s">
        <v>1742</v>
      </c>
      <c r="E847" t="str">
        <f>IF(COUNTIF($B$2:B847,B847)&gt;1,"Duplicado","Único")</f>
        <v>Único</v>
      </c>
    </row>
    <row r="848" spans="1:5" x14ac:dyDescent="0.25">
      <c r="A848" s="15">
        <v>41289</v>
      </c>
      <c r="B848" s="7">
        <v>1032456303</v>
      </c>
      <c r="C848" s="11">
        <v>46057.455960648098</v>
      </c>
      <c r="D848" s="17" t="s">
        <v>3728</v>
      </c>
      <c r="E848" t="str">
        <f>IF(COUNTIF($B$2:B848,B848)&gt;1,"Duplicado","Único")</f>
        <v>Único</v>
      </c>
    </row>
    <row r="849" spans="1:5" hidden="1" x14ac:dyDescent="0.25">
      <c r="A849" s="15">
        <v>41289</v>
      </c>
      <c r="B849" s="7">
        <v>1032456303</v>
      </c>
      <c r="C849" s="11">
        <v>46017.408032407402</v>
      </c>
      <c r="D849" s="17" t="s">
        <v>3084</v>
      </c>
      <c r="E849" t="str">
        <f>IF(COUNTIF($B$2:B849,B849)&gt;1,"Duplicado","Único")</f>
        <v>Duplicado</v>
      </c>
    </row>
    <row r="850" spans="1:5" hidden="1" x14ac:dyDescent="0.25">
      <c r="A850" s="15">
        <v>41289</v>
      </c>
      <c r="B850" s="7">
        <v>1032456303</v>
      </c>
      <c r="C850" s="11">
        <v>45937.358680555597</v>
      </c>
      <c r="D850" s="17" t="s">
        <v>1962</v>
      </c>
      <c r="E850" t="str">
        <f>IF(COUNTIF($B$2:B850,B850)&gt;1,"Duplicado","Único")</f>
        <v>Duplicado</v>
      </c>
    </row>
    <row r="851" spans="1:5" x14ac:dyDescent="0.25">
      <c r="A851" s="15">
        <v>2075</v>
      </c>
      <c r="B851" s="7">
        <v>1032462009</v>
      </c>
      <c r="C851" s="11">
        <v>46086.708993055603</v>
      </c>
      <c r="D851" s="17" t="s">
        <v>3893</v>
      </c>
      <c r="E851" t="str">
        <f>IF(COUNTIF($B$2:B851,B851)&gt;1,"Duplicado","Único")</f>
        <v>Único</v>
      </c>
    </row>
    <row r="852" spans="1:5" hidden="1" x14ac:dyDescent="0.25">
      <c r="A852" s="15">
        <v>2075</v>
      </c>
      <c r="B852" s="7">
        <v>1032462009</v>
      </c>
      <c r="C852" s="11">
        <v>46048.710069444402</v>
      </c>
      <c r="D852" s="17" t="s">
        <v>3215</v>
      </c>
      <c r="E852" t="str">
        <f>IF(COUNTIF($B$2:B852,B852)&gt;1,"Duplicado","Único")</f>
        <v>Duplicado</v>
      </c>
    </row>
    <row r="853" spans="1:5" x14ac:dyDescent="0.25">
      <c r="A853" s="15">
        <v>27270</v>
      </c>
      <c r="B853" s="7">
        <v>1032462290</v>
      </c>
      <c r="C853" s="11">
        <v>45874.507824074099</v>
      </c>
      <c r="D853" s="17" t="s">
        <v>1258</v>
      </c>
      <c r="E853" t="str">
        <f>IF(COUNTIF($B$2:B853,B853)&gt;1,"Duplicado","Único")</f>
        <v>Único</v>
      </c>
    </row>
    <row r="854" spans="1:5" x14ac:dyDescent="0.25">
      <c r="A854" s="15">
        <v>55534</v>
      </c>
      <c r="B854" s="7">
        <v>1032465915</v>
      </c>
      <c r="C854" s="11">
        <v>46086.464930555601</v>
      </c>
      <c r="D854" s="17" t="s">
        <v>3801</v>
      </c>
      <c r="E854" t="str">
        <f>IF(COUNTIF($B$2:B854,B854)&gt;1,"Duplicado","Único")</f>
        <v>Único</v>
      </c>
    </row>
    <row r="855" spans="1:5" hidden="1" x14ac:dyDescent="0.25">
      <c r="A855" s="15">
        <v>55534</v>
      </c>
      <c r="B855" s="7">
        <v>1032465915</v>
      </c>
      <c r="C855" s="11">
        <v>46022.393078703702</v>
      </c>
      <c r="D855" s="17" t="s">
        <v>3113</v>
      </c>
      <c r="E855" t="str">
        <f>IF(COUNTIF($B$2:B855,B855)&gt;1,"Duplicado","Único")</f>
        <v>Duplicado</v>
      </c>
    </row>
    <row r="856" spans="1:5" x14ac:dyDescent="0.25">
      <c r="A856" s="15">
        <v>51985</v>
      </c>
      <c r="B856" s="7">
        <v>1032466166</v>
      </c>
      <c r="C856" s="11">
        <v>46051.495254629597</v>
      </c>
      <c r="D856" s="17" t="s">
        <v>3502</v>
      </c>
      <c r="E856" t="str">
        <f>IF(COUNTIF($B$2:B856,B856)&gt;1,"Duplicado","Único")</f>
        <v>Único</v>
      </c>
    </row>
    <row r="857" spans="1:5" hidden="1" x14ac:dyDescent="0.25">
      <c r="A857" s="15">
        <v>51985</v>
      </c>
      <c r="B857" s="7">
        <v>1032466166</v>
      </c>
      <c r="C857" s="11">
        <v>46003.698229166701</v>
      </c>
      <c r="D857" s="17" t="s">
        <v>2925</v>
      </c>
      <c r="E857" t="str">
        <f>IF(COUNTIF($B$2:B857,B857)&gt;1,"Duplicado","Único")</f>
        <v>Duplicado</v>
      </c>
    </row>
    <row r="858" spans="1:5" x14ac:dyDescent="0.25">
      <c r="A858" s="15">
        <v>47002</v>
      </c>
      <c r="B858" s="7">
        <v>1032468040</v>
      </c>
      <c r="C858" s="11">
        <v>45968.403634259303</v>
      </c>
      <c r="D858" s="17" t="s">
        <v>2381</v>
      </c>
      <c r="E858" t="str">
        <f>IF(COUNTIF($B$2:B858,B858)&gt;1,"Duplicado","Único")</f>
        <v>Único</v>
      </c>
    </row>
    <row r="859" spans="1:5" x14ac:dyDescent="0.25">
      <c r="A859" s="15">
        <v>1704</v>
      </c>
      <c r="B859" s="7">
        <v>1032471113</v>
      </c>
      <c r="C859" s="11">
        <v>46086.688946759299</v>
      </c>
      <c r="D859" s="17" t="s">
        <v>986</v>
      </c>
      <c r="E859" t="str">
        <f>IF(COUNTIF($B$2:B859,B859)&gt;1,"Duplicado","Único")</f>
        <v>Único</v>
      </c>
    </row>
    <row r="860" spans="1:5" hidden="1" x14ac:dyDescent="0.25">
      <c r="A860" s="15">
        <v>1704</v>
      </c>
      <c r="B860" s="7">
        <v>1032471113</v>
      </c>
      <c r="C860" s="11">
        <v>46037.363981481503</v>
      </c>
      <c r="D860" s="17" t="s">
        <v>3186</v>
      </c>
      <c r="E860" t="str">
        <f>IF(COUNTIF($B$2:B860,B860)&gt;1,"Duplicado","Único")</f>
        <v>Duplicado</v>
      </c>
    </row>
    <row r="861" spans="1:5" x14ac:dyDescent="0.25">
      <c r="A861" s="15">
        <v>36602</v>
      </c>
      <c r="B861" s="7">
        <v>1032479690</v>
      </c>
      <c r="C861" s="11">
        <v>45919.374421296299</v>
      </c>
      <c r="D861" s="17" t="s">
        <v>1753</v>
      </c>
      <c r="E861" t="str">
        <f>IF(COUNTIF($B$2:B861,B861)&gt;1,"Duplicado","Único")</f>
        <v>Único</v>
      </c>
    </row>
    <row r="862" spans="1:5" x14ac:dyDescent="0.25">
      <c r="A862" s="15">
        <v>24673</v>
      </c>
      <c r="B862" s="7">
        <v>1032481136</v>
      </c>
      <c r="C862" s="11">
        <v>45859.372314814798</v>
      </c>
      <c r="D862" s="17" t="s">
        <v>1088</v>
      </c>
      <c r="E862" t="str">
        <f>IF(COUNTIF($B$2:B862,B862)&gt;1,"Duplicado","Único")</f>
        <v>Único</v>
      </c>
    </row>
    <row r="863" spans="1:5" x14ac:dyDescent="0.25">
      <c r="A863" s="15">
        <v>44262</v>
      </c>
      <c r="B863" s="7">
        <v>1032484688</v>
      </c>
      <c r="C863" s="11">
        <v>45958.428449074097</v>
      </c>
      <c r="D863" s="17" t="s">
        <v>2121</v>
      </c>
      <c r="E863" t="str">
        <f>IF(COUNTIF($B$2:B863,B863)&gt;1,"Duplicado","Único")</f>
        <v>Único</v>
      </c>
    </row>
    <row r="864" spans="1:5" x14ac:dyDescent="0.25">
      <c r="A864" s="15">
        <v>52165</v>
      </c>
      <c r="B864" s="7">
        <v>1032491788</v>
      </c>
      <c r="C864" s="11">
        <v>46051.514074074097</v>
      </c>
      <c r="D864" s="17" t="s">
        <v>3516</v>
      </c>
      <c r="E864" t="str">
        <f>IF(COUNTIF($B$2:B864,B864)&gt;1,"Duplicado","Único")</f>
        <v>Único</v>
      </c>
    </row>
    <row r="865" spans="1:5" hidden="1" x14ac:dyDescent="0.25">
      <c r="A865" s="15">
        <v>52165</v>
      </c>
      <c r="B865" s="7">
        <v>1032491788</v>
      </c>
      <c r="C865" s="11">
        <v>46007.473842592597</v>
      </c>
      <c r="D865" s="17" t="s">
        <v>2942</v>
      </c>
      <c r="E865" t="str">
        <f>IF(COUNTIF($B$2:B865,B865)&gt;1,"Duplicado","Único")</f>
        <v>Duplicado</v>
      </c>
    </row>
    <row r="866" spans="1:5" x14ac:dyDescent="0.25">
      <c r="A866" s="15">
        <v>2943</v>
      </c>
      <c r="B866" s="7">
        <v>1032495516</v>
      </c>
      <c r="C866" s="11">
        <v>46086.734074074098</v>
      </c>
      <c r="D866" s="17" t="s">
        <v>3920</v>
      </c>
      <c r="E866" t="str">
        <f>IF(COUNTIF($B$2:B866,B866)&gt;1,"Duplicado","Único")</f>
        <v>Único</v>
      </c>
    </row>
    <row r="867" spans="1:5" hidden="1" x14ac:dyDescent="0.25">
      <c r="A867" s="15">
        <v>2943</v>
      </c>
      <c r="B867" s="7">
        <v>1032495516</v>
      </c>
      <c r="C867" s="11">
        <v>46050.611030092601</v>
      </c>
      <c r="D867" s="17" t="s">
        <v>3318</v>
      </c>
      <c r="E867" t="str">
        <f>IF(COUNTIF($B$2:B867,B867)&gt;1,"Duplicado","Único")</f>
        <v>Duplicado</v>
      </c>
    </row>
    <row r="868" spans="1:5" x14ac:dyDescent="0.25">
      <c r="A868" s="15">
        <v>29272</v>
      </c>
      <c r="B868" s="7">
        <v>1032496246</v>
      </c>
      <c r="C868" s="11">
        <v>45894.488333333298</v>
      </c>
      <c r="D868" s="17" t="s">
        <v>1401</v>
      </c>
      <c r="E868" t="str">
        <f>IF(COUNTIF($B$2:B868,B868)&gt;1,"Duplicado","Único")</f>
        <v>Único</v>
      </c>
    </row>
    <row r="869" spans="1:5" x14ac:dyDescent="0.25">
      <c r="A869" s="15">
        <v>18364</v>
      </c>
      <c r="B869" s="7">
        <v>1032497648</v>
      </c>
      <c r="C869" s="11">
        <v>46149.417534722197</v>
      </c>
      <c r="D869" s="17" t="s">
        <v>4449</v>
      </c>
      <c r="E869" t="str">
        <f>IF(COUNTIF($B$2:B869,B869)&gt;1,"Duplicado","Único")</f>
        <v>Único</v>
      </c>
    </row>
    <row r="870" spans="1:5" hidden="1" x14ac:dyDescent="0.25">
      <c r="A870" s="15">
        <v>18364</v>
      </c>
      <c r="B870" s="7">
        <v>1032497648</v>
      </c>
      <c r="C870" s="11">
        <v>46118.402291666702</v>
      </c>
      <c r="D870" s="17" t="s">
        <v>1191</v>
      </c>
      <c r="E870" t="str">
        <f>IF(COUNTIF($B$2:B870,B870)&gt;1,"Duplicado","Único")</f>
        <v>Duplicado</v>
      </c>
    </row>
    <row r="871" spans="1:5" x14ac:dyDescent="0.25">
      <c r="A871" s="15">
        <v>14253</v>
      </c>
      <c r="B871" s="7">
        <v>1033339451</v>
      </c>
      <c r="C871" s="11">
        <v>46120.4774652778</v>
      </c>
      <c r="D871" s="17" t="s">
        <v>4268</v>
      </c>
      <c r="E871" t="str">
        <f>IF(COUNTIF($B$2:B871,B871)&gt;1,"Duplicado","Único")</f>
        <v>Único</v>
      </c>
    </row>
    <row r="872" spans="1:5" hidden="1" x14ac:dyDescent="0.25">
      <c r="A872" s="15">
        <v>14253</v>
      </c>
      <c r="B872" s="7">
        <v>1033339451</v>
      </c>
      <c r="C872" s="11">
        <v>46090.627303240697</v>
      </c>
      <c r="D872" s="17" t="s">
        <v>4011</v>
      </c>
      <c r="E872" t="str">
        <f>IF(COUNTIF($B$2:B872,B872)&gt;1,"Duplicado","Único")</f>
        <v>Duplicado</v>
      </c>
    </row>
    <row r="873" spans="1:5" x14ac:dyDescent="0.25">
      <c r="A873" s="15">
        <v>37381</v>
      </c>
      <c r="B873" s="7">
        <v>1033682049</v>
      </c>
      <c r="C873" s="11">
        <v>45923.391087962998</v>
      </c>
      <c r="D873" s="17" t="s">
        <v>1789</v>
      </c>
      <c r="E873" t="str">
        <f>IF(COUNTIF($B$2:B873,B873)&gt;1,"Duplicado","Único")</f>
        <v>Único</v>
      </c>
    </row>
    <row r="874" spans="1:5" x14ac:dyDescent="0.25">
      <c r="A874" s="15">
        <v>45864</v>
      </c>
      <c r="B874" s="7">
        <v>1033683952</v>
      </c>
      <c r="C874" s="11">
        <v>45961.497511574104</v>
      </c>
      <c r="D874" s="17" t="s">
        <v>2284</v>
      </c>
      <c r="E874" t="str">
        <f>IF(COUNTIF($B$2:B874,B874)&gt;1,"Duplicado","Único")</f>
        <v>Único</v>
      </c>
    </row>
    <row r="875" spans="1:5" x14ac:dyDescent="0.25">
      <c r="A875" s="15">
        <v>53394</v>
      </c>
      <c r="B875" s="7">
        <v>1033703114</v>
      </c>
      <c r="C875" s="11">
        <v>46057.421238425901</v>
      </c>
      <c r="D875" s="17" t="s">
        <v>3698</v>
      </c>
      <c r="E875" t="str">
        <f>IF(COUNTIF($B$2:B875,B875)&gt;1,"Duplicado","Único")</f>
        <v>Único</v>
      </c>
    </row>
    <row r="876" spans="1:5" hidden="1" x14ac:dyDescent="0.25">
      <c r="A876" s="15">
        <v>53394</v>
      </c>
      <c r="B876" s="7">
        <v>1033703114</v>
      </c>
      <c r="C876" s="11">
        <v>46013.477847222202</v>
      </c>
      <c r="D876" s="17" t="s">
        <v>3017</v>
      </c>
      <c r="E876" t="str">
        <f>IF(COUNTIF($B$2:B876,B876)&gt;1,"Duplicado","Único")</f>
        <v>Duplicado</v>
      </c>
    </row>
    <row r="877" spans="1:5" x14ac:dyDescent="0.25">
      <c r="A877" s="15">
        <v>15995</v>
      </c>
      <c r="B877" s="7">
        <v>1033712526</v>
      </c>
      <c r="C877" s="11">
        <v>46121.455300925903</v>
      </c>
      <c r="D877" s="17" t="s">
        <v>4395</v>
      </c>
      <c r="E877" t="str">
        <f>IF(COUNTIF($B$2:B877,B877)&gt;1,"Duplicado","Único")</f>
        <v>Único</v>
      </c>
    </row>
    <row r="878" spans="1:5" hidden="1" x14ac:dyDescent="0.25">
      <c r="A878" s="15">
        <v>15995</v>
      </c>
      <c r="B878" s="7">
        <v>1033712526</v>
      </c>
      <c r="C878" s="11">
        <v>46101.7089583333</v>
      </c>
      <c r="D878" s="17" t="s">
        <v>4122</v>
      </c>
      <c r="E878" t="str">
        <f>IF(COUNTIF($B$2:B878,B878)&gt;1,"Duplicado","Único")</f>
        <v>Duplicado</v>
      </c>
    </row>
    <row r="879" spans="1:5" x14ac:dyDescent="0.25">
      <c r="A879" s="15">
        <v>52326</v>
      </c>
      <c r="B879" s="7">
        <v>1033738468</v>
      </c>
      <c r="C879" s="11">
        <v>46057.346956018497</v>
      </c>
      <c r="D879" s="17" t="s">
        <v>3628</v>
      </c>
      <c r="E879" t="str">
        <f>IF(COUNTIF($B$2:B879,B879)&gt;1,"Duplicado","Único")</f>
        <v>Único</v>
      </c>
    </row>
    <row r="880" spans="1:5" hidden="1" x14ac:dyDescent="0.25">
      <c r="A880" s="15">
        <v>52326</v>
      </c>
      <c r="B880" s="7">
        <v>1033738468</v>
      </c>
      <c r="C880" s="11">
        <v>46009.417905092603</v>
      </c>
      <c r="D880" s="17" t="s">
        <v>2979</v>
      </c>
      <c r="E880" t="str">
        <f>IF(COUNTIF($B$2:B880,B880)&gt;1,"Duplicado","Único")</f>
        <v>Duplicado</v>
      </c>
    </row>
    <row r="881" spans="1:5" x14ac:dyDescent="0.25">
      <c r="A881" s="15">
        <v>24328</v>
      </c>
      <c r="B881" s="7">
        <v>1033756371</v>
      </c>
      <c r="C881" s="11">
        <v>45856.449421296304</v>
      </c>
      <c r="D881" s="17" t="s">
        <v>1076</v>
      </c>
      <c r="E881" t="str">
        <f>IF(COUNTIF($B$2:B881,B881)&gt;1,"Duplicado","Único")</f>
        <v>Único</v>
      </c>
    </row>
    <row r="882" spans="1:5" x14ac:dyDescent="0.25">
      <c r="A882" s="15">
        <v>54784</v>
      </c>
      <c r="B882" s="7">
        <v>1033760455</v>
      </c>
      <c r="C882" s="11">
        <v>46086.4578819444</v>
      </c>
      <c r="D882" s="17" t="s">
        <v>3794</v>
      </c>
      <c r="E882" t="str">
        <f>IF(COUNTIF($B$2:B882,B882)&gt;1,"Duplicado","Único")</f>
        <v>Único</v>
      </c>
    </row>
    <row r="883" spans="1:5" hidden="1" x14ac:dyDescent="0.25">
      <c r="A883" s="15">
        <v>54784</v>
      </c>
      <c r="B883" s="7">
        <v>1033760455</v>
      </c>
      <c r="C883" s="11">
        <v>46020.6024652778</v>
      </c>
      <c r="D883" s="17" t="s">
        <v>3098</v>
      </c>
      <c r="E883" t="str">
        <f>IF(COUNTIF($B$2:B883,B883)&gt;1,"Duplicado","Único")</f>
        <v>Duplicado</v>
      </c>
    </row>
    <row r="884" spans="1:5" x14ac:dyDescent="0.25">
      <c r="A884" s="15">
        <v>27534</v>
      </c>
      <c r="B884" s="7">
        <v>1033799289</v>
      </c>
      <c r="C884" s="11">
        <v>45874.672314814801</v>
      </c>
      <c r="D884" s="17" t="s">
        <v>1276</v>
      </c>
      <c r="E884" t="str">
        <f>IF(COUNTIF($B$2:B884,B884)&gt;1,"Duplicado","Único")</f>
        <v>Único</v>
      </c>
    </row>
    <row r="885" spans="1:5" x14ac:dyDescent="0.25">
      <c r="A885" s="15">
        <v>19045</v>
      </c>
      <c r="B885" s="7">
        <v>1033801924</v>
      </c>
      <c r="C885" s="11">
        <v>45813.7160532407</v>
      </c>
      <c r="D885" s="17" t="s">
        <v>810</v>
      </c>
      <c r="E885" t="str">
        <f>IF(COUNTIF($B$2:B885,B885)&gt;1,"Duplicado","Único")</f>
        <v>Único</v>
      </c>
    </row>
    <row r="886" spans="1:5" x14ac:dyDescent="0.25">
      <c r="A886" s="15">
        <v>17782</v>
      </c>
      <c r="B886" s="7">
        <v>1033802942</v>
      </c>
      <c r="C886" s="11">
        <v>46149.470289351899</v>
      </c>
      <c r="D886" s="17" t="s">
        <v>4498</v>
      </c>
      <c r="E886" t="str">
        <f>IF(COUNTIF($B$2:B886,B886)&gt;1,"Duplicado","Único")</f>
        <v>Único</v>
      </c>
    </row>
    <row r="887" spans="1:5" hidden="1" x14ac:dyDescent="0.25">
      <c r="A887" s="15">
        <v>17782</v>
      </c>
      <c r="B887" s="7">
        <v>1033802942</v>
      </c>
      <c r="C887" s="11">
        <v>46108.831168981502</v>
      </c>
      <c r="D887" s="17" t="s">
        <v>1157</v>
      </c>
      <c r="E887" t="str">
        <f>IF(COUNTIF($B$2:B887,B887)&gt;1,"Duplicado","Único")</f>
        <v>Duplicado</v>
      </c>
    </row>
    <row r="888" spans="1:5" x14ac:dyDescent="0.25">
      <c r="A888" s="15">
        <v>28454</v>
      </c>
      <c r="B888" s="7">
        <v>1033809904</v>
      </c>
      <c r="C888" s="11">
        <v>45908.346203703702</v>
      </c>
      <c r="D888" s="17" t="s">
        <v>1579</v>
      </c>
      <c r="E888" t="str">
        <f>IF(COUNTIF($B$2:B888,B888)&gt;1,"Duplicado","Único")</f>
        <v>Único</v>
      </c>
    </row>
    <row r="889" spans="1:5" hidden="1" x14ac:dyDescent="0.25">
      <c r="A889" s="15">
        <v>28454</v>
      </c>
      <c r="B889" s="7">
        <v>1033809904</v>
      </c>
      <c r="C889" s="11">
        <v>45888.510902777802</v>
      </c>
      <c r="D889" s="17" t="s">
        <v>1334</v>
      </c>
      <c r="E889" t="str">
        <f>IF(COUNTIF($B$2:B889,B889)&gt;1,"Duplicado","Único")</f>
        <v>Duplicado</v>
      </c>
    </row>
    <row r="890" spans="1:5" x14ac:dyDescent="0.25">
      <c r="A890" s="15">
        <v>51309</v>
      </c>
      <c r="B890" s="7">
        <v>10345890</v>
      </c>
      <c r="C890" s="11">
        <v>46051.339826388903</v>
      </c>
      <c r="D890" s="17" t="s">
        <v>3431</v>
      </c>
      <c r="E890" t="str">
        <f>IF(COUNTIF($B$2:B890,B890)&gt;1,"Duplicado","Único")</f>
        <v>Único</v>
      </c>
    </row>
    <row r="891" spans="1:5" hidden="1" x14ac:dyDescent="0.25">
      <c r="A891" s="15">
        <v>51309</v>
      </c>
      <c r="B891" s="7">
        <v>10345890</v>
      </c>
      <c r="C891" s="11">
        <v>46002.384907407402</v>
      </c>
      <c r="D891" s="17" t="s">
        <v>2866</v>
      </c>
      <c r="E891" t="str">
        <f>IF(COUNTIF($B$2:B891,B891)&gt;1,"Duplicado","Único")</f>
        <v>Duplicado</v>
      </c>
    </row>
    <row r="892" spans="1:5" x14ac:dyDescent="0.25">
      <c r="A892" s="15">
        <v>31663</v>
      </c>
      <c r="B892" s="7">
        <v>1035222938</v>
      </c>
      <c r="C892" s="11">
        <v>45904.679490740702</v>
      </c>
      <c r="D892" s="17" t="s">
        <v>1539</v>
      </c>
      <c r="E892" t="str">
        <f>IF(COUNTIF($B$2:B892,B892)&gt;1,"Duplicado","Único")</f>
        <v>Único</v>
      </c>
    </row>
    <row r="893" spans="1:5" x14ac:dyDescent="0.25">
      <c r="A893" s="15">
        <v>21552</v>
      </c>
      <c r="B893" s="7">
        <v>1035231397</v>
      </c>
      <c r="C893" s="11">
        <v>45825.364548611098</v>
      </c>
      <c r="D893" s="17" t="s">
        <v>944</v>
      </c>
      <c r="E893" t="str">
        <f>IF(COUNTIF($B$2:B893,B893)&gt;1,"Duplicado","Único")</f>
        <v>Único</v>
      </c>
    </row>
    <row r="894" spans="1:5" x14ac:dyDescent="0.25">
      <c r="A894" s="15">
        <v>40360</v>
      </c>
      <c r="B894" s="7">
        <v>1035390532</v>
      </c>
      <c r="C894" s="11">
        <v>45933.651331018496</v>
      </c>
      <c r="D894" s="17" t="s">
        <v>1919</v>
      </c>
      <c r="E894" t="str">
        <f>IF(COUNTIF($B$2:B894,B894)&gt;1,"Duplicado","Único")</f>
        <v>Único</v>
      </c>
    </row>
    <row r="895" spans="1:5" x14ac:dyDescent="0.25">
      <c r="A895" s="15">
        <v>19454</v>
      </c>
      <c r="B895" s="7">
        <v>1035422512</v>
      </c>
      <c r="C895" s="11">
        <v>45813.8069328704</v>
      </c>
      <c r="D895" s="17" t="s">
        <v>829</v>
      </c>
      <c r="E895" t="str">
        <f>IF(COUNTIF($B$2:B895,B895)&gt;1,"Duplicado","Único")</f>
        <v>Único</v>
      </c>
    </row>
    <row r="896" spans="1:5" x14ac:dyDescent="0.25">
      <c r="A896" s="15">
        <v>43088</v>
      </c>
      <c r="B896" s="7">
        <v>1035439303</v>
      </c>
      <c r="C896" s="11">
        <v>45953.438275462999</v>
      </c>
      <c r="D896" s="17" t="s">
        <v>2046</v>
      </c>
      <c r="E896" t="str">
        <f>IF(COUNTIF($B$2:B896,B896)&gt;1,"Duplicado","Único")</f>
        <v>Único</v>
      </c>
    </row>
    <row r="897" spans="1:5" x14ac:dyDescent="0.25">
      <c r="A897" s="15">
        <v>17535</v>
      </c>
      <c r="B897" s="7">
        <v>1035865991</v>
      </c>
      <c r="C897" s="11">
        <v>45797.528032407397</v>
      </c>
      <c r="D897" s="17" t="s">
        <v>713</v>
      </c>
      <c r="E897" t="str">
        <f>IF(COUNTIF($B$2:B897,B897)&gt;1,"Duplicado","Único")</f>
        <v>Único</v>
      </c>
    </row>
    <row r="898" spans="1:5" x14ac:dyDescent="0.25">
      <c r="A898" s="15">
        <v>16530</v>
      </c>
      <c r="B898" s="7">
        <v>1035871966</v>
      </c>
      <c r="C898" s="11">
        <v>46121.455949074101</v>
      </c>
      <c r="D898" s="17" t="s">
        <v>4396</v>
      </c>
      <c r="E898" t="str">
        <f>IF(COUNTIF($B$2:B898,B898)&gt;1,"Duplicado","Único")</f>
        <v>Único</v>
      </c>
    </row>
    <row r="899" spans="1:5" hidden="1" x14ac:dyDescent="0.25">
      <c r="A899" s="15">
        <v>16530</v>
      </c>
      <c r="B899" s="7">
        <v>1035871966</v>
      </c>
      <c r="C899" s="11">
        <v>46101.827708333301</v>
      </c>
      <c r="D899" s="17" t="s">
        <v>4161</v>
      </c>
      <c r="E899" t="str">
        <f>IF(COUNTIF($B$2:B899,B899)&gt;1,"Duplicado","Único")</f>
        <v>Duplicado</v>
      </c>
    </row>
    <row r="900" spans="1:5" x14ac:dyDescent="0.25">
      <c r="A900" s="15">
        <v>27993</v>
      </c>
      <c r="B900" s="7">
        <v>1035918586</v>
      </c>
      <c r="C900" s="11">
        <v>45884.4782291667</v>
      </c>
      <c r="D900" s="17" t="s">
        <v>1309</v>
      </c>
      <c r="E900" t="str">
        <f>IF(COUNTIF($B$2:B900,B900)&gt;1,"Duplicado","Único")</f>
        <v>Único</v>
      </c>
    </row>
    <row r="901" spans="1:5" x14ac:dyDescent="0.25">
      <c r="A901" s="15">
        <v>32839</v>
      </c>
      <c r="B901" s="7">
        <v>1036401086</v>
      </c>
      <c r="C901" s="11">
        <v>45910.4465740741</v>
      </c>
      <c r="D901" s="17" t="s">
        <v>1645</v>
      </c>
      <c r="E901" t="str">
        <f>IF(COUNTIF($B$2:B901,B901)&gt;1,"Duplicado","Único")</f>
        <v>Único</v>
      </c>
    </row>
    <row r="902" spans="1:5" x14ac:dyDescent="0.25">
      <c r="A902" s="15">
        <v>3824</v>
      </c>
      <c r="B902" s="7">
        <v>1036623141</v>
      </c>
      <c r="C902" s="11">
        <v>46086.781909722202</v>
      </c>
      <c r="D902" s="17" t="s">
        <v>3973</v>
      </c>
      <c r="E902" t="str">
        <f>IF(COUNTIF($B$2:B902,B902)&gt;1,"Duplicado","Único")</f>
        <v>Único</v>
      </c>
    </row>
    <row r="903" spans="1:5" hidden="1" x14ac:dyDescent="0.25">
      <c r="A903" s="15">
        <v>3824</v>
      </c>
      <c r="B903" s="7">
        <v>1036623141</v>
      </c>
      <c r="C903" s="11">
        <v>46055.412361111099</v>
      </c>
      <c r="D903" s="17" t="s">
        <v>3588</v>
      </c>
      <c r="E903" t="str">
        <f>IF(COUNTIF($B$2:B903,B903)&gt;1,"Duplicado","Único")</f>
        <v>Duplicado</v>
      </c>
    </row>
    <row r="904" spans="1:5" x14ac:dyDescent="0.25">
      <c r="A904" s="15">
        <v>48623</v>
      </c>
      <c r="B904" s="7">
        <v>1036631583</v>
      </c>
      <c r="C904" s="11">
        <v>45979.6086574074</v>
      </c>
      <c r="D904" s="17" t="s">
        <v>2566</v>
      </c>
      <c r="E904" t="str">
        <f>IF(COUNTIF($B$2:B904,B904)&gt;1,"Duplicado","Único")</f>
        <v>Único</v>
      </c>
    </row>
    <row r="905" spans="1:5" x14ac:dyDescent="0.25">
      <c r="A905" s="15">
        <v>21065</v>
      </c>
      <c r="B905" s="7">
        <v>1036631625</v>
      </c>
      <c r="C905" s="11">
        <v>45824.3590625</v>
      </c>
      <c r="D905" s="17" t="s">
        <v>922</v>
      </c>
      <c r="E905" t="str">
        <f>IF(COUNTIF($B$2:B905,B905)&gt;1,"Duplicado","Único")</f>
        <v>Único</v>
      </c>
    </row>
    <row r="906" spans="1:5" x14ac:dyDescent="0.25">
      <c r="A906" s="15">
        <v>49597</v>
      </c>
      <c r="B906" s="7">
        <v>1036637525</v>
      </c>
      <c r="C906" s="11">
        <v>46050.446331018502</v>
      </c>
      <c r="D906" s="17" t="s">
        <v>3244</v>
      </c>
      <c r="E906" t="str">
        <f>IF(COUNTIF($B$2:B906,B906)&gt;1,"Duplicado","Único")</f>
        <v>Único</v>
      </c>
    </row>
    <row r="907" spans="1:5" hidden="1" x14ac:dyDescent="0.25">
      <c r="A907" s="15">
        <v>49597</v>
      </c>
      <c r="B907" s="7">
        <v>1036637525</v>
      </c>
      <c r="C907" s="11">
        <v>45985.369895833297</v>
      </c>
      <c r="D907" s="17" t="s">
        <v>2674</v>
      </c>
      <c r="E907" t="str">
        <f>IF(COUNTIF($B$2:B907,B907)&gt;1,"Duplicado","Único")</f>
        <v>Duplicado</v>
      </c>
    </row>
    <row r="908" spans="1:5" x14ac:dyDescent="0.25">
      <c r="A908" s="15">
        <v>44806</v>
      </c>
      <c r="B908" s="7">
        <v>1036642817</v>
      </c>
      <c r="C908" s="11">
        <v>45959.466886574097</v>
      </c>
      <c r="D908" s="17" t="s">
        <v>2230</v>
      </c>
      <c r="E908" t="str">
        <f>IF(COUNTIF($B$2:B908,B908)&gt;1,"Duplicado","Único")</f>
        <v>Único</v>
      </c>
    </row>
    <row r="909" spans="1:5" x14ac:dyDescent="0.25">
      <c r="A909" s="15">
        <v>20982</v>
      </c>
      <c r="B909" s="7">
        <v>1036647987</v>
      </c>
      <c r="C909" s="11">
        <v>45821.728900463</v>
      </c>
      <c r="D909" s="17" t="s">
        <v>916</v>
      </c>
      <c r="E909" t="str">
        <f>IF(COUNTIF($B$2:B909,B909)&gt;1,"Duplicado","Único")</f>
        <v>Único</v>
      </c>
    </row>
    <row r="910" spans="1:5" x14ac:dyDescent="0.25">
      <c r="A910" s="15">
        <v>24839</v>
      </c>
      <c r="B910" s="7">
        <v>1036655038</v>
      </c>
      <c r="C910" s="11">
        <v>45859.435624999998</v>
      </c>
      <c r="D910" s="17" t="s">
        <v>1099</v>
      </c>
      <c r="E910" t="str">
        <f>IF(COUNTIF($B$2:B910,B910)&gt;1,"Duplicado","Único")</f>
        <v>Único</v>
      </c>
    </row>
    <row r="911" spans="1:5" x14ac:dyDescent="0.25">
      <c r="A911" s="15">
        <v>22079</v>
      </c>
      <c r="B911" s="7">
        <v>1036662023</v>
      </c>
      <c r="C911" s="11">
        <v>45846.603437500002</v>
      </c>
      <c r="D911" s="17" t="s">
        <v>1059</v>
      </c>
      <c r="E911" t="str">
        <f>IF(COUNTIF($B$2:B911,B911)&gt;1,"Duplicado","Único")</f>
        <v>Único</v>
      </c>
    </row>
    <row r="912" spans="1:5" hidden="1" x14ac:dyDescent="0.25">
      <c r="A912" s="15">
        <v>22079</v>
      </c>
      <c r="B912" s="7">
        <v>1036662023</v>
      </c>
      <c r="C912" s="11">
        <v>45834.646168981497</v>
      </c>
      <c r="D912" s="17" t="s">
        <v>988</v>
      </c>
      <c r="E912" t="str">
        <f>IF(COUNTIF($B$2:B912,B912)&gt;1,"Duplicado","Único")</f>
        <v>Duplicado</v>
      </c>
    </row>
    <row r="913" spans="1:5" x14ac:dyDescent="0.25">
      <c r="A913" s="15">
        <v>31718</v>
      </c>
      <c r="B913" s="7">
        <v>1036685974</v>
      </c>
      <c r="C913" s="11">
        <v>45905.6393634259</v>
      </c>
      <c r="D913" s="17" t="s">
        <v>1567</v>
      </c>
      <c r="E913" t="str">
        <f>IF(COUNTIF($B$2:B913,B913)&gt;1,"Duplicado","Único")</f>
        <v>Único</v>
      </c>
    </row>
    <row r="914" spans="1:5" x14ac:dyDescent="0.25">
      <c r="A914" s="15">
        <v>18838</v>
      </c>
      <c r="B914" s="7">
        <v>1036957243</v>
      </c>
      <c r="C914" s="11">
        <v>45826.693958333301</v>
      </c>
      <c r="D914" s="17" t="s">
        <v>957</v>
      </c>
      <c r="E914" t="str">
        <f>IF(COUNTIF($B$2:B914,B914)&gt;1,"Duplicado","Único")</f>
        <v>Único</v>
      </c>
    </row>
    <row r="915" spans="1:5" hidden="1" x14ac:dyDescent="0.25">
      <c r="A915" s="15">
        <v>18838</v>
      </c>
      <c r="B915" s="7">
        <v>1036957243</v>
      </c>
      <c r="C915" s="11">
        <v>45805.644537036998</v>
      </c>
      <c r="D915" s="17" t="s">
        <v>794</v>
      </c>
      <c r="E915" t="str">
        <f>IF(COUNTIF($B$2:B915,B915)&gt;1,"Duplicado","Único")</f>
        <v>Duplicado</v>
      </c>
    </row>
    <row r="916" spans="1:5" x14ac:dyDescent="0.25">
      <c r="A916" s="15">
        <v>35947</v>
      </c>
      <c r="B916" s="7">
        <v>1036966456</v>
      </c>
      <c r="C916" s="11">
        <v>45918.470509259299</v>
      </c>
      <c r="D916" s="17" t="s">
        <v>1746</v>
      </c>
      <c r="E916" t="str">
        <f>IF(COUNTIF($B$2:B916,B916)&gt;1,"Duplicado","Único")</f>
        <v>Único</v>
      </c>
    </row>
    <row r="917" spans="1:5" x14ac:dyDescent="0.25">
      <c r="A917" s="15">
        <v>54515</v>
      </c>
      <c r="B917" s="7">
        <v>1036966628</v>
      </c>
      <c r="C917" s="11">
        <v>46057.457384259302</v>
      </c>
      <c r="D917" s="17" t="s">
        <v>3729</v>
      </c>
      <c r="E917" t="str">
        <f>IF(COUNTIF($B$2:B917,B917)&gt;1,"Duplicado","Único")</f>
        <v>Único</v>
      </c>
    </row>
    <row r="918" spans="1:5" hidden="1" x14ac:dyDescent="0.25">
      <c r="A918" s="15">
        <v>54515</v>
      </c>
      <c r="B918" s="7">
        <v>1036966628</v>
      </c>
      <c r="C918" s="11">
        <v>46017.639895833301</v>
      </c>
      <c r="D918" s="17" t="s">
        <v>3095</v>
      </c>
      <c r="E918" t="str">
        <f>IF(COUNTIF($B$2:B918,B918)&gt;1,"Duplicado","Único")</f>
        <v>Duplicado</v>
      </c>
    </row>
    <row r="919" spans="1:5" x14ac:dyDescent="0.25">
      <c r="A919" s="15">
        <v>47811</v>
      </c>
      <c r="B919" s="7">
        <v>1037368321</v>
      </c>
      <c r="C919" s="11">
        <v>45973.659050925897</v>
      </c>
      <c r="D919" s="17" t="s">
        <v>2467</v>
      </c>
      <c r="E919" t="str">
        <f>IF(COUNTIF($B$2:B919,B919)&gt;1,"Duplicado","Único")</f>
        <v>Único</v>
      </c>
    </row>
    <row r="920" spans="1:5" x14ac:dyDescent="0.25">
      <c r="A920" s="15">
        <v>46324</v>
      </c>
      <c r="B920" s="7">
        <v>1037483729</v>
      </c>
      <c r="C920" s="11">
        <v>45965.501423611102</v>
      </c>
      <c r="D920" s="17" t="s">
        <v>2310</v>
      </c>
      <c r="E920" t="str">
        <f>IF(COUNTIF($B$2:B920,B920)&gt;1,"Duplicado","Único")</f>
        <v>Único</v>
      </c>
    </row>
    <row r="921" spans="1:5" x14ac:dyDescent="0.25">
      <c r="A921" s="15">
        <v>46042</v>
      </c>
      <c r="B921" s="7">
        <v>1037544943</v>
      </c>
      <c r="C921" s="11">
        <v>45961.466828703698</v>
      </c>
      <c r="D921" s="17" t="s">
        <v>2279</v>
      </c>
      <c r="E921" t="str">
        <f>IF(COUNTIF($B$2:B921,B921)&gt;1,"Duplicado","Único")</f>
        <v>Único</v>
      </c>
    </row>
    <row r="922" spans="1:5" x14ac:dyDescent="0.25">
      <c r="A922" s="15">
        <v>46047</v>
      </c>
      <c r="B922" s="7">
        <v>1037570838</v>
      </c>
      <c r="C922" s="11">
        <v>45961.467453703699</v>
      </c>
      <c r="D922" s="17" t="s">
        <v>2280</v>
      </c>
      <c r="E922" t="str">
        <f>IF(COUNTIF($B$2:B922,B922)&gt;1,"Duplicado","Único")</f>
        <v>Único</v>
      </c>
    </row>
    <row r="923" spans="1:5" x14ac:dyDescent="0.25">
      <c r="A923" s="15">
        <v>38012</v>
      </c>
      <c r="B923" s="7">
        <v>1037575567</v>
      </c>
      <c r="C923" s="11">
        <v>45924.500486111101</v>
      </c>
      <c r="D923" s="17" t="s">
        <v>1816</v>
      </c>
      <c r="E923" t="str">
        <f>IF(COUNTIF($B$2:B923,B923)&gt;1,"Duplicado","Único")</f>
        <v>Único</v>
      </c>
    </row>
    <row r="924" spans="1:5" x14ac:dyDescent="0.25">
      <c r="A924" s="15">
        <v>54332</v>
      </c>
      <c r="B924" s="7">
        <v>1037578264</v>
      </c>
      <c r="C924" s="11">
        <v>46057.458171296297</v>
      </c>
      <c r="D924" s="17" t="s">
        <v>3730</v>
      </c>
      <c r="E924" t="str">
        <f>IF(COUNTIF($B$2:B924,B924)&gt;1,"Duplicado","Único")</f>
        <v>Único</v>
      </c>
    </row>
    <row r="925" spans="1:5" hidden="1" x14ac:dyDescent="0.25">
      <c r="A925" s="15">
        <v>54332</v>
      </c>
      <c r="B925" s="7">
        <v>1037578264</v>
      </c>
      <c r="C925" s="11">
        <v>46017.398043981499</v>
      </c>
      <c r="D925" s="17" t="s">
        <v>3083</v>
      </c>
      <c r="E925" t="str">
        <f>IF(COUNTIF($B$2:B925,B925)&gt;1,"Duplicado","Único")</f>
        <v>Duplicado</v>
      </c>
    </row>
    <row r="926" spans="1:5" x14ac:dyDescent="0.25">
      <c r="A926" s="15">
        <v>51452</v>
      </c>
      <c r="B926" s="7">
        <v>1037585694</v>
      </c>
      <c r="C926" s="11">
        <v>46051.495763888903</v>
      </c>
      <c r="D926" s="17" t="s">
        <v>3503</v>
      </c>
      <c r="E926" t="str">
        <f>IF(COUNTIF($B$2:B926,B926)&gt;1,"Duplicado","Único")</f>
        <v>Único</v>
      </c>
    </row>
    <row r="927" spans="1:5" hidden="1" x14ac:dyDescent="0.25">
      <c r="A927" s="15">
        <v>51452</v>
      </c>
      <c r="B927" s="7">
        <v>1037585694</v>
      </c>
      <c r="C927" s="11">
        <v>46003.409710648099</v>
      </c>
      <c r="D927" s="17" t="s">
        <v>2913</v>
      </c>
      <c r="E927" t="str">
        <f>IF(COUNTIF($B$2:B927,B927)&gt;1,"Duplicado","Único")</f>
        <v>Duplicado</v>
      </c>
    </row>
    <row r="928" spans="1:5" x14ac:dyDescent="0.25">
      <c r="A928" s="15">
        <v>17348</v>
      </c>
      <c r="B928" s="7">
        <v>1037586252</v>
      </c>
      <c r="C928" s="11">
        <v>45796.685891203699</v>
      </c>
      <c r="D928" s="17" t="s">
        <v>705</v>
      </c>
      <c r="E928" t="str">
        <f>IF(COUNTIF($B$2:B928,B928)&gt;1,"Duplicado","Único")</f>
        <v>Único</v>
      </c>
    </row>
    <row r="929" spans="1:5" x14ac:dyDescent="0.25">
      <c r="A929" s="15">
        <v>50140</v>
      </c>
      <c r="B929" s="7">
        <v>1037597765</v>
      </c>
      <c r="C929" s="11">
        <v>46050.600509259297</v>
      </c>
      <c r="D929" s="17" t="s">
        <v>3296</v>
      </c>
      <c r="E929" t="str">
        <f>IF(COUNTIF($B$2:B929,B929)&gt;1,"Duplicado","Único")</f>
        <v>Único</v>
      </c>
    </row>
    <row r="930" spans="1:5" hidden="1" x14ac:dyDescent="0.25">
      <c r="A930" s="15">
        <v>50140</v>
      </c>
      <c r="B930" s="7">
        <v>1037597765</v>
      </c>
      <c r="C930" s="11">
        <v>45987.423472222203</v>
      </c>
      <c r="D930" s="17" t="s">
        <v>2728</v>
      </c>
      <c r="E930" t="str">
        <f>IF(COUNTIF($B$2:B930,B930)&gt;1,"Duplicado","Único")</f>
        <v>Duplicado</v>
      </c>
    </row>
    <row r="931" spans="1:5" x14ac:dyDescent="0.25">
      <c r="A931" s="15">
        <v>50374</v>
      </c>
      <c r="B931" s="7">
        <v>1037599691</v>
      </c>
      <c r="C931" s="11">
        <v>46050.6191203704</v>
      </c>
      <c r="D931" s="17" t="s">
        <v>3329</v>
      </c>
      <c r="E931" t="str">
        <f>IF(COUNTIF($B$2:B931,B931)&gt;1,"Duplicado","Único")</f>
        <v>Único</v>
      </c>
    </row>
    <row r="932" spans="1:5" hidden="1" x14ac:dyDescent="0.25">
      <c r="A932" s="15">
        <v>50374</v>
      </c>
      <c r="B932" s="7">
        <v>1037599691</v>
      </c>
      <c r="C932" s="11">
        <v>45988.377187500002</v>
      </c>
      <c r="D932" s="17" t="s">
        <v>2753</v>
      </c>
      <c r="E932" t="str">
        <f>IF(COUNTIF($B$2:B932,B932)&gt;1,"Duplicado","Único")</f>
        <v>Duplicado</v>
      </c>
    </row>
    <row r="933" spans="1:5" x14ac:dyDescent="0.25">
      <c r="A933" s="15">
        <v>31187</v>
      </c>
      <c r="B933" s="7">
        <v>1037618600</v>
      </c>
      <c r="C933" s="11">
        <v>45903.698634259301</v>
      </c>
      <c r="D933" s="17" t="s">
        <v>1515</v>
      </c>
      <c r="E933" t="str">
        <f>IF(COUNTIF($B$2:B933,B933)&gt;1,"Duplicado","Único")</f>
        <v>Único</v>
      </c>
    </row>
    <row r="934" spans="1:5" x14ac:dyDescent="0.25">
      <c r="A934" s="15">
        <v>30077</v>
      </c>
      <c r="B934" s="7">
        <v>1037629196</v>
      </c>
      <c r="C934" s="11">
        <v>45897.637557870403</v>
      </c>
      <c r="D934" s="17" t="s">
        <v>1440</v>
      </c>
      <c r="E934" t="str">
        <f>IF(COUNTIF($B$2:B934,B934)&gt;1,"Duplicado","Único")</f>
        <v>Único</v>
      </c>
    </row>
    <row r="935" spans="1:5" x14ac:dyDescent="0.25">
      <c r="A935" s="15">
        <v>40017</v>
      </c>
      <c r="B935" s="7">
        <v>1037630063</v>
      </c>
      <c r="C935" s="11">
        <v>45931.395370370403</v>
      </c>
      <c r="D935" s="17" t="s">
        <v>1907</v>
      </c>
      <c r="E935" t="str">
        <f>IF(COUNTIF($B$2:B935,B935)&gt;1,"Duplicado","Único")</f>
        <v>Único</v>
      </c>
    </row>
    <row r="936" spans="1:5" x14ac:dyDescent="0.25">
      <c r="A936" s="15">
        <v>18348</v>
      </c>
      <c r="B936" s="7">
        <v>1037634082</v>
      </c>
      <c r="C936" s="11">
        <v>46149.417962963002</v>
      </c>
      <c r="D936" s="17" t="s">
        <v>4450</v>
      </c>
      <c r="E936" t="str">
        <f>IF(COUNTIF($B$2:B936,B936)&gt;1,"Duplicado","Único")</f>
        <v>Único</v>
      </c>
    </row>
    <row r="937" spans="1:5" hidden="1" x14ac:dyDescent="0.25">
      <c r="A937" s="15">
        <v>18348</v>
      </c>
      <c r="B937" s="7">
        <v>1037634082</v>
      </c>
      <c r="C937" s="11">
        <v>46118.397662037001</v>
      </c>
      <c r="D937" s="17" t="s">
        <v>1189</v>
      </c>
      <c r="E937" t="str">
        <f>IF(COUNTIF($B$2:B937,B937)&gt;1,"Duplicado","Único")</f>
        <v>Duplicado</v>
      </c>
    </row>
    <row r="938" spans="1:5" x14ac:dyDescent="0.25">
      <c r="A938" s="15">
        <v>27386</v>
      </c>
      <c r="B938" s="7">
        <v>1037634730</v>
      </c>
      <c r="C938" s="11">
        <v>45874.598981481497</v>
      </c>
      <c r="D938" s="17" t="s">
        <v>1264</v>
      </c>
      <c r="E938" t="str">
        <f>IF(COUNTIF($B$2:B938,B938)&gt;1,"Duplicado","Único")</f>
        <v>Único</v>
      </c>
    </row>
    <row r="939" spans="1:5" x14ac:dyDescent="0.25">
      <c r="A939" s="15">
        <v>50235</v>
      </c>
      <c r="B939" s="7">
        <v>1037637476</v>
      </c>
      <c r="C939" s="11">
        <v>46050.6015625</v>
      </c>
      <c r="D939" s="17" t="s">
        <v>3297</v>
      </c>
      <c r="E939" t="str">
        <f>IF(COUNTIF($B$2:B939,B939)&gt;1,"Duplicado","Único")</f>
        <v>Único</v>
      </c>
    </row>
    <row r="940" spans="1:5" hidden="1" x14ac:dyDescent="0.25">
      <c r="A940" s="15">
        <v>50235</v>
      </c>
      <c r="B940" s="7">
        <v>1037637476</v>
      </c>
      <c r="C940" s="11">
        <v>45987.447280092601</v>
      </c>
      <c r="D940" s="17" t="s">
        <v>2735</v>
      </c>
      <c r="E940" t="str">
        <f>IF(COUNTIF($B$2:B940,B940)&gt;1,"Duplicado","Único")</f>
        <v>Duplicado</v>
      </c>
    </row>
    <row r="941" spans="1:5" x14ac:dyDescent="0.25">
      <c r="A941" s="15">
        <v>29058</v>
      </c>
      <c r="B941" s="7">
        <v>1037638225</v>
      </c>
      <c r="C941" s="11">
        <v>45891.494386574101</v>
      </c>
      <c r="D941" s="17" t="s">
        <v>1384</v>
      </c>
      <c r="E941" t="str">
        <f>IF(COUNTIF($B$2:B941,B941)&gt;1,"Duplicado","Único")</f>
        <v>Único</v>
      </c>
    </row>
    <row r="942" spans="1:5" x14ac:dyDescent="0.25">
      <c r="A942" s="15">
        <v>28259</v>
      </c>
      <c r="B942" s="7">
        <v>1037640391</v>
      </c>
      <c r="C942" s="11">
        <v>45926.631006944401</v>
      </c>
      <c r="D942" s="17" t="s">
        <v>1846</v>
      </c>
      <c r="E942" t="str">
        <f>IF(COUNTIF($B$2:B942,B942)&gt;1,"Duplicado","Único")</f>
        <v>Único</v>
      </c>
    </row>
    <row r="943" spans="1:5" hidden="1" x14ac:dyDescent="0.25">
      <c r="A943" s="15">
        <v>28259</v>
      </c>
      <c r="B943" s="7">
        <v>1037640391</v>
      </c>
      <c r="C943" s="11">
        <v>45884.696516203701</v>
      </c>
      <c r="D943" s="17" t="s">
        <v>1323</v>
      </c>
      <c r="E943" t="str">
        <f>IF(COUNTIF($B$2:B943,B943)&gt;1,"Duplicado","Único")</f>
        <v>Duplicado</v>
      </c>
    </row>
    <row r="944" spans="1:5" x14ac:dyDescent="0.25">
      <c r="A944" s="15">
        <v>45877</v>
      </c>
      <c r="B944" s="7">
        <v>1037641131</v>
      </c>
      <c r="C944" s="11">
        <v>45961.443854166697</v>
      </c>
      <c r="D944" s="17" t="s">
        <v>2271</v>
      </c>
      <c r="E944" t="str">
        <f>IF(COUNTIF($B$2:B944,B944)&gt;1,"Duplicado","Único")</f>
        <v>Único</v>
      </c>
    </row>
    <row r="945" spans="1:5" x14ac:dyDescent="0.25">
      <c r="A945" s="15">
        <v>30716</v>
      </c>
      <c r="B945" s="7">
        <v>1037641818</v>
      </c>
      <c r="C945" s="11">
        <v>45901.4828009259</v>
      </c>
      <c r="D945" s="17" t="s">
        <v>1477</v>
      </c>
      <c r="E945" t="str">
        <f>IF(COUNTIF($B$2:B945,B945)&gt;1,"Duplicado","Único")</f>
        <v>Único</v>
      </c>
    </row>
    <row r="946" spans="1:5" x14ac:dyDescent="0.25">
      <c r="A946" s="15">
        <v>36995</v>
      </c>
      <c r="B946" s="7">
        <v>1037644180</v>
      </c>
      <c r="C946" s="11">
        <v>45922.3769791667</v>
      </c>
      <c r="D946" s="17" t="s">
        <v>1773</v>
      </c>
      <c r="E946" t="str">
        <f>IF(COUNTIF($B$2:B946,B946)&gt;1,"Duplicado","Único")</f>
        <v>Único</v>
      </c>
    </row>
    <row r="947" spans="1:5" x14ac:dyDescent="0.25">
      <c r="A947" s="15">
        <v>15313</v>
      </c>
      <c r="B947" s="7">
        <v>1037644304</v>
      </c>
      <c r="C947" s="11">
        <v>46120.642523148097</v>
      </c>
      <c r="D947" s="17" t="s">
        <v>4319</v>
      </c>
      <c r="E947" t="str">
        <f>IF(COUNTIF($B$2:B947,B947)&gt;1,"Duplicado","Único")</f>
        <v>Único</v>
      </c>
    </row>
    <row r="948" spans="1:5" hidden="1" x14ac:dyDescent="0.25">
      <c r="A948" s="15">
        <v>15313</v>
      </c>
      <c r="B948" s="7">
        <v>1037644304</v>
      </c>
      <c r="C948" s="11">
        <v>46094.518194444398</v>
      </c>
      <c r="D948" s="17" t="s">
        <v>4080</v>
      </c>
      <c r="E948" t="str">
        <f>IF(COUNTIF($B$2:B948,B948)&gt;1,"Duplicado","Único")</f>
        <v>Duplicado</v>
      </c>
    </row>
    <row r="949" spans="1:5" hidden="1" x14ac:dyDescent="0.25">
      <c r="A949" s="15">
        <v>21732</v>
      </c>
      <c r="B949" s="7">
        <v>1037644304</v>
      </c>
      <c r="C949" s="11">
        <v>45825.491956018501</v>
      </c>
      <c r="D949" s="17" t="s">
        <v>955</v>
      </c>
      <c r="E949" t="str">
        <f>IF(COUNTIF($B$2:B949,B949)&gt;1,"Duplicado","Único")</f>
        <v>Duplicado</v>
      </c>
    </row>
    <row r="950" spans="1:5" x14ac:dyDescent="0.25">
      <c r="A950" s="15">
        <v>43238</v>
      </c>
      <c r="B950" s="7">
        <v>1037646838</v>
      </c>
      <c r="C950" s="11">
        <v>45957.4448148148</v>
      </c>
      <c r="D950" s="17" t="s">
        <v>2091</v>
      </c>
      <c r="E950" t="str">
        <f>IF(COUNTIF($B$2:B950,B950)&gt;1,"Duplicado","Único")</f>
        <v>Único</v>
      </c>
    </row>
    <row r="951" spans="1:5" x14ac:dyDescent="0.25">
      <c r="A951" s="15">
        <v>21199</v>
      </c>
      <c r="B951" s="7">
        <v>1037648216</v>
      </c>
      <c r="C951" s="11">
        <v>45824.395601851902</v>
      </c>
      <c r="D951" s="17" t="s">
        <v>929</v>
      </c>
      <c r="E951" t="str">
        <f>IF(COUNTIF($B$2:B951,B951)&gt;1,"Duplicado","Único")</f>
        <v>Único</v>
      </c>
    </row>
    <row r="952" spans="1:5" x14ac:dyDescent="0.25">
      <c r="A952" s="15">
        <v>18907</v>
      </c>
      <c r="B952" s="7">
        <v>1037655900</v>
      </c>
      <c r="C952" s="11">
        <v>45805.672662037003</v>
      </c>
      <c r="D952" s="17" t="s">
        <v>797</v>
      </c>
      <c r="E952" t="str">
        <f>IF(COUNTIF($B$2:B952,B952)&gt;1,"Duplicado","Único")</f>
        <v>Único</v>
      </c>
    </row>
    <row r="953" spans="1:5" x14ac:dyDescent="0.25">
      <c r="A953" s="15">
        <v>47718</v>
      </c>
      <c r="B953" s="7">
        <v>1037657054</v>
      </c>
      <c r="C953" s="11">
        <v>45973.381053240701</v>
      </c>
      <c r="D953" s="17" t="s">
        <v>2446</v>
      </c>
      <c r="E953" t="str">
        <f>IF(COUNTIF($B$2:B953,B953)&gt;1,"Duplicado","Único")</f>
        <v>Único</v>
      </c>
    </row>
    <row r="954" spans="1:5" x14ac:dyDescent="0.25">
      <c r="A954" s="15">
        <v>17449</v>
      </c>
      <c r="B954" s="7">
        <v>1037661247</v>
      </c>
      <c r="C954" s="11">
        <v>45841.740023148202</v>
      </c>
      <c r="D954" s="17" t="s">
        <v>1022</v>
      </c>
      <c r="E954" t="str">
        <f>IF(COUNTIF($B$2:B954,B954)&gt;1,"Duplicado","Único")</f>
        <v>Único</v>
      </c>
    </row>
    <row r="955" spans="1:5" x14ac:dyDescent="0.25">
      <c r="A955" s="15">
        <v>18456</v>
      </c>
      <c r="B955" s="7">
        <v>1037661461</v>
      </c>
      <c r="C955" s="11">
        <v>46149.418587963002</v>
      </c>
      <c r="D955" s="17" t="s">
        <v>1383</v>
      </c>
      <c r="E955" t="str">
        <f>IF(COUNTIF($B$2:B955,B955)&gt;1,"Duplicado","Único")</f>
        <v>Único</v>
      </c>
    </row>
    <row r="956" spans="1:5" hidden="1" x14ac:dyDescent="0.25">
      <c r="A956" s="15">
        <v>18456</v>
      </c>
      <c r="B956" s="7">
        <v>1037661461</v>
      </c>
      <c r="C956" s="11">
        <v>46118.463402777801</v>
      </c>
      <c r="D956" s="17" t="s">
        <v>4251</v>
      </c>
      <c r="E956" t="str">
        <f>IF(COUNTIF($B$2:B956,B956)&gt;1,"Duplicado","Único")</f>
        <v>Duplicado</v>
      </c>
    </row>
    <row r="957" spans="1:5" x14ac:dyDescent="0.25">
      <c r="A957" s="15">
        <v>14814</v>
      </c>
      <c r="B957" s="7">
        <v>1037663793</v>
      </c>
      <c r="C957" s="11">
        <v>46120.643113425896</v>
      </c>
      <c r="D957" s="17" t="s">
        <v>4320</v>
      </c>
      <c r="E957" t="str">
        <f>IF(COUNTIF($B$2:B957,B957)&gt;1,"Duplicado","Único")</f>
        <v>Único</v>
      </c>
    </row>
    <row r="958" spans="1:5" hidden="1" x14ac:dyDescent="0.25">
      <c r="A958" s="15">
        <v>14814</v>
      </c>
      <c r="B958" s="7">
        <v>1037663793</v>
      </c>
      <c r="C958" s="11">
        <v>46094.488067129598</v>
      </c>
      <c r="D958" s="17" t="s">
        <v>4045</v>
      </c>
      <c r="E958" t="str">
        <f>IF(COUNTIF($B$2:B958,B958)&gt;1,"Duplicado","Único")</f>
        <v>Duplicado</v>
      </c>
    </row>
    <row r="959" spans="1:5" x14ac:dyDescent="0.25">
      <c r="A959" s="15">
        <v>24909</v>
      </c>
      <c r="B959" s="7">
        <v>1037669237</v>
      </c>
      <c r="C959" s="11">
        <v>45859.590937499997</v>
      </c>
      <c r="D959" s="17" t="s">
        <v>1103</v>
      </c>
      <c r="E959" t="str">
        <f>IF(COUNTIF($B$2:B959,B959)&gt;1,"Duplicado","Único")</f>
        <v>Único</v>
      </c>
    </row>
    <row r="960" spans="1:5" x14ac:dyDescent="0.25">
      <c r="A960" s="15">
        <v>38520</v>
      </c>
      <c r="B960" s="7">
        <v>1038128361</v>
      </c>
      <c r="C960" s="11">
        <v>45926.398321759298</v>
      </c>
      <c r="D960" s="17" t="s">
        <v>1835</v>
      </c>
      <c r="E960" t="str">
        <f>IF(COUNTIF($B$2:B960,B960)&gt;1,"Duplicado","Único")</f>
        <v>Único</v>
      </c>
    </row>
    <row r="961" spans="1:5" x14ac:dyDescent="0.25">
      <c r="A961" s="15">
        <v>48709</v>
      </c>
      <c r="B961" s="7">
        <v>1038801270</v>
      </c>
      <c r="C961" s="11">
        <v>45979.394942129598</v>
      </c>
      <c r="D961" s="17" t="s">
        <v>2546</v>
      </c>
      <c r="E961" t="str">
        <f>IF(COUNTIF($B$2:B961,B961)&gt;1,"Duplicado","Único")</f>
        <v>Único</v>
      </c>
    </row>
    <row r="962" spans="1:5" x14ac:dyDescent="0.25">
      <c r="A962" s="15">
        <v>18124</v>
      </c>
      <c r="B962" s="7">
        <v>1038809621</v>
      </c>
      <c r="C962" s="11">
        <v>46149.418969907398</v>
      </c>
      <c r="D962" s="17" t="s">
        <v>4451</v>
      </c>
      <c r="E962" t="str">
        <f>IF(COUNTIF($B$2:B962,B962)&gt;1,"Duplicado","Único")</f>
        <v>Único</v>
      </c>
    </row>
    <row r="963" spans="1:5" hidden="1" x14ac:dyDescent="0.25">
      <c r="A963" s="15">
        <v>18124</v>
      </c>
      <c r="B963" s="7">
        <v>1038809621</v>
      </c>
      <c r="C963" s="11">
        <v>46118.346921296303</v>
      </c>
      <c r="D963" s="17" t="s">
        <v>1175</v>
      </c>
      <c r="E963" t="str">
        <f>IF(COUNTIF($B$2:B963,B963)&gt;1,"Duplicado","Único")</f>
        <v>Duplicado</v>
      </c>
    </row>
    <row r="964" spans="1:5" x14ac:dyDescent="0.25">
      <c r="A964" s="15">
        <v>29061</v>
      </c>
      <c r="B964" s="7">
        <v>1039455068</v>
      </c>
      <c r="C964" s="11">
        <v>45891.495821759301</v>
      </c>
      <c r="D964" s="17" t="s">
        <v>1385</v>
      </c>
      <c r="E964" t="str">
        <f>IF(COUNTIF($B$2:B964,B964)&gt;1,"Duplicado","Único")</f>
        <v>Único</v>
      </c>
    </row>
    <row r="965" spans="1:5" x14ac:dyDescent="0.25">
      <c r="A965" s="15">
        <v>31520</v>
      </c>
      <c r="B965" s="7">
        <v>1039469233</v>
      </c>
      <c r="C965" s="11">
        <v>45905.430613425902</v>
      </c>
      <c r="D965" s="17" t="s">
        <v>1558</v>
      </c>
      <c r="E965" t="str">
        <f>IF(COUNTIF($B$2:B965,B965)&gt;1,"Duplicado","Único")</f>
        <v>Único</v>
      </c>
    </row>
    <row r="966" spans="1:5" x14ac:dyDescent="0.25">
      <c r="A966" s="15">
        <v>30730</v>
      </c>
      <c r="B966" s="7">
        <v>1039471699</v>
      </c>
      <c r="C966" s="11">
        <v>45901.491273148102</v>
      </c>
      <c r="D966" s="17" t="s">
        <v>1480</v>
      </c>
      <c r="E966" t="str">
        <f>IF(COUNTIF($B$2:B966,B966)&gt;1,"Duplicado","Único")</f>
        <v>Único</v>
      </c>
    </row>
    <row r="967" spans="1:5" x14ac:dyDescent="0.25">
      <c r="A967" s="15">
        <v>31593</v>
      </c>
      <c r="B967" s="7">
        <v>1039758304</v>
      </c>
      <c r="C967" s="11">
        <v>45905.499085648102</v>
      </c>
      <c r="D967" s="17" t="s">
        <v>1559</v>
      </c>
      <c r="E967" t="str">
        <f>IF(COUNTIF($B$2:B967,B967)&gt;1,"Duplicado","Único")</f>
        <v>Único</v>
      </c>
    </row>
    <row r="968" spans="1:5" x14ac:dyDescent="0.25">
      <c r="A968" s="15">
        <v>35390</v>
      </c>
      <c r="B968" s="7">
        <v>1040181895</v>
      </c>
      <c r="C968" s="11">
        <v>45917.4035532407</v>
      </c>
      <c r="D968" s="17" t="s">
        <v>1728</v>
      </c>
      <c r="E968" t="str">
        <f>IF(COUNTIF($B$2:B968,B968)&gt;1,"Duplicado","Único")</f>
        <v>Único</v>
      </c>
    </row>
    <row r="969" spans="1:5" x14ac:dyDescent="0.25">
      <c r="A969" s="15">
        <v>21567</v>
      </c>
      <c r="B969" s="7">
        <v>1040373240</v>
      </c>
      <c r="C969" s="11">
        <v>45825.365428240701</v>
      </c>
      <c r="D969" s="17" t="s">
        <v>945</v>
      </c>
      <c r="E969" t="str">
        <f>IF(COUNTIF($B$2:B969,B969)&gt;1,"Duplicado","Único")</f>
        <v>Único</v>
      </c>
    </row>
    <row r="970" spans="1:5" x14ac:dyDescent="0.25">
      <c r="A970" s="15">
        <v>32528</v>
      </c>
      <c r="B970" s="7">
        <v>1040738721</v>
      </c>
      <c r="C970" s="11">
        <v>45909.452187499999</v>
      </c>
      <c r="D970" s="17" t="s">
        <v>1617</v>
      </c>
      <c r="E970" t="str">
        <f>IF(COUNTIF($B$2:B970,B970)&gt;1,"Duplicado","Único")</f>
        <v>Único</v>
      </c>
    </row>
    <row r="971" spans="1:5" x14ac:dyDescent="0.25">
      <c r="A971" s="15">
        <v>30021</v>
      </c>
      <c r="B971" s="7">
        <v>1041893860</v>
      </c>
      <c r="C971" s="11">
        <v>45898.480405092603</v>
      </c>
      <c r="D971" s="17" t="s">
        <v>1461</v>
      </c>
      <c r="E971" t="str">
        <f>IF(COUNTIF($B$2:B971,B971)&gt;1,"Duplicado","Único")</f>
        <v>Único</v>
      </c>
    </row>
    <row r="972" spans="1:5" x14ac:dyDescent="0.25">
      <c r="A972" s="15">
        <v>27324</v>
      </c>
      <c r="B972" s="7">
        <v>1041900963</v>
      </c>
      <c r="C972" s="11">
        <v>45874.535543981503</v>
      </c>
      <c r="D972" s="17" t="s">
        <v>1262</v>
      </c>
      <c r="E972" t="str">
        <f>IF(COUNTIF($B$2:B972,B972)&gt;1,"Duplicado","Único")</f>
        <v>Único</v>
      </c>
    </row>
    <row r="973" spans="1:5" x14ac:dyDescent="0.25">
      <c r="A973" s="15">
        <v>53732</v>
      </c>
      <c r="B973" s="7">
        <v>1041902132</v>
      </c>
      <c r="C973" s="11">
        <v>46057.422673611101</v>
      </c>
      <c r="D973" s="17" t="s">
        <v>3699</v>
      </c>
      <c r="E973" t="str">
        <f>IF(COUNTIF($B$2:B973,B973)&gt;1,"Duplicado","Único")</f>
        <v>Único</v>
      </c>
    </row>
    <row r="974" spans="1:5" hidden="1" x14ac:dyDescent="0.25">
      <c r="A974" s="15">
        <v>53732</v>
      </c>
      <c r="B974" s="7">
        <v>1041902132</v>
      </c>
      <c r="C974" s="11">
        <v>46013.5140046296</v>
      </c>
      <c r="D974" s="17" t="s">
        <v>3037</v>
      </c>
      <c r="E974" t="str">
        <f>IF(COUNTIF($B$2:B974,B974)&gt;1,"Duplicado","Único")</f>
        <v>Duplicado</v>
      </c>
    </row>
    <row r="975" spans="1:5" x14ac:dyDescent="0.25">
      <c r="A975" s="15">
        <v>26938</v>
      </c>
      <c r="B975" s="7">
        <v>1042004209</v>
      </c>
      <c r="C975" s="11">
        <v>45873.651539351798</v>
      </c>
      <c r="D975" s="17" t="s">
        <v>1231</v>
      </c>
      <c r="E975" t="str">
        <f>IF(COUNTIF($B$2:B975,B975)&gt;1,"Duplicado","Único")</f>
        <v>Único</v>
      </c>
    </row>
    <row r="976" spans="1:5" x14ac:dyDescent="0.25">
      <c r="A976" s="15">
        <v>17567</v>
      </c>
      <c r="B976" s="7">
        <v>1042092655</v>
      </c>
      <c r="C976" s="11">
        <v>45797.591990740701</v>
      </c>
      <c r="D976" s="17" t="s">
        <v>715</v>
      </c>
      <c r="E976" t="str">
        <f>IF(COUNTIF($B$2:B976,B976)&gt;1,"Duplicado","Único")</f>
        <v>Único</v>
      </c>
    </row>
    <row r="977" spans="1:5" x14ac:dyDescent="0.25">
      <c r="A977" s="15">
        <v>31702</v>
      </c>
      <c r="B977" s="7">
        <v>1042093662</v>
      </c>
      <c r="C977" s="11">
        <v>45905.631817129601</v>
      </c>
      <c r="D977" s="17" t="s">
        <v>1565</v>
      </c>
      <c r="E977" t="str">
        <f>IF(COUNTIF($B$2:B977,B977)&gt;1,"Duplicado","Único")</f>
        <v>Único</v>
      </c>
    </row>
    <row r="978" spans="1:5" x14ac:dyDescent="0.25">
      <c r="A978" s="15">
        <v>55687</v>
      </c>
      <c r="B978" s="7">
        <v>1042434118</v>
      </c>
      <c r="C978" s="11">
        <v>46086.665706018503</v>
      </c>
      <c r="D978" s="17" t="s">
        <v>3866</v>
      </c>
      <c r="E978" t="str">
        <f>IF(COUNTIF($B$2:B978,B978)&gt;1,"Duplicado","Único")</f>
        <v>Único</v>
      </c>
    </row>
    <row r="979" spans="1:5" hidden="1" x14ac:dyDescent="0.25">
      <c r="A979" s="15">
        <v>55687</v>
      </c>
      <c r="B979" s="7">
        <v>1042434118</v>
      </c>
      <c r="C979" s="11">
        <v>46036.5471875</v>
      </c>
      <c r="D979" s="17" t="s">
        <v>3174</v>
      </c>
      <c r="E979" t="str">
        <f>IF(COUNTIF($B$2:B979,B979)&gt;1,"Duplicado","Único")</f>
        <v>Duplicado</v>
      </c>
    </row>
    <row r="980" spans="1:5" x14ac:dyDescent="0.25">
      <c r="A980" s="15">
        <v>49526</v>
      </c>
      <c r="B980" s="7">
        <v>1042443638</v>
      </c>
      <c r="C980" s="11">
        <v>45982.381099537</v>
      </c>
      <c r="D980" s="17" t="s">
        <v>2660</v>
      </c>
      <c r="E980" t="str">
        <f>IF(COUNTIF($B$2:B980,B980)&gt;1,"Duplicado","Único")</f>
        <v>Único</v>
      </c>
    </row>
    <row r="981" spans="1:5" x14ac:dyDescent="0.25">
      <c r="A981" s="15">
        <v>22227</v>
      </c>
      <c r="B981" s="7">
        <v>1042443720</v>
      </c>
      <c r="C981" s="11">
        <v>45835.705185185201</v>
      </c>
      <c r="D981" s="17" t="s">
        <v>997</v>
      </c>
      <c r="E981" t="str">
        <f>IF(COUNTIF($B$2:B981,B981)&gt;1,"Duplicado","Único")</f>
        <v>Único</v>
      </c>
    </row>
    <row r="982" spans="1:5" x14ac:dyDescent="0.25">
      <c r="A982" s="15">
        <v>50620</v>
      </c>
      <c r="B982" s="7">
        <v>1043021167</v>
      </c>
      <c r="C982" s="11">
        <v>46057.459062499998</v>
      </c>
      <c r="D982" s="17" t="s">
        <v>3731</v>
      </c>
      <c r="E982" t="str">
        <f>IF(COUNTIF($B$2:B982,B982)&gt;1,"Duplicado","Único")</f>
        <v>Único</v>
      </c>
    </row>
    <row r="983" spans="1:5" hidden="1" x14ac:dyDescent="0.25">
      <c r="A983" s="15">
        <v>50620</v>
      </c>
      <c r="B983" s="7">
        <v>1043021167</v>
      </c>
      <c r="C983" s="11">
        <v>46017.473923611098</v>
      </c>
      <c r="D983" s="17" t="s">
        <v>3087</v>
      </c>
      <c r="E983" t="str">
        <f>IF(COUNTIF($B$2:B983,B983)&gt;1,"Duplicado","Único")</f>
        <v>Duplicado</v>
      </c>
    </row>
    <row r="984" spans="1:5" hidden="1" x14ac:dyDescent="0.25">
      <c r="A984" s="15">
        <v>50620</v>
      </c>
      <c r="B984" s="7">
        <v>1043021167</v>
      </c>
      <c r="C984" s="11">
        <v>46003.681203703702</v>
      </c>
      <c r="D984" s="17" t="s">
        <v>2923</v>
      </c>
      <c r="E984" t="str">
        <f>IF(COUNTIF($B$2:B984,B984)&gt;1,"Duplicado","Único")</f>
        <v>Duplicado</v>
      </c>
    </row>
    <row r="985" spans="1:5" hidden="1" x14ac:dyDescent="0.25">
      <c r="A985" s="15">
        <v>50620</v>
      </c>
      <c r="B985" s="7">
        <v>1043021167</v>
      </c>
      <c r="C985" s="11">
        <v>45989.527314814797</v>
      </c>
      <c r="D985" s="17" t="s">
        <v>2793</v>
      </c>
      <c r="E985" t="str">
        <f>IF(COUNTIF($B$2:B985,B985)&gt;1,"Duplicado","Único")</f>
        <v>Duplicado</v>
      </c>
    </row>
    <row r="986" spans="1:5" x14ac:dyDescent="0.25">
      <c r="A986" s="15">
        <v>40877</v>
      </c>
      <c r="B986" s="7">
        <v>1043024757</v>
      </c>
      <c r="C986" s="11">
        <v>45936.460868055598</v>
      </c>
      <c r="D986" s="17" t="s">
        <v>1939</v>
      </c>
      <c r="E986" t="str">
        <f>IF(COUNTIF($B$2:B986,B986)&gt;1,"Duplicado","Único")</f>
        <v>Único</v>
      </c>
    </row>
    <row r="987" spans="1:5" x14ac:dyDescent="0.25">
      <c r="A987" s="15">
        <v>18837</v>
      </c>
      <c r="B987" s="7">
        <v>1043028199</v>
      </c>
      <c r="C987" s="11">
        <v>45805.642372685201</v>
      </c>
      <c r="D987" s="17" t="s">
        <v>793</v>
      </c>
      <c r="E987" t="str">
        <f>IF(COUNTIF($B$2:B987,B987)&gt;1,"Duplicado","Único")</f>
        <v>Único</v>
      </c>
    </row>
    <row r="988" spans="1:5" x14ac:dyDescent="0.25">
      <c r="A988" s="15">
        <v>20216</v>
      </c>
      <c r="B988" s="7">
        <v>1043933205</v>
      </c>
      <c r="C988" s="11">
        <v>45819.733344907399</v>
      </c>
      <c r="D988" s="17" t="s">
        <v>867</v>
      </c>
      <c r="E988" t="str">
        <f>IF(COUNTIF($B$2:B988,B988)&gt;1,"Duplicado","Único")</f>
        <v>Único</v>
      </c>
    </row>
    <row r="989" spans="1:5" x14ac:dyDescent="0.25">
      <c r="A989" s="15">
        <v>25332</v>
      </c>
      <c r="B989" s="7">
        <v>1044393819</v>
      </c>
      <c r="C989" s="11">
        <v>45860.432418981502</v>
      </c>
      <c r="D989" s="17" t="s">
        <v>1121</v>
      </c>
      <c r="E989" t="str">
        <f>IF(COUNTIF($B$2:B989,B989)&gt;1,"Duplicado","Único")</f>
        <v>Único</v>
      </c>
    </row>
    <row r="990" spans="1:5" x14ac:dyDescent="0.25">
      <c r="A990" s="15">
        <v>29477</v>
      </c>
      <c r="B990" s="7">
        <v>1044422901</v>
      </c>
      <c r="C990" s="11">
        <v>45903.667581018497</v>
      </c>
      <c r="D990" s="17" t="s">
        <v>1508</v>
      </c>
      <c r="E990" t="str">
        <f>IF(COUNTIF($B$2:B990,B990)&gt;1,"Duplicado","Único")</f>
        <v>Único</v>
      </c>
    </row>
    <row r="991" spans="1:5" hidden="1" x14ac:dyDescent="0.25">
      <c r="A991" s="15">
        <v>29477</v>
      </c>
      <c r="B991" s="7">
        <v>1044422901</v>
      </c>
      <c r="C991" s="11">
        <v>45901.677280092597</v>
      </c>
      <c r="D991" s="17" t="s">
        <v>1493</v>
      </c>
      <c r="E991" t="str">
        <f>IF(COUNTIF($B$2:B991,B991)&gt;1,"Duplicado","Único")</f>
        <v>Duplicado</v>
      </c>
    </row>
    <row r="992" spans="1:5" hidden="1" x14ac:dyDescent="0.25">
      <c r="A992" s="15">
        <v>29477</v>
      </c>
      <c r="B992" s="7">
        <v>1044422901</v>
      </c>
      <c r="C992" s="11">
        <v>45894.619467592602</v>
      </c>
      <c r="D992" s="17" t="s">
        <v>1411</v>
      </c>
      <c r="E992" t="str">
        <f>IF(COUNTIF($B$2:B992,B992)&gt;1,"Duplicado","Único")</f>
        <v>Duplicado</v>
      </c>
    </row>
    <row r="993" spans="1:5" x14ac:dyDescent="0.25">
      <c r="A993" s="15">
        <v>3206</v>
      </c>
      <c r="B993" s="7">
        <v>1044423721</v>
      </c>
      <c r="C993" s="11">
        <v>46086.782488425903</v>
      </c>
      <c r="D993" s="17" t="s">
        <v>3974</v>
      </c>
      <c r="E993" t="str">
        <f>IF(COUNTIF($B$2:B993,B993)&gt;1,"Duplicado","Único")</f>
        <v>Único</v>
      </c>
    </row>
    <row r="994" spans="1:5" hidden="1" x14ac:dyDescent="0.25">
      <c r="A994" s="15">
        <v>3206</v>
      </c>
      <c r="B994" s="7">
        <v>1044423721</v>
      </c>
      <c r="C994" s="11">
        <v>46055.4152314815</v>
      </c>
      <c r="D994" s="17" t="s">
        <v>3591</v>
      </c>
      <c r="E994" t="str">
        <f>IF(COUNTIF($B$2:B994,B994)&gt;1,"Duplicado","Único")</f>
        <v>Duplicado</v>
      </c>
    </row>
    <row r="995" spans="1:5" x14ac:dyDescent="0.25">
      <c r="A995" s="15">
        <v>16420</v>
      </c>
      <c r="B995" s="7">
        <v>1044429286</v>
      </c>
      <c r="C995" s="11">
        <v>46121.456423611096</v>
      </c>
      <c r="D995" s="17" t="s">
        <v>4397</v>
      </c>
      <c r="E995" t="str">
        <f>IF(COUNTIF($B$2:B995,B995)&gt;1,"Duplicado","Único")</f>
        <v>Único</v>
      </c>
    </row>
    <row r="996" spans="1:5" hidden="1" x14ac:dyDescent="0.25">
      <c r="A996" s="15">
        <v>16420</v>
      </c>
      <c r="B996" s="7">
        <v>1044429286</v>
      </c>
      <c r="C996" s="11">
        <v>46101.815983796303</v>
      </c>
      <c r="D996" s="17" t="s">
        <v>4145</v>
      </c>
      <c r="E996" t="str">
        <f>IF(COUNTIF($B$2:B996,B996)&gt;1,"Duplicado","Único")</f>
        <v>Duplicado</v>
      </c>
    </row>
    <row r="997" spans="1:5" x14ac:dyDescent="0.25">
      <c r="A997" s="15">
        <v>25134</v>
      </c>
      <c r="B997" s="7">
        <v>1044506251</v>
      </c>
      <c r="C997" s="11">
        <v>45860.401006944398</v>
      </c>
      <c r="D997" s="17" t="s">
        <v>1111</v>
      </c>
      <c r="E997" t="str">
        <f>IF(COUNTIF($B$2:B997,B997)&gt;1,"Duplicado","Único")</f>
        <v>Único</v>
      </c>
    </row>
    <row r="998" spans="1:5" x14ac:dyDescent="0.25">
      <c r="A998" s="15">
        <v>26249</v>
      </c>
      <c r="B998" s="7">
        <v>1044913051</v>
      </c>
      <c r="C998" s="11">
        <v>45867.366550925901</v>
      </c>
      <c r="D998" s="17" t="s">
        <v>1182</v>
      </c>
      <c r="E998" t="str">
        <f>IF(COUNTIF($B$2:B998,B998)&gt;1,"Duplicado","Único")</f>
        <v>Único</v>
      </c>
    </row>
    <row r="999" spans="1:5" x14ac:dyDescent="0.25">
      <c r="A999" s="15">
        <v>48978</v>
      </c>
      <c r="B999" s="7">
        <v>1045666828</v>
      </c>
      <c r="C999" s="11">
        <v>45980.397951388899</v>
      </c>
      <c r="D999" s="17" t="s">
        <v>2599</v>
      </c>
      <c r="E999" t="str">
        <f>IF(COUNTIF($B$2:B999,B999)&gt;1,"Duplicado","Único")</f>
        <v>Único</v>
      </c>
    </row>
    <row r="1000" spans="1:5" x14ac:dyDescent="0.25">
      <c r="A1000" s="15">
        <v>13825</v>
      </c>
      <c r="B1000" s="7">
        <v>1045669627</v>
      </c>
      <c r="C1000" s="11">
        <v>46149.648113425901</v>
      </c>
      <c r="D1000" s="17" t="s">
        <v>4544</v>
      </c>
      <c r="E1000" t="str">
        <f>IF(COUNTIF($B$2:B1000,B1000)&gt;1,"Duplicado","Único")</f>
        <v>Único</v>
      </c>
    </row>
    <row r="1001" spans="1:5" hidden="1" x14ac:dyDescent="0.25">
      <c r="A1001" s="15">
        <v>13825</v>
      </c>
      <c r="B1001" s="7">
        <v>1045669627</v>
      </c>
      <c r="C1001" s="11">
        <v>46085.4936689815</v>
      </c>
      <c r="D1001" s="17" t="s">
        <v>3783</v>
      </c>
      <c r="E1001" t="str">
        <f>IF(COUNTIF($B$2:B1001,B1001)&gt;1,"Duplicado","Único")</f>
        <v>Duplicado</v>
      </c>
    </row>
    <row r="1002" spans="1:5" x14ac:dyDescent="0.25">
      <c r="A1002" s="15">
        <v>1627</v>
      </c>
      <c r="B1002" s="7">
        <v>1045669741</v>
      </c>
      <c r="C1002" s="11">
        <v>46086.6663078704</v>
      </c>
      <c r="D1002" s="17" t="s">
        <v>968</v>
      </c>
      <c r="E1002" t="str">
        <f>IF(COUNTIF($B$2:B1002,B1002)&gt;1,"Duplicado","Único")</f>
        <v>Único</v>
      </c>
    </row>
    <row r="1003" spans="1:5" hidden="1" x14ac:dyDescent="0.25">
      <c r="A1003" s="15">
        <v>1627</v>
      </c>
      <c r="B1003" s="7">
        <v>1045669741</v>
      </c>
      <c r="C1003" s="11">
        <v>46036.667812500003</v>
      </c>
      <c r="D1003" s="17" t="s">
        <v>3184</v>
      </c>
      <c r="E1003" t="str">
        <f>IF(COUNTIF($B$2:B1003,B1003)&gt;1,"Duplicado","Único")</f>
        <v>Duplicado</v>
      </c>
    </row>
    <row r="1004" spans="1:5" x14ac:dyDescent="0.25">
      <c r="A1004" s="15">
        <v>28774</v>
      </c>
      <c r="B1004" s="7">
        <v>1045687590</v>
      </c>
      <c r="C1004" s="11">
        <v>45888.662071759303</v>
      </c>
      <c r="D1004" s="17" t="s">
        <v>1360</v>
      </c>
      <c r="E1004" t="str">
        <f>IF(COUNTIF($B$2:B1004,B1004)&gt;1,"Duplicado","Único")</f>
        <v>Único</v>
      </c>
    </row>
    <row r="1005" spans="1:5" x14ac:dyDescent="0.25">
      <c r="A1005" s="15">
        <v>27304</v>
      </c>
      <c r="B1005" s="7">
        <v>1045688751</v>
      </c>
      <c r="C1005" s="11">
        <v>45874.523645833302</v>
      </c>
      <c r="D1005" s="17" t="s">
        <v>1261</v>
      </c>
      <c r="E1005" t="str">
        <f>IF(COUNTIF($B$2:B1005,B1005)&gt;1,"Duplicado","Único")</f>
        <v>Único</v>
      </c>
    </row>
    <row r="1006" spans="1:5" x14ac:dyDescent="0.25">
      <c r="A1006" s="15">
        <v>33709</v>
      </c>
      <c r="B1006" s="7">
        <v>1045705227</v>
      </c>
      <c r="C1006" s="11">
        <v>45915.503796296303</v>
      </c>
      <c r="D1006" s="17" t="s">
        <v>1706</v>
      </c>
      <c r="E1006" t="str">
        <f>IF(COUNTIF($B$2:B1006,B1006)&gt;1,"Duplicado","Único")</f>
        <v>Único</v>
      </c>
    </row>
    <row r="1007" spans="1:5" x14ac:dyDescent="0.25">
      <c r="A1007" s="15">
        <v>26310</v>
      </c>
      <c r="B1007" s="7">
        <v>1045710761</v>
      </c>
      <c r="C1007" s="11">
        <v>45867.396215277797</v>
      </c>
      <c r="D1007" s="17" t="s">
        <v>1191</v>
      </c>
      <c r="E1007" t="str">
        <f>IF(COUNTIF($B$2:B1007,B1007)&gt;1,"Duplicado","Único")</f>
        <v>Único</v>
      </c>
    </row>
    <row r="1008" spans="1:5" x14ac:dyDescent="0.25">
      <c r="A1008" s="15">
        <v>50108</v>
      </c>
      <c r="B1008" s="7">
        <v>1045714898</v>
      </c>
      <c r="C1008" s="11">
        <v>46050.602175925902</v>
      </c>
      <c r="D1008" s="17" t="s">
        <v>3298</v>
      </c>
      <c r="E1008" t="str">
        <f>IF(COUNTIF($B$2:B1008,B1008)&gt;1,"Duplicado","Único")</f>
        <v>Único</v>
      </c>
    </row>
    <row r="1009" spans="1:5" hidden="1" x14ac:dyDescent="0.25">
      <c r="A1009" s="15">
        <v>50108</v>
      </c>
      <c r="B1009" s="7">
        <v>1045714898</v>
      </c>
      <c r="C1009" s="11">
        <v>45987.469259259298</v>
      </c>
      <c r="D1009" s="17" t="s">
        <v>2741</v>
      </c>
      <c r="E1009" t="str">
        <f>IF(COUNTIF($B$2:B1009,B1009)&gt;1,"Duplicado","Único")</f>
        <v>Duplicado</v>
      </c>
    </row>
    <row r="1010" spans="1:5" x14ac:dyDescent="0.25">
      <c r="A1010" s="15">
        <v>55681</v>
      </c>
      <c r="B1010" s="7">
        <v>1045719968</v>
      </c>
      <c r="C1010" s="11">
        <v>46086.666956018496</v>
      </c>
      <c r="D1010" s="17" t="s">
        <v>970</v>
      </c>
      <c r="E1010" t="str">
        <f>IF(COUNTIF($B$2:B1010,B1010)&gt;1,"Duplicado","Único")</f>
        <v>Único</v>
      </c>
    </row>
    <row r="1011" spans="1:5" hidden="1" x14ac:dyDescent="0.25">
      <c r="A1011" s="15">
        <v>55681</v>
      </c>
      <c r="B1011" s="7">
        <v>1045719968</v>
      </c>
      <c r="C1011" s="11">
        <v>46036.545995370398</v>
      </c>
      <c r="D1011" s="17" t="s">
        <v>3173</v>
      </c>
      <c r="E1011" t="str">
        <f>IF(COUNTIF($B$2:B1011,B1011)&gt;1,"Duplicado","Único")</f>
        <v>Duplicado</v>
      </c>
    </row>
    <row r="1012" spans="1:5" x14ac:dyDescent="0.25">
      <c r="A1012" s="15">
        <v>46126</v>
      </c>
      <c r="B1012" s="7">
        <v>1045722062</v>
      </c>
      <c r="C1012" s="11">
        <v>45965.459687499999</v>
      </c>
      <c r="D1012" s="17" t="s">
        <v>2294</v>
      </c>
      <c r="E1012" t="str">
        <f>IF(COUNTIF($B$2:B1012,B1012)&gt;1,"Duplicado","Único")</f>
        <v>Único</v>
      </c>
    </row>
    <row r="1013" spans="1:5" x14ac:dyDescent="0.25">
      <c r="A1013" s="15">
        <v>22843</v>
      </c>
      <c r="B1013" s="7">
        <v>1045723222</v>
      </c>
      <c r="C1013" s="11">
        <v>45841.694571759297</v>
      </c>
      <c r="D1013" s="17" t="s">
        <v>1016</v>
      </c>
      <c r="E1013" t="str">
        <f>IF(COUNTIF($B$2:B1013,B1013)&gt;1,"Duplicado","Único")</f>
        <v>Único</v>
      </c>
    </row>
    <row r="1014" spans="1:5" x14ac:dyDescent="0.25">
      <c r="A1014" s="15">
        <v>48590</v>
      </c>
      <c r="B1014" s="7">
        <v>1045730130</v>
      </c>
      <c r="C1014" s="11">
        <v>45979.593865740702</v>
      </c>
      <c r="D1014" s="17" t="s">
        <v>2561</v>
      </c>
      <c r="E1014" t="str">
        <f>IF(COUNTIF($B$2:B1014,B1014)&gt;1,"Duplicado","Único")</f>
        <v>Único</v>
      </c>
    </row>
    <row r="1015" spans="1:5" x14ac:dyDescent="0.25">
      <c r="A1015" s="15">
        <v>22126</v>
      </c>
      <c r="B1015" s="7">
        <v>1045733122</v>
      </c>
      <c r="C1015" s="11">
        <v>45835.675972222198</v>
      </c>
      <c r="D1015" s="17" t="s">
        <v>991</v>
      </c>
      <c r="E1015" t="str">
        <f>IF(COUNTIF($B$2:B1015,B1015)&gt;1,"Duplicado","Único")</f>
        <v>Único</v>
      </c>
    </row>
    <row r="1016" spans="1:5" x14ac:dyDescent="0.25">
      <c r="A1016" s="15">
        <v>50033</v>
      </c>
      <c r="B1016" s="7">
        <v>1045734666</v>
      </c>
      <c r="C1016" s="11">
        <v>46050.489247685196</v>
      </c>
      <c r="D1016" s="17" t="s">
        <v>3269</v>
      </c>
      <c r="E1016" t="str">
        <f>IF(COUNTIF($B$2:B1016,B1016)&gt;1,"Duplicado","Único")</f>
        <v>Único</v>
      </c>
    </row>
    <row r="1017" spans="1:5" hidden="1" x14ac:dyDescent="0.25">
      <c r="A1017" s="15">
        <v>50033</v>
      </c>
      <c r="B1017" s="7">
        <v>1045734666</v>
      </c>
      <c r="C1017" s="11">
        <v>45986.397523148102</v>
      </c>
      <c r="D1017" s="17" t="s">
        <v>2713</v>
      </c>
      <c r="E1017" t="str">
        <f>IF(COUNTIF($B$2:B1017,B1017)&gt;1,"Duplicado","Único")</f>
        <v>Duplicado</v>
      </c>
    </row>
    <row r="1018" spans="1:5" x14ac:dyDescent="0.25">
      <c r="A1018" s="15">
        <v>427</v>
      </c>
      <c r="B1018" s="7">
        <v>1045736950</v>
      </c>
      <c r="C1018" s="11">
        <v>46086.515648148103</v>
      </c>
      <c r="D1018" s="17" t="s">
        <v>3831</v>
      </c>
      <c r="E1018" t="str">
        <f>IF(COUNTIF($B$2:B1018,B1018)&gt;1,"Duplicado","Único")</f>
        <v>Único</v>
      </c>
    </row>
    <row r="1019" spans="1:5" hidden="1" x14ac:dyDescent="0.25">
      <c r="A1019" s="15">
        <v>427</v>
      </c>
      <c r="B1019" s="7">
        <v>1045736950</v>
      </c>
      <c r="C1019" s="11">
        <v>46035.378391203703</v>
      </c>
      <c r="D1019" s="17" t="s">
        <v>3131</v>
      </c>
      <c r="E1019" t="str">
        <f>IF(COUNTIF($B$2:B1019,B1019)&gt;1,"Duplicado","Único")</f>
        <v>Duplicado</v>
      </c>
    </row>
    <row r="1020" spans="1:5" x14ac:dyDescent="0.25">
      <c r="A1020" s="15">
        <v>48366</v>
      </c>
      <c r="B1020" s="7">
        <v>1045740963</v>
      </c>
      <c r="C1020" s="11">
        <v>45975.680578703701</v>
      </c>
      <c r="D1020" s="17" t="s">
        <v>2530</v>
      </c>
      <c r="E1020" t="str">
        <f>IF(COUNTIF($B$2:B1020,B1020)&gt;1,"Duplicado","Único")</f>
        <v>Único</v>
      </c>
    </row>
    <row r="1021" spans="1:5" x14ac:dyDescent="0.25">
      <c r="A1021" s="15">
        <v>35557</v>
      </c>
      <c r="B1021" s="7">
        <v>1045751586</v>
      </c>
      <c r="C1021" s="11">
        <v>45917.450960648202</v>
      </c>
      <c r="D1021" s="17" t="s">
        <v>1733</v>
      </c>
      <c r="E1021" t="str">
        <f>IF(COUNTIF($B$2:B1021,B1021)&gt;1,"Duplicado","Único")</f>
        <v>Único</v>
      </c>
    </row>
    <row r="1022" spans="1:5" x14ac:dyDescent="0.25">
      <c r="A1022" s="15">
        <v>20612</v>
      </c>
      <c r="B1022" s="7">
        <v>1045753196</v>
      </c>
      <c r="C1022" s="11">
        <v>45821.597581018497</v>
      </c>
      <c r="D1022" s="17" t="s">
        <v>900</v>
      </c>
      <c r="E1022" t="str">
        <f>IF(COUNTIF($B$2:B1022,B1022)&gt;1,"Duplicado","Único")</f>
        <v>Único</v>
      </c>
    </row>
    <row r="1023" spans="1:5" x14ac:dyDescent="0.25">
      <c r="A1023" s="15">
        <v>19390</v>
      </c>
      <c r="B1023" s="7">
        <v>1045759421</v>
      </c>
      <c r="C1023" s="11">
        <v>45813.763668981497</v>
      </c>
      <c r="D1023" s="17" t="s">
        <v>827</v>
      </c>
      <c r="E1023" t="str">
        <f>IF(COUNTIF($B$2:B1023,B1023)&gt;1,"Duplicado","Único")</f>
        <v>Único</v>
      </c>
    </row>
    <row r="1024" spans="1:5" x14ac:dyDescent="0.25">
      <c r="A1024" s="15">
        <v>46306</v>
      </c>
      <c r="B1024" s="7">
        <v>1046666660</v>
      </c>
      <c r="C1024" s="11">
        <v>45965.495162036997</v>
      </c>
      <c r="D1024" s="17" t="s">
        <v>2307</v>
      </c>
      <c r="E1024" t="str">
        <f>IF(COUNTIF($B$2:B1024,B1024)&gt;1,"Duplicado","Único")</f>
        <v>Único</v>
      </c>
    </row>
    <row r="1025" spans="1:5" x14ac:dyDescent="0.25">
      <c r="A1025" s="15">
        <v>42614</v>
      </c>
      <c r="B1025" s="7">
        <v>1047226120</v>
      </c>
      <c r="C1025" s="11">
        <v>45953.689189814802</v>
      </c>
      <c r="D1025" s="17" t="s">
        <v>2056</v>
      </c>
      <c r="E1025" t="str">
        <f>IF(COUNTIF($B$2:B1025,B1025)&gt;1,"Duplicado","Único")</f>
        <v>Único</v>
      </c>
    </row>
    <row r="1026" spans="1:5" x14ac:dyDescent="0.25">
      <c r="A1026" s="15">
        <v>22050</v>
      </c>
      <c r="B1026" s="7">
        <v>1047237200</v>
      </c>
      <c r="C1026" s="11">
        <v>45834.635937500003</v>
      </c>
      <c r="D1026" s="17" t="s">
        <v>985</v>
      </c>
      <c r="E1026" t="str">
        <f>IF(COUNTIF($B$2:B1026,B1026)&gt;1,"Duplicado","Único")</f>
        <v>Único</v>
      </c>
    </row>
    <row r="1027" spans="1:5" x14ac:dyDescent="0.25">
      <c r="A1027" s="15">
        <v>15933</v>
      </c>
      <c r="B1027" s="7">
        <v>1047336886</v>
      </c>
      <c r="C1027" s="11">
        <v>46121.456956018497</v>
      </c>
      <c r="D1027" s="17" t="s">
        <v>4398</v>
      </c>
      <c r="E1027" t="str">
        <f>IF(COUNTIF($B$2:B1027,B1027)&gt;1,"Duplicado","Único")</f>
        <v>Único</v>
      </c>
    </row>
    <row r="1028" spans="1:5" hidden="1" x14ac:dyDescent="0.25">
      <c r="A1028" s="15">
        <v>15933</v>
      </c>
      <c r="B1028" s="7">
        <v>1047336886</v>
      </c>
      <c r="C1028" s="11">
        <v>46101.696736111102</v>
      </c>
      <c r="D1028" s="17" t="s">
        <v>4119</v>
      </c>
      <c r="E1028" t="str">
        <f>IF(COUNTIF($B$2:B1028,B1028)&gt;1,"Duplicado","Único")</f>
        <v>Duplicado</v>
      </c>
    </row>
    <row r="1029" spans="1:5" x14ac:dyDescent="0.25">
      <c r="A1029" s="15">
        <v>24594</v>
      </c>
      <c r="B1029" s="7">
        <v>1047359098</v>
      </c>
      <c r="C1029" s="11">
        <v>45859.358090277798</v>
      </c>
      <c r="D1029" s="17" t="s">
        <v>1086</v>
      </c>
      <c r="E1029" t="str">
        <f>IF(COUNTIF($B$2:B1029,B1029)&gt;1,"Duplicado","Único")</f>
        <v>Único</v>
      </c>
    </row>
    <row r="1030" spans="1:5" x14ac:dyDescent="0.25">
      <c r="A1030" s="15">
        <v>38328</v>
      </c>
      <c r="B1030" s="7">
        <v>1047365319</v>
      </c>
      <c r="C1030" s="11">
        <v>45925.448981481502</v>
      </c>
      <c r="D1030" s="17" t="s">
        <v>1826</v>
      </c>
      <c r="E1030" t="str">
        <f>IF(COUNTIF($B$2:B1030,B1030)&gt;1,"Duplicado","Único")</f>
        <v>Único</v>
      </c>
    </row>
    <row r="1031" spans="1:5" x14ac:dyDescent="0.25">
      <c r="A1031" s="15">
        <v>33721</v>
      </c>
      <c r="B1031" s="7">
        <v>1047372762</v>
      </c>
      <c r="C1031" s="11">
        <v>45915.513136574104</v>
      </c>
      <c r="D1031" s="17" t="s">
        <v>1708</v>
      </c>
      <c r="E1031" t="str">
        <f>IF(COUNTIF($B$2:B1031,B1031)&gt;1,"Duplicado","Único")</f>
        <v>Único</v>
      </c>
    </row>
    <row r="1032" spans="1:5" x14ac:dyDescent="0.25">
      <c r="A1032" s="15">
        <v>45145</v>
      </c>
      <c r="B1032" s="7">
        <v>1047379063</v>
      </c>
      <c r="C1032" s="11">
        <v>45959.500208333302</v>
      </c>
      <c r="D1032" s="17" t="s">
        <v>2232</v>
      </c>
      <c r="E1032" t="str">
        <f>IF(COUNTIF($B$2:B1032,B1032)&gt;1,"Duplicado","Único")</f>
        <v>Único</v>
      </c>
    </row>
    <row r="1033" spans="1:5" x14ac:dyDescent="0.25">
      <c r="A1033" s="15">
        <v>27690</v>
      </c>
      <c r="B1033" s="7">
        <v>1047390694</v>
      </c>
      <c r="C1033" s="11">
        <v>45877.450567129599</v>
      </c>
      <c r="D1033" s="17" t="s">
        <v>1289</v>
      </c>
      <c r="E1033" t="str">
        <f>IF(COUNTIF($B$2:B1033,B1033)&gt;1,"Duplicado","Único")</f>
        <v>Único</v>
      </c>
    </row>
    <row r="1034" spans="1:5" x14ac:dyDescent="0.25">
      <c r="A1034" s="15">
        <v>19130</v>
      </c>
      <c r="B1034" s="7">
        <v>1047391380</v>
      </c>
      <c r="C1034" s="11">
        <v>45813.723240740699</v>
      </c>
      <c r="D1034" s="17" t="s">
        <v>811</v>
      </c>
      <c r="E1034" t="str">
        <f>IF(COUNTIF($B$2:B1034,B1034)&gt;1,"Duplicado","Único")</f>
        <v>Único</v>
      </c>
    </row>
    <row r="1035" spans="1:5" x14ac:dyDescent="0.25">
      <c r="A1035" s="15">
        <v>32684</v>
      </c>
      <c r="B1035" s="7">
        <v>1047394646</v>
      </c>
      <c r="C1035" s="11">
        <v>45910.399733796301</v>
      </c>
      <c r="D1035" s="17" t="s">
        <v>1635</v>
      </c>
      <c r="E1035" t="str">
        <f>IF(COUNTIF($B$2:B1035,B1035)&gt;1,"Duplicado","Único")</f>
        <v>Único</v>
      </c>
    </row>
    <row r="1036" spans="1:5" x14ac:dyDescent="0.25">
      <c r="A1036" s="15">
        <v>3495</v>
      </c>
      <c r="B1036" s="7">
        <v>1047408703</v>
      </c>
      <c r="C1036" s="11">
        <v>46086.764756944402</v>
      </c>
      <c r="D1036" s="17" t="s">
        <v>1000</v>
      </c>
      <c r="E1036" t="str">
        <f>IF(COUNTIF($B$2:B1036,B1036)&gt;1,"Duplicado","Único")</f>
        <v>Único</v>
      </c>
    </row>
    <row r="1037" spans="1:5" hidden="1" x14ac:dyDescent="0.25">
      <c r="A1037" s="15">
        <v>3495</v>
      </c>
      <c r="B1037" s="7">
        <v>1047408703</v>
      </c>
      <c r="C1037" s="11">
        <v>46052.489074074103</v>
      </c>
      <c r="D1037" s="17" t="s">
        <v>3563</v>
      </c>
      <c r="E1037" t="str">
        <f>IF(COUNTIF($B$2:B1037,B1037)&gt;1,"Duplicado","Único")</f>
        <v>Duplicado</v>
      </c>
    </row>
    <row r="1038" spans="1:5" x14ac:dyDescent="0.25">
      <c r="A1038" s="15">
        <v>14210</v>
      </c>
      <c r="B1038" s="7">
        <v>1047410308</v>
      </c>
      <c r="C1038" s="11">
        <v>46149.523263888899</v>
      </c>
      <c r="D1038" s="17" t="s">
        <v>4532</v>
      </c>
      <c r="E1038" t="str">
        <f>IF(COUNTIF($B$2:B1038,B1038)&gt;1,"Duplicado","Único")</f>
        <v>Único</v>
      </c>
    </row>
    <row r="1039" spans="1:5" hidden="1" x14ac:dyDescent="0.25">
      <c r="A1039" s="15">
        <v>14210</v>
      </c>
      <c r="B1039" s="7">
        <v>1047410308</v>
      </c>
      <c r="C1039" s="11">
        <v>46086.660138888903</v>
      </c>
      <c r="D1039" s="17" t="s">
        <v>3858</v>
      </c>
      <c r="E1039" t="str">
        <f>IF(COUNTIF($B$2:B1039,B1039)&gt;1,"Duplicado","Único")</f>
        <v>Duplicado</v>
      </c>
    </row>
    <row r="1040" spans="1:5" x14ac:dyDescent="0.25">
      <c r="A1040" s="15">
        <v>42046</v>
      </c>
      <c r="B1040" s="7">
        <v>1047410619</v>
      </c>
      <c r="C1040" s="11">
        <v>45951.642905092602</v>
      </c>
      <c r="D1040" s="17" t="s">
        <v>2032</v>
      </c>
      <c r="E1040" t="str">
        <f>IF(COUNTIF($B$2:B1040,B1040)&gt;1,"Duplicado","Único")</f>
        <v>Único</v>
      </c>
    </row>
    <row r="1041" spans="1:5" x14ac:dyDescent="0.25">
      <c r="A1041" s="15">
        <v>41239</v>
      </c>
      <c r="B1041" s="7">
        <v>1047421829</v>
      </c>
      <c r="C1041" s="11">
        <v>45937.319305555597</v>
      </c>
      <c r="D1041" s="17" t="s">
        <v>1960</v>
      </c>
      <c r="E1041" t="str">
        <f>IF(COUNTIF($B$2:B1041,B1041)&gt;1,"Duplicado","Único")</f>
        <v>Único</v>
      </c>
    </row>
    <row r="1042" spans="1:5" x14ac:dyDescent="0.25">
      <c r="A1042" s="15">
        <v>315</v>
      </c>
      <c r="B1042" s="7">
        <v>1047423240</v>
      </c>
      <c r="C1042" s="11">
        <v>46086.490532407399</v>
      </c>
      <c r="D1042" s="17" t="s">
        <v>3811</v>
      </c>
      <c r="E1042" t="str">
        <f>IF(COUNTIF($B$2:B1042,B1042)&gt;1,"Duplicado","Único")</f>
        <v>Único</v>
      </c>
    </row>
    <row r="1043" spans="1:5" hidden="1" x14ac:dyDescent="0.25">
      <c r="A1043" s="15">
        <v>315</v>
      </c>
      <c r="B1043" s="7">
        <v>1047423240</v>
      </c>
      <c r="C1043" s="11">
        <v>46031.642905092602</v>
      </c>
      <c r="D1043" s="17" t="s">
        <v>3125</v>
      </c>
      <c r="E1043" t="str">
        <f>IF(COUNTIF($B$2:B1043,B1043)&gt;1,"Duplicado","Único")</f>
        <v>Duplicado</v>
      </c>
    </row>
    <row r="1044" spans="1:5" x14ac:dyDescent="0.25">
      <c r="A1044" s="15">
        <v>24948</v>
      </c>
      <c r="B1044" s="7">
        <v>1047428634</v>
      </c>
      <c r="C1044" s="11">
        <v>45859.600972222201</v>
      </c>
      <c r="D1044" s="17" t="s">
        <v>1105</v>
      </c>
      <c r="E1044" t="str">
        <f>IF(COUNTIF($B$2:B1044,B1044)&gt;1,"Duplicado","Único")</f>
        <v>Único</v>
      </c>
    </row>
    <row r="1045" spans="1:5" x14ac:dyDescent="0.25">
      <c r="A1045" s="15">
        <v>53268</v>
      </c>
      <c r="B1045" s="7">
        <v>1047438327</v>
      </c>
      <c r="C1045" s="11">
        <v>46057.372962963003</v>
      </c>
      <c r="D1045" s="17" t="s">
        <v>3658</v>
      </c>
      <c r="E1045" t="str">
        <f>IF(COUNTIF($B$2:B1045,B1045)&gt;1,"Duplicado","Único")</f>
        <v>Único</v>
      </c>
    </row>
    <row r="1046" spans="1:5" hidden="1" x14ac:dyDescent="0.25">
      <c r="A1046" s="15">
        <v>53268</v>
      </c>
      <c r="B1046" s="7">
        <v>1047438327</v>
      </c>
      <c r="C1046" s="11">
        <v>46013.448912036998</v>
      </c>
      <c r="D1046" s="17" t="s">
        <v>3009</v>
      </c>
      <c r="E1046" t="str">
        <f>IF(COUNTIF($B$2:B1046,B1046)&gt;1,"Duplicado","Único")</f>
        <v>Duplicado</v>
      </c>
    </row>
    <row r="1047" spans="1:5" x14ac:dyDescent="0.25">
      <c r="A1047" s="15">
        <v>46321</v>
      </c>
      <c r="B1047" s="7">
        <v>1047451174</v>
      </c>
      <c r="C1047" s="11">
        <v>45965.500613425902</v>
      </c>
      <c r="D1047" s="17" t="s">
        <v>2309</v>
      </c>
      <c r="E1047" t="str">
        <f>IF(COUNTIF($B$2:B1047,B1047)&gt;1,"Duplicado","Único")</f>
        <v>Único</v>
      </c>
    </row>
    <row r="1048" spans="1:5" x14ac:dyDescent="0.25">
      <c r="A1048" s="15">
        <v>47318</v>
      </c>
      <c r="B1048" s="7">
        <v>1047455623</v>
      </c>
      <c r="C1048" s="11">
        <v>45971.467349537001</v>
      </c>
      <c r="D1048" s="17" t="s">
        <v>2411</v>
      </c>
      <c r="E1048" t="str">
        <f>IF(COUNTIF($B$2:B1048,B1048)&gt;1,"Duplicado","Único")</f>
        <v>Único</v>
      </c>
    </row>
    <row r="1049" spans="1:5" x14ac:dyDescent="0.25">
      <c r="A1049" s="15">
        <v>46929</v>
      </c>
      <c r="B1049" s="7">
        <v>1047456930</v>
      </c>
      <c r="C1049" s="11">
        <v>45967.739189814798</v>
      </c>
      <c r="D1049" s="17" t="s">
        <v>2371</v>
      </c>
      <c r="E1049" t="str">
        <f>IF(COUNTIF($B$2:B1049,B1049)&gt;1,"Duplicado","Único")</f>
        <v>Único</v>
      </c>
    </row>
    <row r="1050" spans="1:5" x14ac:dyDescent="0.25">
      <c r="A1050" s="15">
        <v>50418</v>
      </c>
      <c r="B1050" s="7">
        <v>1047466147</v>
      </c>
      <c r="C1050" s="11">
        <v>46050.620231481502</v>
      </c>
      <c r="D1050" s="17" t="s">
        <v>3330</v>
      </c>
      <c r="E1050" t="str">
        <f>IF(COUNTIF($B$2:B1050,B1050)&gt;1,"Duplicado","Único")</f>
        <v>Único</v>
      </c>
    </row>
    <row r="1051" spans="1:5" hidden="1" x14ac:dyDescent="0.25">
      <c r="A1051" s="15">
        <v>50418</v>
      </c>
      <c r="B1051" s="7">
        <v>1047466147</v>
      </c>
      <c r="C1051" s="11">
        <v>45988.395451388897</v>
      </c>
      <c r="D1051" s="17" t="s">
        <v>2760</v>
      </c>
      <c r="E1051" t="str">
        <f>IF(COUNTIF($B$2:B1051,B1051)&gt;1,"Duplicado","Único")</f>
        <v>Duplicado</v>
      </c>
    </row>
    <row r="1052" spans="1:5" x14ac:dyDescent="0.25">
      <c r="A1052" s="15">
        <v>27286</v>
      </c>
      <c r="B1052" s="7">
        <v>1047467618</v>
      </c>
      <c r="C1052" s="11">
        <v>45874.5215046296</v>
      </c>
      <c r="D1052" s="17" t="s">
        <v>1260</v>
      </c>
      <c r="E1052" t="str">
        <f>IF(COUNTIF($B$2:B1052,B1052)&gt;1,"Duplicado","Único")</f>
        <v>Único</v>
      </c>
    </row>
    <row r="1053" spans="1:5" x14ac:dyDescent="0.25">
      <c r="A1053" s="15">
        <v>50206</v>
      </c>
      <c r="B1053" s="7">
        <v>1047469823</v>
      </c>
      <c r="C1053" s="11">
        <v>46050.602951388901</v>
      </c>
      <c r="D1053" s="17" t="s">
        <v>3300</v>
      </c>
      <c r="E1053" t="str">
        <f>IF(COUNTIF($B$2:B1053,B1053)&gt;1,"Duplicado","Único")</f>
        <v>Único</v>
      </c>
    </row>
    <row r="1054" spans="1:5" hidden="1" x14ac:dyDescent="0.25">
      <c r="A1054" s="15">
        <v>50206</v>
      </c>
      <c r="B1054" s="7">
        <v>1047469823</v>
      </c>
      <c r="C1054" s="11">
        <v>45987.5157175926</v>
      </c>
      <c r="D1054" s="17" t="s">
        <v>2744</v>
      </c>
      <c r="E1054" t="str">
        <f>IF(COUNTIF($B$2:B1054,B1054)&gt;1,"Duplicado","Único")</f>
        <v>Duplicado</v>
      </c>
    </row>
    <row r="1055" spans="1:5" x14ac:dyDescent="0.25">
      <c r="A1055" s="15">
        <v>54229</v>
      </c>
      <c r="B1055" s="7">
        <v>1047471410</v>
      </c>
      <c r="C1055" s="11">
        <v>46057.437164351897</v>
      </c>
      <c r="D1055" s="17" t="s">
        <v>3708</v>
      </c>
      <c r="E1055" t="str">
        <f>IF(COUNTIF($B$2:B1055,B1055)&gt;1,"Duplicado","Único")</f>
        <v>Único</v>
      </c>
    </row>
    <row r="1056" spans="1:5" hidden="1" x14ac:dyDescent="0.25">
      <c r="A1056" s="15">
        <v>54229</v>
      </c>
      <c r="B1056" s="7">
        <v>1047471410</v>
      </c>
      <c r="C1056" s="11">
        <v>46014.410694444399</v>
      </c>
      <c r="D1056" s="17" t="s">
        <v>3074</v>
      </c>
      <c r="E1056" t="str">
        <f>IF(COUNTIF($B$2:B1056,B1056)&gt;1,"Duplicado","Único")</f>
        <v>Duplicado</v>
      </c>
    </row>
    <row r="1057" spans="1:5" x14ac:dyDescent="0.25">
      <c r="A1057" s="15">
        <v>21051</v>
      </c>
      <c r="B1057" s="7">
        <v>1047474623</v>
      </c>
      <c r="C1057" s="11">
        <v>45824.358287037001</v>
      </c>
      <c r="D1057" s="17" t="s">
        <v>921</v>
      </c>
      <c r="E1057" t="str">
        <f>IF(COUNTIF($B$2:B1057,B1057)&gt;1,"Duplicado","Único")</f>
        <v>Único</v>
      </c>
    </row>
    <row r="1058" spans="1:5" x14ac:dyDescent="0.25">
      <c r="A1058" s="15">
        <v>15315</v>
      </c>
      <c r="B1058" s="7">
        <v>1047480322</v>
      </c>
      <c r="C1058" s="11">
        <v>46120.643553240698</v>
      </c>
      <c r="D1058" s="17" t="s">
        <v>4321</v>
      </c>
      <c r="E1058" t="str">
        <f>IF(COUNTIF($B$2:B1058,B1058)&gt;1,"Duplicado","Único")</f>
        <v>Único</v>
      </c>
    </row>
    <row r="1059" spans="1:5" hidden="1" x14ac:dyDescent="0.25">
      <c r="A1059" s="15">
        <v>15315</v>
      </c>
      <c r="B1059" s="7">
        <v>1047480322</v>
      </c>
      <c r="C1059" s="11">
        <v>46094.518645833297</v>
      </c>
      <c r="D1059" s="17" t="s">
        <v>4081</v>
      </c>
      <c r="E1059" t="str">
        <f>IF(COUNTIF($B$2:B1059,B1059)&gt;1,"Duplicado","Único")</f>
        <v>Duplicado</v>
      </c>
    </row>
    <row r="1060" spans="1:5" x14ac:dyDescent="0.25">
      <c r="A1060" s="15">
        <v>18044</v>
      </c>
      <c r="B1060" s="7">
        <v>1047483663</v>
      </c>
      <c r="C1060" s="11">
        <v>45798.420844907399</v>
      </c>
      <c r="D1060" s="17" t="s">
        <v>743</v>
      </c>
      <c r="E1060" t="str">
        <f>IF(COUNTIF($B$2:B1060,B1060)&gt;1,"Duplicado","Único")</f>
        <v>Único</v>
      </c>
    </row>
    <row r="1061" spans="1:5" x14ac:dyDescent="0.25">
      <c r="A1061" s="15">
        <v>47580</v>
      </c>
      <c r="B1061" s="7">
        <v>1047488822</v>
      </c>
      <c r="C1061" s="11">
        <v>45972.649027777799</v>
      </c>
      <c r="D1061" s="17" t="s">
        <v>2443</v>
      </c>
      <c r="E1061" t="str">
        <f>IF(COUNTIF($B$2:B1061,B1061)&gt;1,"Duplicado","Único")</f>
        <v>Único</v>
      </c>
    </row>
    <row r="1062" spans="1:5" x14ac:dyDescent="0.25">
      <c r="A1062" s="15">
        <v>47505</v>
      </c>
      <c r="B1062" s="7">
        <v>1047492673</v>
      </c>
      <c r="C1062" s="11">
        <v>45972.418749999997</v>
      </c>
      <c r="D1062" s="17" t="s">
        <v>2421</v>
      </c>
      <c r="E1062" t="str">
        <f>IF(COUNTIF($B$2:B1062,B1062)&gt;1,"Duplicado","Único")</f>
        <v>Único</v>
      </c>
    </row>
    <row r="1063" spans="1:5" x14ac:dyDescent="0.25">
      <c r="A1063" s="15">
        <v>24252</v>
      </c>
      <c r="B1063" s="7">
        <v>1047496172</v>
      </c>
      <c r="C1063" s="11">
        <v>45852.555393518502</v>
      </c>
      <c r="D1063" s="17" t="s">
        <v>1074</v>
      </c>
      <c r="E1063" t="str">
        <f>IF(COUNTIF($B$2:B1063,B1063)&gt;1,"Duplicado","Único")</f>
        <v>Único</v>
      </c>
    </row>
    <row r="1064" spans="1:5" x14ac:dyDescent="0.25">
      <c r="A1064" s="15">
        <v>28991</v>
      </c>
      <c r="B1064" s="7">
        <v>1047496265</v>
      </c>
      <c r="C1064" s="11">
        <v>45890.6731365741</v>
      </c>
      <c r="D1064" s="17" t="s">
        <v>1372</v>
      </c>
      <c r="E1064" t="str">
        <f>IF(COUNTIF($B$2:B1064,B1064)&gt;1,"Duplicado","Único")</f>
        <v>Único</v>
      </c>
    </row>
    <row r="1065" spans="1:5" x14ac:dyDescent="0.25">
      <c r="A1065" s="15">
        <v>31979</v>
      </c>
      <c r="B1065" s="7">
        <v>1047511762</v>
      </c>
      <c r="C1065" s="11">
        <v>45908.342291666697</v>
      </c>
      <c r="D1065" s="17" t="s">
        <v>1577</v>
      </c>
      <c r="E1065" t="str">
        <f>IF(COUNTIF($B$2:B1065,B1065)&gt;1,"Duplicado","Único")</f>
        <v>Único</v>
      </c>
    </row>
    <row r="1066" spans="1:5" x14ac:dyDescent="0.25">
      <c r="A1066" s="15">
        <v>35314</v>
      </c>
      <c r="B1066" s="7">
        <v>1047969825</v>
      </c>
      <c r="C1066" s="11">
        <v>45917.400405092601</v>
      </c>
      <c r="D1066" s="17" t="s">
        <v>1727</v>
      </c>
      <c r="E1066" t="str">
        <f>IF(COUNTIF($B$2:B1066,B1066)&gt;1,"Duplicado","Único")</f>
        <v>Único</v>
      </c>
    </row>
    <row r="1067" spans="1:5" x14ac:dyDescent="0.25">
      <c r="A1067" s="15">
        <v>50912</v>
      </c>
      <c r="B1067" s="7">
        <v>1048044485</v>
      </c>
      <c r="C1067" s="11">
        <v>46050.668414351901</v>
      </c>
      <c r="D1067" s="17" t="s">
        <v>3382</v>
      </c>
      <c r="E1067" t="str">
        <f>IF(COUNTIF($B$2:B1067,B1067)&gt;1,"Duplicado","Único")</f>
        <v>Único</v>
      </c>
    </row>
    <row r="1068" spans="1:5" hidden="1" x14ac:dyDescent="0.25">
      <c r="A1068" s="15">
        <v>50912</v>
      </c>
      <c r="B1068" s="7">
        <v>1048044485</v>
      </c>
      <c r="C1068" s="11">
        <v>45992.631134259304</v>
      </c>
      <c r="D1068" s="17" t="s">
        <v>2824</v>
      </c>
      <c r="E1068" t="str">
        <f>IF(COUNTIF($B$2:B1068,B1068)&gt;1,"Duplicado","Único")</f>
        <v>Duplicado</v>
      </c>
    </row>
    <row r="1069" spans="1:5" x14ac:dyDescent="0.25">
      <c r="A1069" s="15">
        <v>51359</v>
      </c>
      <c r="B1069" s="7">
        <v>1048211410</v>
      </c>
      <c r="C1069" s="11">
        <v>46051.464953703697</v>
      </c>
      <c r="D1069" s="17" t="s">
        <v>3485</v>
      </c>
      <c r="E1069" t="str">
        <f>IF(COUNTIF($B$2:B1069,B1069)&gt;1,"Duplicado","Único")</f>
        <v>Único</v>
      </c>
    </row>
    <row r="1070" spans="1:5" hidden="1" x14ac:dyDescent="0.25">
      <c r="A1070" s="15">
        <v>51359</v>
      </c>
      <c r="B1070" s="7">
        <v>1048211410</v>
      </c>
      <c r="C1070" s="11">
        <v>46002.593912037002</v>
      </c>
      <c r="D1070" s="17" t="s">
        <v>2882</v>
      </c>
      <c r="E1070" t="str">
        <f>IF(COUNTIF($B$2:B1070,B1070)&gt;1,"Duplicado","Único")</f>
        <v>Duplicado</v>
      </c>
    </row>
    <row r="1071" spans="1:5" x14ac:dyDescent="0.25">
      <c r="A1071" s="15">
        <v>28115</v>
      </c>
      <c r="B1071" s="7">
        <v>1048291630</v>
      </c>
      <c r="C1071" s="11">
        <v>45884.529652777797</v>
      </c>
      <c r="D1071" s="17" t="s">
        <v>1312</v>
      </c>
      <c r="E1071" t="str">
        <f>IF(COUNTIF($B$2:B1071,B1071)&gt;1,"Duplicado","Único")</f>
        <v>Único</v>
      </c>
    </row>
    <row r="1072" spans="1:5" x14ac:dyDescent="0.25">
      <c r="A1072" s="15">
        <v>28219</v>
      </c>
      <c r="B1072" s="7">
        <v>1048321576</v>
      </c>
      <c r="C1072" s="11">
        <v>45884.684988425899</v>
      </c>
      <c r="D1072" s="17" t="s">
        <v>1321</v>
      </c>
      <c r="E1072" t="str">
        <f>IF(COUNTIF($B$2:B1072,B1072)&gt;1,"Duplicado","Único")</f>
        <v>Único</v>
      </c>
    </row>
    <row r="1073" spans="1:5" x14ac:dyDescent="0.25">
      <c r="A1073" s="15">
        <v>49616</v>
      </c>
      <c r="B1073" s="7">
        <v>1048601818</v>
      </c>
      <c r="C1073" s="11">
        <v>46050.4473842593</v>
      </c>
      <c r="D1073" s="17" t="s">
        <v>3245</v>
      </c>
      <c r="E1073" t="str">
        <f>IF(COUNTIF($B$2:B1073,B1073)&gt;1,"Duplicado","Único")</f>
        <v>Único</v>
      </c>
    </row>
    <row r="1074" spans="1:5" hidden="1" x14ac:dyDescent="0.25">
      <c r="A1074" s="15">
        <v>49616</v>
      </c>
      <c r="B1074" s="7">
        <v>1048601818</v>
      </c>
      <c r="C1074" s="11">
        <v>45985.381296296298</v>
      </c>
      <c r="D1074" s="17" t="s">
        <v>2680</v>
      </c>
      <c r="E1074" t="str">
        <f>IF(COUNTIF($B$2:B1074,B1074)&gt;1,"Duplicado","Único")</f>
        <v>Duplicado</v>
      </c>
    </row>
    <row r="1075" spans="1:5" x14ac:dyDescent="0.25">
      <c r="A1075" s="15">
        <v>33645</v>
      </c>
      <c r="B1075" s="7">
        <v>10492293</v>
      </c>
      <c r="C1075" s="11">
        <v>45915.493101851898</v>
      </c>
      <c r="D1075" s="17" t="s">
        <v>1703</v>
      </c>
      <c r="E1075" t="str">
        <f>IF(COUNTIF($B$2:B1075,B1075)&gt;1,"Duplicado","Único")</f>
        <v>Único</v>
      </c>
    </row>
    <row r="1076" spans="1:5" x14ac:dyDescent="0.25">
      <c r="A1076" s="15">
        <v>20115</v>
      </c>
      <c r="B1076" s="7">
        <v>1049483219</v>
      </c>
      <c r="C1076" s="11">
        <v>45819.706932870402</v>
      </c>
      <c r="D1076" s="17" t="s">
        <v>861</v>
      </c>
      <c r="E1076" t="str">
        <f>IF(COUNTIF($B$2:B1076,B1076)&gt;1,"Duplicado","Único")</f>
        <v>Único</v>
      </c>
    </row>
    <row r="1077" spans="1:5" x14ac:dyDescent="0.25">
      <c r="A1077" s="15">
        <v>52723</v>
      </c>
      <c r="B1077" s="7">
        <v>1049602567</v>
      </c>
      <c r="C1077" s="11">
        <v>46051.636712963002</v>
      </c>
      <c r="D1077" s="17" t="s">
        <v>3545</v>
      </c>
      <c r="E1077" t="str">
        <f>IF(COUNTIF($B$2:B1077,B1077)&gt;1,"Duplicado","Único")</f>
        <v>Único</v>
      </c>
    </row>
    <row r="1078" spans="1:5" hidden="1" x14ac:dyDescent="0.25">
      <c r="A1078" s="15">
        <v>52723</v>
      </c>
      <c r="B1078" s="7">
        <v>1049602567</v>
      </c>
      <c r="C1078" s="11">
        <v>46009.374722222201</v>
      </c>
      <c r="D1078" s="17" t="s">
        <v>2960</v>
      </c>
      <c r="E1078" t="str">
        <f>IF(COUNTIF($B$2:B1078,B1078)&gt;1,"Duplicado","Único")</f>
        <v>Duplicado</v>
      </c>
    </row>
    <row r="1079" spans="1:5" x14ac:dyDescent="0.25">
      <c r="A1079" s="15">
        <v>50037</v>
      </c>
      <c r="B1079" s="7">
        <v>1049604045</v>
      </c>
      <c r="C1079" s="11">
        <v>46050.490034722199</v>
      </c>
      <c r="D1079" s="17" t="s">
        <v>3270</v>
      </c>
      <c r="E1079" t="str">
        <f>IF(COUNTIF($B$2:B1079,B1079)&gt;1,"Duplicado","Único")</f>
        <v>Único</v>
      </c>
    </row>
    <row r="1080" spans="1:5" hidden="1" x14ac:dyDescent="0.25">
      <c r="A1080" s="15">
        <v>50037</v>
      </c>
      <c r="B1080" s="7">
        <v>1049604045</v>
      </c>
      <c r="C1080" s="11">
        <v>45986.401469907403</v>
      </c>
      <c r="D1080" s="17" t="s">
        <v>2715</v>
      </c>
      <c r="E1080" t="str">
        <f>IF(COUNTIF($B$2:B1080,B1080)&gt;1,"Duplicado","Único")</f>
        <v>Duplicado</v>
      </c>
    </row>
    <row r="1081" spans="1:5" x14ac:dyDescent="0.25">
      <c r="A1081" s="15">
        <v>22266</v>
      </c>
      <c r="B1081" s="7">
        <v>1049610969</v>
      </c>
      <c r="C1081" s="11">
        <v>45835.721354166701</v>
      </c>
      <c r="D1081" s="17" t="s">
        <v>1001</v>
      </c>
      <c r="E1081" t="str">
        <f>IF(COUNTIF($B$2:B1081,B1081)&gt;1,"Duplicado","Único")</f>
        <v>Único</v>
      </c>
    </row>
    <row r="1082" spans="1:5" x14ac:dyDescent="0.25">
      <c r="A1082" s="15">
        <v>47070</v>
      </c>
      <c r="B1082" s="7">
        <v>1049611964</v>
      </c>
      <c r="C1082" s="11">
        <v>45968.4167592593</v>
      </c>
      <c r="D1082" s="17" t="s">
        <v>2387</v>
      </c>
      <c r="E1082" t="str">
        <f>IF(COUNTIF($B$2:B1082,B1082)&gt;1,"Duplicado","Único")</f>
        <v>Único</v>
      </c>
    </row>
    <row r="1083" spans="1:5" x14ac:dyDescent="0.25">
      <c r="A1083" s="15">
        <v>1357</v>
      </c>
      <c r="B1083" s="7">
        <v>1049618320</v>
      </c>
      <c r="C1083" s="11">
        <v>46059.418368055602</v>
      </c>
      <c r="D1083" s="17" t="s">
        <v>3742</v>
      </c>
      <c r="E1083" t="str">
        <f>IF(COUNTIF($B$2:B1083,B1083)&gt;1,"Duplicado","Único")</f>
        <v>Único</v>
      </c>
    </row>
    <row r="1084" spans="1:5" hidden="1" x14ac:dyDescent="0.25">
      <c r="A1084" s="15">
        <v>1357</v>
      </c>
      <c r="B1084" s="7">
        <v>1049618320</v>
      </c>
      <c r="C1084" s="11">
        <v>46036.486284722203</v>
      </c>
      <c r="D1084" s="17" t="s">
        <v>3171</v>
      </c>
      <c r="E1084" t="str">
        <f>IF(COUNTIF($B$2:B1084,B1084)&gt;1,"Duplicado","Único")</f>
        <v>Duplicado</v>
      </c>
    </row>
    <row r="1085" spans="1:5" x14ac:dyDescent="0.25">
      <c r="A1085" s="15">
        <v>46083</v>
      </c>
      <c r="B1085" s="7">
        <v>1049622314</v>
      </c>
      <c r="C1085" s="11">
        <v>45965.455613425896</v>
      </c>
      <c r="D1085" s="17" t="s">
        <v>2291</v>
      </c>
      <c r="E1085" t="str">
        <f>IF(COUNTIF($B$2:B1085,B1085)&gt;1,"Duplicado","Único")</f>
        <v>Único</v>
      </c>
    </row>
    <row r="1086" spans="1:5" x14ac:dyDescent="0.25">
      <c r="A1086" s="15">
        <v>48796</v>
      </c>
      <c r="B1086" s="7">
        <v>1049625846</v>
      </c>
      <c r="C1086" s="11">
        <v>45980.347997685203</v>
      </c>
      <c r="D1086" s="17" t="s">
        <v>2576</v>
      </c>
      <c r="E1086" t="str">
        <f>IF(COUNTIF($B$2:B1086,B1086)&gt;1,"Duplicado","Único")</f>
        <v>Único</v>
      </c>
    </row>
    <row r="1087" spans="1:5" x14ac:dyDescent="0.25">
      <c r="A1087" s="15">
        <v>44898</v>
      </c>
      <c r="B1087" s="7">
        <v>1049629993</v>
      </c>
      <c r="C1087" s="11">
        <v>45958.668136574102</v>
      </c>
      <c r="D1087" s="17" t="s">
        <v>2177</v>
      </c>
      <c r="E1087" t="str">
        <f>IF(COUNTIF($B$2:B1087,B1087)&gt;1,"Duplicado","Único")</f>
        <v>Único</v>
      </c>
    </row>
    <row r="1088" spans="1:5" x14ac:dyDescent="0.25">
      <c r="A1088" s="15">
        <v>46739</v>
      </c>
      <c r="B1088" s="7">
        <v>1049630298</v>
      </c>
      <c r="C1088" s="11">
        <v>45967.698541666701</v>
      </c>
      <c r="D1088" s="17" t="s">
        <v>2358</v>
      </c>
      <c r="E1088" t="str">
        <f>IF(COUNTIF($B$2:B1088,B1088)&gt;1,"Duplicado","Único")</f>
        <v>Único</v>
      </c>
    </row>
    <row r="1089" spans="1:5" x14ac:dyDescent="0.25">
      <c r="A1089" s="15">
        <v>45491</v>
      </c>
      <c r="B1089" s="7">
        <v>1049632340</v>
      </c>
      <c r="C1089" s="11">
        <v>45960.471481481502</v>
      </c>
      <c r="D1089" s="17" t="s">
        <v>2240</v>
      </c>
      <c r="E1089" t="str">
        <f>IF(COUNTIF($B$2:B1089,B1089)&gt;1,"Duplicado","Único")</f>
        <v>Único</v>
      </c>
    </row>
    <row r="1090" spans="1:5" x14ac:dyDescent="0.25">
      <c r="A1090" s="15">
        <v>46998</v>
      </c>
      <c r="B1090" s="7">
        <v>1049633931</v>
      </c>
      <c r="C1090" s="11">
        <v>45968.423298611102</v>
      </c>
      <c r="D1090" s="17" t="s">
        <v>2392</v>
      </c>
      <c r="E1090" t="str">
        <f>IF(COUNTIF($B$2:B1090,B1090)&gt;1,"Duplicado","Único")</f>
        <v>Único</v>
      </c>
    </row>
    <row r="1091" spans="1:5" x14ac:dyDescent="0.25">
      <c r="A1091" s="15">
        <v>51403</v>
      </c>
      <c r="B1091" s="7">
        <v>1049634128</v>
      </c>
      <c r="C1091" s="11">
        <v>46051.465590277803</v>
      </c>
      <c r="D1091" s="17" t="s">
        <v>3486</v>
      </c>
      <c r="E1091" t="str">
        <f>IF(COUNTIF($B$2:B1091,B1091)&gt;1,"Duplicado","Único")</f>
        <v>Único</v>
      </c>
    </row>
    <row r="1092" spans="1:5" hidden="1" x14ac:dyDescent="0.25">
      <c r="A1092" s="15">
        <v>51403</v>
      </c>
      <c r="B1092" s="7">
        <v>1049634128</v>
      </c>
      <c r="C1092" s="11">
        <v>46002.616527777798</v>
      </c>
      <c r="D1092" s="17" t="s">
        <v>2887</v>
      </c>
      <c r="E1092" t="str">
        <f>IF(COUNTIF($B$2:B1092,B1092)&gt;1,"Duplicado","Único")</f>
        <v>Duplicado</v>
      </c>
    </row>
    <row r="1093" spans="1:5" x14ac:dyDescent="0.25">
      <c r="A1093" s="15">
        <v>30420</v>
      </c>
      <c r="B1093" s="7">
        <v>1049634477</v>
      </c>
      <c r="C1093" s="11">
        <v>45895.707002314797</v>
      </c>
      <c r="D1093" s="17" t="s">
        <v>1434</v>
      </c>
      <c r="E1093" t="str">
        <f>IF(COUNTIF($B$2:B1093,B1093)&gt;1,"Duplicado","Único")</f>
        <v>Único</v>
      </c>
    </row>
    <row r="1094" spans="1:5" x14ac:dyDescent="0.25">
      <c r="A1094" s="15">
        <v>16884</v>
      </c>
      <c r="B1094" s="7">
        <v>1049635484</v>
      </c>
      <c r="C1094" s="11">
        <v>46149.470972222203</v>
      </c>
      <c r="D1094" s="17" t="s">
        <v>4499</v>
      </c>
      <c r="E1094" t="str">
        <f>IF(COUNTIF($B$2:B1094,B1094)&gt;1,"Duplicado","Único")</f>
        <v>Único</v>
      </c>
    </row>
    <row r="1095" spans="1:5" hidden="1" x14ac:dyDescent="0.25">
      <c r="A1095" s="15">
        <v>16884</v>
      </c>
      <c r="B1095" s="7">
        <v>1049635484</v>
      </c>
      <c r="C1095" s="11">
        <v>46108.495277777802</v>
      </c>
      <c r="D1095" s="17" t="s">
        <v>4197</v>
      </c>
      <c r="E1095" t="str">
        <f>IF(COUNTIF($B$2:B1095,B1095)&gt;1,"Duplicado","Único")</f>
        <v>Duplicado</v>
      </c>
    </row>
    <row r="1096" spans="1:5" x14ac:dyDescent="0.25">
      <c r="A1096" s="15">
        <v>31420</v>
      </c>
      <c r="B1096" s="7">
        <v>1049635775</v>
      </c>
      <c r="C1096" s="11">
        <v>45905.350763888899</v>
      </c>
      <c r="D1096" s="17" t="s">
        <v>1550</v>
      </c>
      <c r="E1096" t="str">
        <f>IF(COUNTIF($B$2:B1096,B1096)&gt;1,"Duplicado","Único")</f>
        <v>Único</v>
      </c>
    </row>
    <row r="1097" spans="1:5" x14ac:dyDescent="0.25">
      <c r="A1097" s="15">
        <v>42585</v>
      </c>
      <c r="B1097" s="7">
        <v>1049641147</v>
      </c>
      <c r="C1097" s="11">
        <v>45952.674965277802</v>
      </c>
      <c r="D1097" s="17" t="s">
        <v>2035</v>
      </c>
      <c r="E1097" t="str">
        <f>IF(COUNTIF($B$2:B1097,B1097)&gt;1,"Duplicado","Único")</f>
        <v>Único</v>
      </c>
    </row>
    <row r="1098" spans="1:5" x14ac:dyDescent="0.25">
      <c r="A1098" s="15">
        <v>36933</v>
      </c>
      <c r="B1098" s="7">
        <v>1049641178</v>
      </c>
      <c r="C1098" s="11">
        <v>45922.373275462996</v>
      </c>
      <c r="D1098" s="17" t="s">
        <v>1772</v>
      </c>
      <c r="E1098" t="str">
        <f>IF(COUNTIF($B$2:B1098,B1098)&gt;1,"Duplicado","Único")</f>
        <v>Único</v>
      </c>
    </row>
    <row r="1099" spans="1:5" x14ac:dyDescent="0.25">
      <c r="A1099" s="15">
        <v>32322</v>
      </c>
      <c r="B1099" s="7">
        <v>1049643468</v>
      </c>
      <c r="C1099" s="11">
        <v>45908.508819444403</v>
      </c>
      <c r="D1099" s="17" t="s">
        <v>1609</v>
      </c>
      <c r="E1099" t="str">
        <f>IF(COUNTIF($B$2:B1099,B1099)&gt;1,"Duplicado","Único")</f>
        <v>Único</v>
      </c>
    </row>
    <row r="1100" spans="1:5" x14ac:dyDescent="0.25">
      <c r="A1100" s="15">
        <v>49606</v>
      </c>
      <c r="B1100" s="7">
        <v>1049643588</v>
      </c>
      <c r="C1100" s="11">
        <v>46050.449953703697</v>
      </c>
      <c r="D1100" s="17" t="s">
        <v>3246</v>
      </c>
      <c r="E1100" t="str">
        <f>IF(COUNTIF($B$2:B1100,B1100)&gt;1,"Duplicado","Único")</f>
        <v>Único</v>
      </c>
    </row>
    <row r="1101" spans="1:5" hidden="1" x14ac:dyDescent="0.25">
      <c r="A1101" s="15">
        <v>49606</v>
      </c>
      <c r="B1101" s="7">
        <v>1049643588</v>
      </c>
      <c r="C1101" s="11">
        <v>45985.376504629603</v>
      </c>
      <c r="D1101" s="17" t="s">
        <v>2677</v>
      </c>
      <c r="E1101" t="str">
        <f>IF(COUNTIF($B$2:B1101,B1101)&gt;1,"Duplicado","Único")</f>
        <v>Duplicado</v>
      </c>
    </row>
    <row r="1102" spans="1:5" x14ac:dyDescent="0.25">
      <c r="A1102" s="15">
        <v>29023</v>
      </c>
      <c r="B1102" s="7">
        <v>1049647707</v>
      </c>
      <c r="C1102" s="11">
        <v>45890.688587962999</v>
      </c>
      <c r="D1102" s="17" t="s">
        <v>1373</v>
      </c>
      <c r="E1102" t="str">
        <f>IF(COUNTIF($B$2:B1102,B1102)&gt;1,"Duplicado","Único")</f>
        <v>Único</v>
      </c>
    </row>
    <row r="1103" spans="1:5" x14ac:dyDescent="0.25">
      <c r="A1103" s="15">
        <v>44775</v>
      </c>
      <c r="B1103" s="7">
        <v>1049650274</v>
      </c>
      <c r="C1103" s="11">
        <v>45958.614085648202</v>
      </c>
      <c r="D1103" s="17" t="s">
        <v>2165</v>
      </c>
      <c r="E1103" t="str">
        <f>IF(COUNTIF($B$2:B1103,B1103)&gt;1,"Duplicado","Único")</f>
        <v>Único</v>
      </c>
    </row>
    <row r="1104" spans="1:5" x14ac:dyDescent="0.25">
      <c r="A1104" s="15">
        <v>20226</v>
      </c>
      <c r="B1104" s="7">
        <v>1049655097</v>
      </c>
      <c r="C1104" s="11">
        <v>45819.735960648097</v>
      </c>
      <c r="D1104" s="17" t="s">
        <v>868</v>
      </c>
      <c r="E1104" t="str">
        <f>IF(COUNTIF($B$2:B1104,B1104)&gt;1,"Duplicado","Único")</f>
        <v>Único</v>
      </c>
    </row>
    <row r="1105" spans="1:5" x14ac:dyDescent="0.25">
      <c r="A1105" s="15">
        <v>17893</v>
      </c>
      <c r="B1105" s="7">
        <v>1049658341</v>
      </c>
      <c r="C1105" s="11">
        <v>45797.723946759303</v>
      </c>
      <c r="D1105" s="17" t="s">
        <v>732</v>
      </c>
      <c r="E1105" t="str">
        <f>IF(COUNTIF($B$2:B1105,B1105)&gt;1,"Duplicado","Único")</f>
        <v>Único</v>
      </c>
    </row>
    <row r="1106" spans="1:5" x14ac:dyDescent="0.25">
      <c r="A1106" s="15">
        <v>46523</v>
      </c>
      <c r="B1106" s="7">
        <v>1050976677</v>
      </c>
      <c r="C1106" s="11">
        <v>45975.469085648103</v>
      </c>
      <c r="D1106" s="17" t="s">
        <v>2515</v>
      </c>
      <c r="E1106" t="str">
        <f>IF(COUNTIF($B$2:B1106,B1106)&gt;1,"Duplicado","Único")</f>
        <v>Único</v>
      </c>
    </row>
    <row r="1107" spans="1:5" hidden="1" x14ac:dyDescent="0.25">
      <c r="A1107" s="15">
        <v>46523</v>
      </c>
      <c r="B1107" s="7">
        <v>1050976677</v>
      </c>
      <c r="C1107" s="11">
        <v>45966.662245370397</v>
      </c>
      <c r="D1107" s="17" t="s">
        <v>2335</v>
      </c>
      <c r="E1107" t="str">
        <f>IF(COUNTIF($B$2:B1107,B1107)&gt;1,"Duplicado","Único")</f>
        <v>Duplicado</v>
      </c>
    </row>
    <row r="1108" spans="1:5" x14ac:dyDescent="0.25">
      <c r="A1108" s="15">
        <v>23338</v>
      </c>
      <c r="B1108" s="7">
        <v>1051266547</v>
      </c>
      <c r="C1108" s="11">
        <v>45842.446689814802</v>
      </c>
      <c r="D1108" s="17" t="s">
        <v>1045</v>
      </c>
      <c r="E1108" t="str">
        <f>IF(COUNTIF($B$2:B1108,B1108)&gt;1,"Duplicado","Único")</f>
        <v>Único</v>
      </c>
    </row>
    <row r="1109" spans="1:5" x14ac:dyDescent="0.25">
      <c r="A1109" s="15">
        <v>27394</v>
      </c>
      <c r="B1109" s="7">
        <v>1051418335</v>
      </c>
      <c r="C1109" s="11">
        <v>45874.602511574099</v>
      </c>
      <c r="D1109" s="17" t="s">
        <v>1266</v>
      </c>
      <c r="E1109" t="str">
        <f>IF(COUNTIF($B$2:B1109,B1109)&gt;1,"Duplicado","Único")</f>
        <v>Único</v>
      </c>
    </row>
    <row r="1110" spans="1:5" x14ac:dyDescent="0.25">
      <c r="A1110" s="15">
        <v>45343</v>
      </c>
      <c r="B1110" s="7">
        <v>1051418384</v>
      </c>
      <c r="C1110" s="11">
        <v>45959.358807870398</v>
      </c>
      <c r="D1110" s="17" t="s">
        <v>2210</v>
      </c>
      <c r="E1110" t="str">
        <f>IF(COUNTIF($B$2:B1110,B1110)&gt;1,"Duplicado","Único")</f>
        <v>Único</v>
      </c>
    </row>
    <row r="1111" spans="1:5" x14ac:dyDescent="0.25">
      <c r="A1111" s="15">
        <v>38737</v>
      </c>
      <c r="B1111" s="7">
        <v>1051522424</v>
      </c>
      <c r="C1111" s="11">
        <v>45929.412384259304</v>
      </c>
      <c r="D1111" s="17" t="s">
        <v>1853</v>
      </c>
      <c r="E1111" t="str">
        <f>IF(COUNTIF($B$2:B1111,B1111)&gt;1,"Duplicado","Único")</f>
        <v>Único</v>
      </c>
    </row>
    <row r="1112" spans="1:5" x14ac:dyDescent="0.25">
      <c r="A1112" s="15">
        <v>43621</v>
      </c>
      <c r="B1112" s="7">
        <v>1051589676</v>
      </c>
      <c r="C1112" s="11">
        <v>45957.411157407398</v>
      </c>
      <c r="D1112" s="17" t="s">
        <v>2087</v>
      </c>
      <c r="E1112" t="str">
        <f>IF(COUNTIF($B$2:B1112,B1112)&gt;1,"Duplicado","Único")</f>
        <v>Único</v>
      </c>
    </row>
    <row r="1113" spans="1:5" x14ac:dyDescent="0.25">
      <c r="A1113" s="15">
        <v>27583</v>
      </c>
      <c r="B1113" s="7">
        <v>1051671320</v>
      </c>
      <c r="C1113" s="11">
        <v>45891.335335648102</v>
      </c>
      <c r="D1113" s="17" t="s">
        <v>1380</v>
      </c>
      <c r="E1113" t="str">
        <f>IF(COUNTIF($B$2:B1113,B1113)&gt;1,"Duplicado","Único")</f>
        <v>Único</v>
      </c>
    </row>
    <row r="1114" spans="1:5" hidden="1" x14ac:dyDescent="0.25">
      <c r="A1114" s="15">
        <v>27583</v>
      </c>
      <c r="B1114" s="7">
        <v>1051671320</v>
      </c>
      <c r="C1114" s="11">
        <v>45874.6941898148</v>
      </c>
      <c r="D1114" s="17" t="s">
        <v>1281</v>
      </c>
      <c r="E1114" t="str">
        <f>IF(COUNTIF($B$2:B1114,B1114)&gt;1,"Duplicado","Único")</f>
        <v>Duplicado</v>
      </c>
    </row>
    <row r="1115" spans="1:5" x14ac:dyDescent="0.25">
      <c r="A1115" s="15">
        <v>722</v>
      </c>
      <c r="B1115" s="7">
        <v>1052388187</v>
      </c>
      <c r="C1115" s="11">
        <v>46086.516365740703</v>
      </c>
      <c r="D1115" s="17" t="s">
        <v>3832</v>
      </c>
      <c r="E1115" t="str">
        <f>IF(COUNTIF($B$2:B1115,B1115)&gt;1,"Duplicado","Único")</f>
        <v>Único</v>
      </c>
    </row>
    <row r="1116" spans="1:5" hidden="1" x14ac:dyDescent="0.25">
      <c r="A1116" s="15">
        <v>722</v>
      </c>
      <c r="B1116" s="7">
        <v>1052388187</v>
      </c>
      <c r="C1116" s="11">
        <v>46035.494317129604</v>
      </c>
      <c r="D1116" s="17" t="s">
        <v>3141</v>
      </c>
      <c r="E1116" t="str">
        <f>IF(COUNTIF($B$2:B1116,B1116)&gt;1,"Duplicado","Único")</f>
        <v>Duplicado</v>
      </c>
    </row>
    <row r="1117" spans="1:5" x14ac:dyDescent="0.25">
      <c r="A1117" s="15">
        <v>21329</v>
      </c>
      <c r="B1117" s="7">
        <v>1052390986</v>
      </c>
      <c r="C1117" s="11">
        <v>45824.467303240701</v>
      </c>
      <c r="D1117" s="17" t="s">
        <v>938</v>
      </c>
      <c r="E1117" t="str">
        <f>IF(COUNTIF($B$2:B1117,B1117)&gt;1,"Duplicado","Único")</f>
        <v>Único</v>
      </c>
    </row>
    <row r="1118" spans="1:5" x14ac:dyDescent="0.25">
      <c r="A1118" s="15">
        <v>19738</v>
      </c>
      <c r="B1118" s="7">
        <v>1052392718</v>
      </c>
      <c r="C1118" s="11">
        <v>45814.324050925898</v>
      </c>
      <c r="D1118" s="17" t="s">
        <v>841</v>
      </c>
      <c r="E1118" t="str">
        <f>IF(COUNTIF($B$2:B1118,B1118)&gt;1,"Duplicado","Único")</f>
        <v>Único</v>
      </c>
    </row>
    <row r="1119" spans="1:5" x14ac:dyDescent="0.25">
      <c r="A1119" s="15">
        <v>47640</v>
      </c>
      <c r="B1119" s="7">
        <v>1052401763</v>
      </c>
      <c r="C1119" s="11">
        <v>45972.470590277801</v>
      </c>
      <c r="D1119" s="17" t="s">
        <v>2439</v>
      </c>
      <c r="E1119" t="str">
        <f>IF(COUNTIF($B$2:B1119,B1119)&gt;1,"Duplicado","Único")</f>
        <v>Único</v>
      </c>
    </row>
    <row r="1120" spans="1:5" x14ac:dyDescent="0.25">
      <c r="A1120" s="15">
        <v>42336</v>
      </c>
      <c r="B1120" s="7">
        <v>1052402820</v>
      </c>
      <c r="C1120" s="11">
        <v>45952.743518518502</v>
      </c>
      <c r="D1120" s="17" t="s">
        <v>2037</v>
      </c>
      <c r="E1120" t="str">
        <f>IF(COUNTIF($B$2:B1120,B1120)&gt;1,"Duplicado","Único")</f>
        <v>Único</v>
      </c>
    </row>
    <row r="1121" spans="1:5" x14ac:dyDescent="0.25">
      <c r="A1121" s="15">
        <v>42327</v>
      </c>
      <c r="B1121" s="7">
        <v>1052407494</v>
      </c>
      <c r="C1121" s="11">
        <v>45951.605914351901</v>
      </c>
      <c r="D1121" s="17" t="s">
        <v>2021</v>
      </c>
      <c r="E1121" t="str">
        <f>IF(COUNTIF($B$2:B1121,B1121)&gt;1,"Duplicado","Único")</f>
        <v>Único</v>
      </c>
    </row>
    <row r="1122" spans="1:5" x14ac:dyDescent="0.25">
      <c r="A1122" s="15">
        <v>39642</v>
      </c>
      <c r="B1122" s="7">
        <v>1052413297</v>
      </c>
      <c r="C1122" s="11">
        <v>45930.473206018498</v>
      </c>
      <c r="D1122" s="17" t="s">
        <v>1891</v>
      </c>
      <c r="E1122" t="str">
        <f>IF(COUNTIF($B$2:B1122,B1122)&gt;1,"Duplicado","Único")</f>
        <v>Único</v>
      </c>
    </row>
    <row r="1123" spans="1:5" x14ac:dyDescent="0.25">
      <c r="A1123" s="15">
        <v>26555</v>
      </c>
      <c r="B1123" s="7">
        <v>1052415873</v>
      </c>
      <c r="C1123" s="11">
        <v>45867.611111111102</v>
      </c>
      <c r="D1123" s="17" t="s">
        <v>1212</v>
      </c>
      <c r="E1123" t="str">
        <f>IF(COUNTIF($B$2:B1123,B1123)&gt;1,"Duplicado","Único")</f>
        <v>Único</v>
      </c>
    </row>
    <row r="1124" spans="1:5" x14ac:dyDescent="0.25">
      <c r="A1124" s="15">
        <v>32612</v>
      </c>
      <c r="B1124" s="7">
        <v>1052949771</v>
      </c>
      <c r="C1124" s="11">
        <v>45909.692048611098</v>
      </c>
      <c r="D1124" s="17" t="s">
        <v>1628</v>
      </c>
      <c r="E1124" t="str">
        <f>IF(COUNTIF($B$2:B1124,B1124)&gt;1,"Duplicado","Único")</f>
        <v>Único</v>
      </c>
    </row>
    <row r="1125" spans="1:5" x14ac:dyDescent="0.25">
      <c r="A1125" s="15">
        <v>17927</v>
      </c>
      <c r="B1125" s="7">
        <v>1052973963</v>
      </c>
      <c r="C1125" s="11">
        <v>45797.735983796301</v>
      </c>
      <c r="D1125" s="17" t="s">
        <v>735</v>
      </c>
      <c r="E1125" t="str">
        <f>IF(COUNTIF($B$2:B1125,B1125)&gt;1,"Duplicado","Único")</f>
        <v>Único</v>
      </c>
    </row>
    <row r="1126" spans="1:5" x14ac:dyDescent="0.25">
      <c r="A1126" s="15">
        <v>26481</v>
      </c>
      <c r="B1126" s="7">
        <v>1052981355</v>
      </c>
      <c r="C1126" s="11">
        <v>45867.503472222197</v>
      </c>
      <c r="D1126" s="17" t="s">
        <v>1207</v>
      </c>
      <c r="E1126" t="str">
        <f>IF(COUNTIF($B$2:B1126,B1126)&gt;1,"Duplicado","Único")</f>
        <v>Único</v>
      </c>
    </row>
    <row r="1127" spans="1:5" x14ac:dyDescent="0.25">
      <c r="A1127" s="15">
        <v>35909</v>
      </c>
      <c r="B1127" s="7">
        <v>1052983558</v>
      </c>
      <c r="C1127" s="11">
        <v>45918.406805555598</v>
      </c>
      <c r="D1127" s="17" t="s">
        <v>1740</v>
      </c>
      <c r="E1127" t="str">
        <f>IF(COUNTIF($B$2:B1127,B1127)&gt;1,"Duplicado","Único")</f>
        <v>Único</v>
      </c>
    </row>
    <row r="1128" spans="1:5" x14ac:dyDescent="0.25">
      <c r="A1128" s="15">
        <v>18237</v>
      </c>
      <c r="B1128" s="7">
        <v>1052985982</v>
      </c>
      <c r="C1128" s="11">
        <v>46149.419351851902</v>
      </c>
      <c r="D1128" s="17" t="s">
        <v>4452</v>
      </c>
      <c r="E1128" t="str">
        <f>IF(COUNTIF($B$2:B1128,B1128)&gt;1,"Duplicado","Único")</f>
        <v>Único</v>
      </c>
    </row>
    <row r="1129" spans="1:5" hidden="1" x14ac:dyDescent="0.25">
      <c r="A1129" s="15">
        <v>18237</v>
      </c>
      <c r="B1129" s="7">
        <v>1052985982</v>
      </c>
      <c r="C1129" s="11">
        <v>46118.391261574099</v>
      </c>
      <c r="D1129" s="17" t="s">
        <v>4245</v>
      </c>
      <c r="E1129" t="str">
        <f>IF(COUNTIF($B$2:B1129,B1129)&gt;1,"Duplicado","Único")</f>
        <v>Duplicado</v>
      </c>
    </row>
    <row r="1130" spans="1:5" x14ac:dyDescent="0.25">
      <c r="A1130" s="15">
        <v>16918</v>
      </c>
      <c r="B1130" s="7">
        <v>1053003995</v>
      </c>
      <c r="C1130" s="11">
        <v>46149.471400463</v>
      </c>
      <c r="D1130" s="17" t="s">
        <v>4500</v>
      </c>
      <c r="E1130" t="str">
        <f>IF(COUNTIF($B$2:B1130,B1130)&gt;1,"Duplicado","Único")</f>
        <v>Único</v>
      </c>
    </row>
    <row r="1131" spans="1:5" hidden="1" x14ac:dyDescent="0.25">
      <c r="A1131" s="15">
        <v>16918</v>
      </c>
      <c r="B1131" s="7">
        <v>1053003995</v>
      </c>
      <c r="C1131" s="11">
        <v>46108.497395833299</v>
      </c>
      <c r="D1131" s="17" t="s">
        <v>4198</v>
      </c>
      <c r="E1131" t="str">
        <f>IF(COUNTIF($B$2:B1131,B1131)&gt;1,"Duplicado","Único")</f>
        <v>Duplicado</v>
      </c>
    </row>
    <row r="1132" spans="1:5" x14ac:dyDescent="0.25">
      <c r="A1132" s="15">
        <v>50743</v>
      </c>
      <c r="B1132" s="7">
        <v>1053004215</v>
      </c>
      <c r="C1132" s="11">
        <v>46050.669050925899</v>
      </c>
      <c r="D1132" s="17" t="s">
        <v>3383</v>
      </c>
      <c r="E1132" t="str">
        <f>IF(COUNTIF($B$2:B1132,B1132)&gt;1,"Duplicado","Único")</f>
        <v>Único</v>
      </c>
    </row>
    <row r="1133" spans="1:5" hidden="1" x14ac:dyDescent="0.25">
      <c r="A1133" s="15">
        <v>50743</v>
      </c>
      <c r="B1133" s="7">
        <v>1053004215</v>
      </c>
      <c r="C1133" s="11">
        <v>45992.3737384259</v>
      </c>
      <c r="D1133" s="17" t="s">
        <v>2806</v>
      </c>
      <c r="E1133" t="str">
        <f>IF(COUNTIF($B$2:B1133,B1133)&gt;1,"Duplicado","Único")</f>
        <v>Duplicado</v>
      </c>
    </row>
    <row r="1134" spans="1:5" x14ac:dyDescent="0.25">
      <c r="A1134" s="15">
        <v>49685</v>
      </c>
      <c r="B1134" s="7">
        <v>1053325764</v>
      </c>
      <c r="C1134" s="11">
        <v>46059.389374999999</v>
      </c>
      <c r="D1134" s="17" t="s">
        <v>3741</v>
      </c>
      <c r="E1134" t="str">
        <f>IF(COUNTIF($B$2:B1134,B1134)&gt;1,"Duplicado","Único")</f>
        <v>Único</v>
      </c>
    </row>
    <row r="1135" spans="1:5" hidden="1" x14ac:dyDescent="0.25">
      <c r="A1135" s="15">
        <v>49685</v>
      </c>
      <c r="B1135" s="7">
        <v>1053325764</v>
      </c>
      <c r="C1135" s="11">
        <v>46050.451122685197</v>
      </c>
      <c r="D1135" s="17" t="s">
        <v>3247</v>
      </c>
      <c r="E1135" t="str">
        <f>IF(COUNTIF($B$2:B1135,B1135)&gt;1,"Duplicado","Único")</f>
        <v>Duplicado</v>
      </c>
    </row>
    <row r="1136" spans="1:5" hidden="1" x14ac:dyDescent="0.25">
      <c r="A1136" s="15">
        <v>49685</v>
      </c>
      <c r="B1136" s="7">
        <v>1053325764</v>
      </c>
      <c r="C1136" s="11">
        <v>45985.3979861111</v>
      </c>
      <c r="D1136" s="17" t="s">
        <v>2685</v>
      </c>
      <c r="E1136" t="str">
        <f>IF(COUNTIF($B$2:B1136,B1136)&gt;1,"Duplicado","Único")</f>
        <v>Duplicado</v>
      </c>
    </row>
    <row r="1137" spans="1:5" x14ac:dyDescent="0.25">
      <c r="A1137" s="15">
        <v>22041</v>
      </c>
      <c r="B1137" s="7">
        <v>1053334100</v>
      </c>
      <c r="C1137" s="11">
        <v>45834.621226851901</v>
      </c>
      <c r="D1137" s="17" t="s">
        <v>984</v>
      </c>
      <c r="E1137" t="str">
        <f>IF(COUNTIF($B$2:B1137,B1137)&gt;1,"Duplicado","Único")</f>
        <v>Único</v>
      </c>
    </row>
    <row r="1138" spans="1:5" x14ac:dyDescent="0.25">
      <c r="A1138" s="15">
        <v>30091</v>
      </c>
      <c r="B1138" s="7">
        <v>1053336712</v>
      </c>
      <c r="C1138" s="11">
        <v>45897.694212962997</v>
      </c>
      <c r="D1138" s="17" t="s">
        <v>1442</v>
      </c>
      <c r="E1138" t="str">
        <f>IF(COUNTIF($B$2:B1138,B1138)&gt;1,"Duplicado","Único")</f>
        <v>Único</v>
      </c>
    </row>
    <row r="1139" spans="1:5" x14ac:dyDescent="0.25">
      <c r="A1139" s="15">
        <v>45377</v>
      </c>
      <c r="B1139" s="7">
        <v>1053341928</v>
      </c>
      <c r="C1139" s="11">
        <v>45959.3992013889</v>
      </c>
      <c r="D1139" s="17" t="s">
        <v>2214</v>
      </c>
      <c r="E1139" t="str">
        <f>IF(COUNTIF($B$2:B1139,B1139)&gt;1,"Duplicado","Único")</f>
        <v>Único</v>
      </c>
    </row>
    <row r="1140" spans="1:5" x14ac:dyDescent="0.25">
      <c r="A1140" s="15">
        <v>26359</v>
      </c>
      <c r="B1140" s="7">
        <v>1053347032</v>
      </c>
      <c r="C1140" s="11">
        <v>45867.413194444402</v>
      </c>
      <c r="D1140" s="17" t="s">
        <v>1194</v>
      </c>
      <c r="E1140" t="str">
        <f>IF(COUNTIF($B$2:B1140,B1140)&gt;1,"Duplicado","Único")</f>
        <v>Único</v>
      </c>
    </row>
    <row r="1141" spans="1:5" x14ac:dyDescent="0.25">
      <c r="A1141" s="15">
        <v>15607</v>
      </c>
      <c r="B1141" s="7">
        <v>1053348401</v>
      </c>
      <c r="C1141" s="11">
        <v>46120.644502314797</v>
      </c>
      <c r="D1141" s="17" t="s">
        <v>4322</v>
      </c>
      <c r="E1141" t="str">
        <f>IF(COUNTIF($B$2:B1141,B1141)&gt;1,"Duplicado","Único")</f>
        <v>Único</v>
      </c>
    </row>
    <row r="1142" spans="1:5" hidden="1" x14ac:dyDescent="0.25">
      <c r="A1142" s="15">
        <v>15607</v>
      </c>
      <c r="B1142" s="7">
        <v>1053348401</v>
      </c>
      <c r="C1142" s="11">
        <v>46094.530335648102</v>
      </c>
      <c r="D1142" s="17" t="s">
        <v>4092</v>
      </c>
      <c r="E1142" t="str">
        <f>IF(COUNTIF($B$2:B1142,B1142)&gt;1,"Duplicado","Único")</f>
        <v>Duplicado</v>
      </c>
    </row>
    <row r="1143" spans="1:5" x14ac:dyDescent="0.25">
      <c r="A1143" s="15">
        <v>44683</v>
      </c>
      <c r="B1143" s="7">
        <v>1053586821</v>
      </c>
      <c r="C1143" s="11">
        <v>45958.684606481504</v>
      </c>
      <c r="D1143" s="17" t="s">
        <v>2184</v>
      </c>
      <c r="E1143" t="str">
        <f>IF(COUNTIF($B$2:B1143,B1143)&gt;1,"Duplicado","Único")</f>
        <v>Único</v>
      </c>
    </row>
    <row r="1144" spans="1:5" x14ac:dyDescent="0.25">
      <c r="A1144" s="15">
        <v>50670</v>
      </c>
      <c r="B1144" s="7">
        <v>1053608437</v>
      </c>
      <c r="C1144" s="11">
        <v>46050.669710648202</v>
      </c>
      <c r="D1144" s="17" t="s">
        <v>3384</v>
      </c>
      <c r="E1144" t="str">
        <f>IF(COUNTIF($B$2:B1144,B1144)&gt;1,"Duplicado","Único")</f>
        <v>Único</v>
      </c>
    </row>
    <row r="1145" spans="1:5" hidden="1" x14ac:dyDescent="0.25">
      <c r="A1145" s="15">
        <v>50670</v>
      </c>
      <c r="B1145" s="7">
        <v>1053608437</v>
      </c>
      <c r="C1145" s="11">
        <v>45992.444212962997</v>
      </c>
      <c r="D1145" s="17" t="s">
        <v>2811</v>
      </c>
      <c r="E1145" t="str">
        <f>IF(COUNTIF($B$2:B1145,B1145)&gt;1,"Duplicado","Único")</f>
        <v>Duplicado</v>
      </c>
    </row>
    <row r="1146" spans="1:5" x14ac:dyDescent="0.25">
      <c r="A1146" s="15">
        <v>14589</v>
      </c>
      <c r="B1146" s="7">
        <v>1053609285</v>
      </c>
      <c r="C1146" s="11">
        <v>46120.481064814798</v>
      </c>
      <c r="D1146" s="17" t="s">
        <v>4269</v>
      </c>
      <c r="E1146" t="str">
        <f>IF(COUNTIF($B$2:B1146,B1146)&gt;1,"Duplicado","Único")</f>
        <v>Único</v>
      </c>
    </row>
    <row r="1147" spans="1:5" hidden="1" x14ac:dyDescent="0.25">
      <c r="A1147" s="15">
        <v>14589</v>
      </c>
      <c r="B1147" s="7">
        <v>1053609285</v>
      </c>
      <c r="C1147" s="11">
        <v>46090.683912036999</v>
      </c>
      <c r="D1147" s="17" t="s">
        <v>1026</v>
      </c>
      <c r="E1147" t="str">
        <f>IF(COUNTIF($B$2:B1147,B1147)&gt;1,"Duplicado","Único")</f>
        <v>Duplicado</v>
      </c>
    </row>
    <row r="1148" spans="1:5" x14ac:dyDescent="0.25">
      <c r="A1148" s="15">
        <v>17371</v>
      </c>
      <c r="B1148" s="7">
        <v>1053611838</v>
      </c>
      <c r="C1148" s="11">
        <v>45797.457465277803</v>
      </c>
      <c r="D1148" s="17" t="s">
        <v>708</v>
      </c>
      <c r="E1148" t="str">
        <f>IF(COUNTIF($B$2:B1148,B1148)&gt;1,"Duplicado","Único")</f>
        <v>Único</v>
      </c>
    </row>
    <row r="1149" spans="1:5" x14ac:dyDescent="0.25">
      <c r="A1149" s="15">
        <v>16972</v>
      </c>
      <c r="B1149" s="7">
        <v>1053770836</v>
      </c>
      <c r="C1149" s="11">
        <v>46149.471944444398</v>
      </c>
      <c r="D1149" s="17" t="s">
        <v>4501</v>
      </c>
      <c r="E1149" t="str">
        <f>IF(COUNTIF($B$2:B1149,B1149)&gt;1,"Duplicado","Único")</f>
        <v>Único</v>
      </c>
    </row>
    <row r="1150" spans="1:5" hidden="1" x14ac:dyDescent="0.25">
      <c r="A1150" s="15">
        <v>16972</v>
      </c>
      <c r="B1150" s="7">
        <v>1053770836</v>
      </c>
      <c r="C1150" s="11">
        <v>46108.500625000001</v>
      </c>
      <c r="D1150" s="17" t="s">
        <v>4201</v>
      </c>
      <c r="E1150" t="str">
        <f>IF(COUNTIF($B$2:B1150,B1150)&gt;1,"Duplicado","Único")</f>
        <v>Duplicado</v>
      </c>
    </row>
    <row r="1151" spans="1:5" x14ac:dyDescent="0.25">
      <c r="A1151" s="15">
        <v>50128</v>
      </c>
      <c r="B1151" s="7">
        <v>1053771490</v>
      </c>
      <c r="C1151" s="11">
        <v>46050.603553240697</v>
      </c>
      <c r="D1151" s="17" t="s">
        <v>3301</v>
      </c>
      <c r="E1151" t="str">
        <f>IF(COUNTIF($B$2:B1151,B1151)&gt;1,"Duplicado","Único")</f>
        <v>Único</v>
      </c>
    </row>
    <row r="1152" spans="1:5" hidden="1" x14ac:dyDescent="0.25">
      <c r="A1152" s="15">
        <v>50128</v>
      </c>
      <c r="B1152" s="7">
        <v>1053771490</v>
      </c>
      <c r="C1152" s="11">
        <v>45987.412141203698</v>
      </c>
      <c r="D1152" s="17" t="s">
        <v>2726</v>
      </c>
      <c r="E1152" t="str">
        <f>IF(COUNTIF($B$2:B1152,B1152)&gt;1,"Duplicado","Único")</f>
        <v>Duplicado</v>
      </c>
    </row>
    <row r="1153" spans="1:5" x14ac:dyDescent="0.25">
      <c r="A1153" s="15">
        <v>15742</v>
      </c>
      <c r="B1153" s="7">
        <v>1053791580</v>
      </c>
      <c r="C1153" s="11">
        <v>46121.457442129598</v>
      </c>
      <c r="D1153" s="17" t="s">
        <v>4399</v>
      </c>
      <c r="E1153" t="str">
        <f>IF(COUNTIF($B$2:B1153,B1153)&gt;1,"Duplicado","Único")</f>
        <v>Único</v>
      </c>
    </row>
    <row r="1154" spans="1:5" hidden="1" x14ac:dyDescent="0.25">
      <c r="A1154" s="15">
        <v>15742</v>
      </c>
      <c r="B1154" s="7">
        <v>1053791580</v>
      </c>
      <c r="C1154" s="11">
        <v>46101.681030092601</v>
      </c>
      <c r="D1154" s="17" t="s">
        <v>4113</v>
      </c>
      <c r="E1154" t="str">
        <f>IF(COUNTIF($B$2:B1154,B1154)&gt;1,"Duplicado","Único")</f>
        <v>Duplicado</v>
      </c>
    </row>
    <row r="1155" spans="1:5" x14ac:dyDescent="0.25">
      <c r="A1155" s="15">
        <v>24678</v>
      </c>
      <c r="B1155" s="7">
        <v>1053796922</v>
      </c>
      <c r="C1155" s="11">
        <v>45859.373449074097</v>
      </c>
      <c r="D1155" s="17" t="s">
        <v>1089</v>
      </c>
      <c r="E1155" t="str">
        <f>IF(COUNTIF($B$2:B1155,B1155)&gt;1,"Duplicado","Único")</f>
        <v>Único</v>
      </c>
    </row>
    <row r="1156" spans="1:5" x14ac:dyDescent="0.25">
      <c r="A1156" s="15">
        <v>54304</v>
      </c>
      <c r="B1156" s="7">
        <v>1053797334</v>
      </c>
      <c r="C1156" s="11">
        <v>46057.437916666699</v>
      </c>
      <c r="D1156" s="17" t="s">
        <v>3709</v>
      </c>
      <c r="E1156" t="str">
        <f>IF(COUNTIF($B$2:B1156,B1156)&gt;1,"Duplicado","Único")</f>
        <v>Único</v>
      </c>
    </row>
    <row r="1157" spans="1:5" hidden="1" x14ac:dyDescent="0.25">
      <c r="A1157" s="15">
        <v>54304</v>
      </c>
      <c r="B1157" s="7">
        <v>1053797334</v>
      </c>
      <c r="C1157" s="11">
        <v>46014.389178240701</v>
      </c>
      <c r="D1157" s="17" t="s">
        <v>3070</v>
      </c>
      <c r="E1157" t="str">
        <f>IF(COUNTIF($B$2:B1157,B1157)&gt;1,"Duplicado","Único")</f>
        <v>Duplicado</v>
      </c>
    </row>
    <row r="1158" spans="1:5" x14ac:dyDescent="0.25">
      <c r="A1158" s="15">
        <v>3376</v>
      </c>
      <c r="B1158" s="7">
        <v>1053799149</v>
      </c>
      <c r="C1158" s="11">
        <v>46086.784745370402</v>
      </c>
      <c r="D1158" s="17" t="s">
        <v>3975</v>
      </c>
      <c r="E1158" t="str">
        <f>IF(COUNTIF($B$2:B1158,B1158)&gt;1,"Duplicado","Único")</f>
        <v>Único</v>
      </c>
    </row>
    <row r="1159" spans="1:5" hidden="1" x14ac:dyDescent="0.25">
      <c r="A1159" s="15">
        <v>3376</v>
      </c>
      <c r="B1159" s="7">
        <v>1053799149</v>
      </c>
      <c r="C1159" s="11">
        <v>46055.468402777798</v>
      </c>
      <c r="D1159" s="17" t="s">
        <v>3604</v>
      </c>
      <c r="E1159" t="str">
        <f>IF(COUNTIF($B$2:B1159,B1159)&gt;1,"Duplicado","Único")</f>
        <v>Duplicado</v>
      </c>
    </row>
    <row r="1160" spans="1:5" x14ac:dyDescent="0.25">
      <c r="A1160" s="15">
        <v>2574</v>
      </c>
      <c r="B1160" s="7">
        <v>1053805778</v>
      </c>
      <c r="C1160" s="11">
        <v>46086.752476851798</v>
      </c>
      <c r="D1160" s="17" t="s">
        <v>989</v>
      </c>
      <c r="E1160" t="str">
        <f>IF(COUNTIF($B$2:B1160,B1160)&gt;1,"Duplicado","Único")</f>
        <v>Único</v>
      </c>
    </row>
    <row r="1161" spans="1:5" hidden="1" x14ac:dyDescent="0.25">
      <c r="A1161" s="15">
        <v>2574</v>
      </c>
      <c r="B1161" s="7">
        <v>1053805778</v>
      </c>
      <c r="C1161" s="11">
        <v>46051.441099536998</v>
      </c>
      <c r="D1161" s="17" t="s">
        <v>3464</v>
      </c>
      <c r="E1161" t="str">
        <f>IF(COUNTIF($B$2:B1161,B1161)&gt;1,"Duplicado","Único")</f>
        <v>Duplicado</v>
      </c>
    </row>
    <row r="1162" spans="1:5" x14ac:dyDescent="0.25">
      <c r="A1162" s="15">
        <v>42764</v>
      </c>
      <c r="B1162" s="7">
        <v>1053807702</v>
      </c>
      <c r="C1162" s="11">
        <v>45954.530185185198</v>
      </c>
      <c r="D1162" s="17" t="s">
        <v>2063</v>
      </c>
      <c r="E1162" t="str">
        <f>IF(COUNTIF($B$2:B1162,B1162)&gt;1,"Duplicado","Único")</f>
        <v>Único</v>
      </c>
    </row>
    <row r="1163" spans="1:5" x14ac:dyDescent="0.25">
      <c r="A1163" s="15">
        <v>31201</v>
      </c>
      <c r="B1163" s="7">
        <v>1053808100</v>
      </c>
      <c r="C1163" s="11">
        <v>45903.700266203698</v>
      </c>
      <c r="D1163" s="17" t="s">
        <v>1516</v>
      </c>
      <c r="E1163" t="str">
        <f>IF(COUNTIF($B$2:B1163,B1163)&gt;1,"Duplicado","Único")</f>
        <v>Único</v>
      </c>
    </row>
    <row r="1164" spans="1:5" x14ac:dyDescent="0.25">
      <c r="A1164" s="15">
        <v>26418</v>
      </c>
      <c r="B1164" s="7">
        <v>1053812235</v>
      </c>
      <c r="C1164" s="11">
        <v>45867.441145833298</v>
      </c>
      <c r="D1164" s="17" t="s">
        <v>1200</v>
      </c>
      <c r="E1164" t="str">
        <f>IF(COUNTIF($B$2:B1164,B1164)&gt;1,"Duplicado","Único")</f>
        <v>Único</v>
      </c>
    </row>
    <row r="1165" spans="1:5" x14ac:dyDescent="0.25">
      <c r="A1165" s="15">
        <v>27561</v>
      </c>
      <c r="B1165" s="7">
        <v>1053817523</v>
      </c>
      <c r="C1165" s="11">
        <v>45874.678773148102</v>
      </c>
      <c r="D1165" s="17" t="s">
        <v>1277</v>
      </c>
      <c r="E1165" t="str">
        <f>IF(COUNTIF($B$2:B1165,B1165)&gt;1,"Duplicado","Único")</f>
        <v>Único</v>
      </c>
    </row>
    <row r="1166" spans="1:5" x14ac:dyDescent="0.25">
      <c r="A1166" s="15">
        <v>21591</v>
      </c>
      <c r="B1166" s="7">
        <v>1053819523</v>
      </c>
      <c r="C1166" s="11">
        <v>45825.374259259297</v>
      </c>
      <c r="D1166" s="17" t="s">
        <v>949</v>
      </c>
      <c r="E1166" t="str">
        <f>IF(COUNTIF($B$2:B1166,B1166)&gt;1,"Duplicado","Único")</f>
        <v>Único</v>
      </c>
    </row>
    <row r="1167" spans="1:5" x14ac:dyDescent="0.25">
      <c r="A1167" s="15">
        <v>41487</v>
      </c>
      <c r="B1167" s="7">
        <v>1053821495</v>
      </c>
      <c r="C1167" s="11">
        <v>45938.488877314798</v>
      </c>
      <c r="D1167" s="17" t="s">
        <v>1994</v>
      </c>
      <c r="E1167" t="str">
        <f>IF(COUNTIF($B$2:B1167,B1167)&gt;1,"Duplicado","Único")</f>
        <v>Único</v>
      </c>
    </row>
    <row r="1168" spans="1:5" x14ac:dyDescent="0.25">
      <c r="A1168" s="15">
        <v>47705</v>
      </c>
      <c r="B1168" s="7">
        <v>1053826138</v>
      </c>
      <c r="C1168" s="11">
        <v>45972.473587963003</v>
      </c>
      <c r="D1168" s="17" t="s">
        <v>2441</v>
      </c>
      <c r="E1168" t="str">
        <f>IF(COUNTIF($B$2:B1168,B1168)&gt;1,"Duplicado","Único")</f>
        <v>Único</v>
      </c>
    </row>
    <row r="1169" spans="1:5" x14ac:dyDescent="0.25">
      <c r="A1169" s="15">
        <v>50793</v>
      </c>
      <c r="B1169" s="7">
        <v>1053827138</v>
      </c>
      <c r="C1169" s="11">
        <v>46050.670868055597</v>
      </c>
      <c r="D1169" s="17" t="s">
        <v>3385</v>
      </c>
      <c r="E1169" t="str">
        <f>IF(COUNTIF($B$2:B1169,B1169)&gt;1,"Duplicado","Único")</f>
        <v>Único</v>
      </c>
    </row>
    <row r="1170" spans="1:5" hidden="1" x14ac:dyDescent="0.25">
      <c r="A1170" s="15">
        <v>50793</v>
      </c>
      <c r="B1170" s="7">
        <v>1053827138</v>
      </c>
      <c r="C1170" s="11">
        <v>45992.433229166701</v>
      </c>
      <c r="D1170" s="17" t="s">
        <v>2809</v>
      </c>
      <c r="E1170" t="str">
        <f>IF(COUNTIF($B$2:B1170,B1170)&gt;1,"Duplicado","Único")</f>
        <v>Duplicado</v>
      </c>
    </row>
    <row r="1171" spans="1:5" x14ac:dyDescent="0.25">
      <c r="A1171" s="15">
        <v>45772</v>
      </c>
      <c r="B1171" s="7">
        <v>1053832214</v>
      </c>
      <c r="C1171" s="11">
        <v>45960.637731481504</v>
      </c>
      <c r="D1171" s="17" t="s">
        <v>2257</v>
      </c>
      <c r="E1171" t="str">
        <f>IF(COUNTIF($B$2:B1171,B1171)&gt;1,"Duplicado","Único")</f>
        <v>Único</v>
      </c>
    </row>
    <row r="1172" spans="1:5" x14ac:dyDescent="0.25">
      <c r="A1172" s="15">
        <v>47303</v>
      </c>
      <c r="B1172" s="7">
        <v>1053833027</v>
      </c>
      <c r="C1172" s="11">
        <v>45971.466388888897</v>
      </c>
      <c r="D1172" s="17" t="s">
        <v>2410</v>
      </c>
      <c r="E1172" t="str">
        <f>IF(COUNTIF($B$2:B1172,B1172)&gt;1,"Duplicado","Único")</f>
        <v>Único</v>
      </c>
    </row>
    <row r="1173" spans="1:5" x14ac:dyDescent="0.25">
      <c r="A1173" s="15">
        <v>50254</v>
      </c>
      <c r="B1173" s="7">
        <v>1053836574</v>
      </c>
      <c r="C1173" s="11">
        <v>46050.604224536997</v>
      </c>
      <c r="D1173" s="17" t="s">
        <v>3303</v>
      </c>
      <c r="E1173" t="str">
        <f>IF(COUNTIF($B$2:B1173,B1173)&gt;1,"Duplicado","Único")</f>
        <v>Único</v>
      </c>
    </row>
    <row r="1174" spans="1:5" hidden="1" x14ac:dyDescent="0.25">
      <c r="A1174" s="15">
        <v>50254</v>
      </c>
      <c r="B1174" s="7">
        <v>1053836574</v>
      </c>
      <c r="C1174" s="11">
        <v>45987.453182870398</v>
      </c>
      <c r="D1174" s="17" t="s">
        <v>2739</v>
      </c>
      <c r="E1174" t="str">
        <f>IF(COUNTIF($B$2:B1174,B1174)&gt;1,"Duplicado","Único")</f>
        <v>Duplicado</v>
      </c>
    </row>
    <row r="1175" spans="1:5" x14ac:dyDescent="0.25">
      <c r="A1175" s="15">
        <v>14923</v>
      </c>
      <c r="B1175" s="7">
        <v>1053841080</v>
      </c>
      <c r="C1175" s="11">
        <v>46120.645057870403</v>
      </c>
      <c r="D1175" s="17" t="s">
        <v>4323</v>
      </c>
      <c r="E1175" t="str">
        <f>IF(COUNTIF($B$2:B1175,B1175)&gt;1,"Duplicado","Único")</f>
        <v>Único</v>
      </c>
    </row>
    <row r="1176" spans="1:5" hidden="1" x14ac:dyDescent="0.25">
      <c r="A1176" s="15">
        <v>14923</v>
      </c>
      <c r="B1176" s="7">
        <v>1053841080</v>
      </c>
      <c r="C1176" s="11">
        <v>46094.49</v>
      </c>
      <c r="D1176" s="17" t="s">
        <v>4049</v>
      </c>
      <c r="E1176" t="str">
        <f>IF(COUNTIF($B$2:B1176,B1176)&gt;1,"Duplicado","Único")</f>
        <v>Duplicado</v>
      </c>
    </row>
    <row r="1177" spans="1:5" x14ac:dyDescent="0.25">
      <c r="A1177" s="15">
        <v>50684</v>
      </c>
      <c r="B1177" s="7">
        <v>1053845073</v>
      </c>
      <c r="C1177" s="11">
        <v>46050.6715625</v>
      </c>
      <c r="D1177" s="17" t="s">
        <v>3386</v>
      </c>
      <c r="E1177" t="str">
        <f>IF(COUNTIF($B$2:B1177,B1177)&gt;1,"Duplicado","Único")</f>
        <v>Único</v>
      </c>
    </row>
    <row r="1178" spans="1:5" hidden="1" x14ac:dyDescent="0.25">
      <c r="A1178" s="15">
        <v>50684</v>
      </c>
      <c r="B1178" s="7">
        <v>1053845073</v>
      </c>
      <c r="C1178" s="11">
        <v>45992.354502314804</v>
      </c>
      <c r="D1178" s="17" t="s">
        <v>2803</v>
      </c>
      <c r="E1178" t="str">
        <f>IF(COUNTIF($B$2:B1178,B1178)&gt;1,"Duplicado","Único")</f>
        <v>Duplicado</v>
      </c>
    </row>
    <row r="1179" spans="1:5" x14ac:dyDescent="0.25">
      <c r="A1179" s="15">
        <v>50874</v>
      </c>
      <c r="B1179" s="7">
        <v>1053845363</v>
      </c>
      <c r="C1179" s="11">
        <v>46050.672118055598</v>
      </c>
      <c r="D1179" s="17" t="s">
        <v>3388</v>
      </c>
      <c r="E1179" t="str">
        <f>IF(COUNTIF($B$2:B1179,B1179)&gt;1,"Duplicado","Único")</f>
        <v>Único</v>
      </c>
    </row>
    <row r="1180" spans="1:5" hidden="1" x14ac:dyDescent="0.25">
      <c r="A1180" s="15">
        <v>50874</v>
      </c>
      <c r="B1180" s="7">
        <v>1053845363</v>
      </c>
      <c r="C1180" s="11">
        <v>45992.595081018502</v>
      </c>
      <c r="D1180" s="17" t="s">
        <v>2821</v>
      </c>
      <c r="E1180" t="str">
        <f>IF(COUNTIF($B$2:B1180,B1180)&gt;1,"Duplicado","Único")</f>
        <v>Duplicado</v>
      </c>
    </row>
    <row r="1181" spans="1:5" x14ac:dyDescent="0.25">
      <c r="A1181" s="15">
        <v>46326</v>
      </c>
      <c r="B1181" s="7">
        <v>1053847942</v>
      </c>
      <c r="C1181" s="11">
        <v>45965.628518518497</v>
      </c>
      <c r="D1181" s="17" t="s">
        <v>2324</v>
      </c>
      <c r="E1181" t="str">
        <f>IF(COUNTIF($B$2:B1181,B1181)&gt;1,"Duplicado","Único")</f>
        <v>Único</v>
      </c>
    </row>
    <row r="1182" spans="1:5" x14ac:dyDescent="0.25">
      <c r="A1182" s="15">
        <v>33433</v>
      </c>
      <c r="B1182" s="7">
        <v>1053848954</v>
      </c>
      <c r="C1182" s="11">
        <v>45915.405428240701</v>
      </c>
      <c r="D1182" s="17" t="s">
        <v>1699</v>
      </c>
      <c r="E1182" t="str">
        <f>IF(COUNTIF($B$2:B1182,B1182)&gt;1,"Duplicado","Único")</f>
        <v>Único</v>
      </c>
    </row>
    <row r="1183" spans="1:5" x14ac:dyDescent="0.25">
      <c r="A1183" s="15">
        <v>18370</v>
      </c>
      <c r="B1183" s="7">
        <v>1053855520</v>
      </c>
      <c r="C1183" s="11">
        <v>45800.642361111102</v>
      </c>
      <c r="D1183" s="17" t="s">
        <v>762</v>
      </c>
      <c r="E1183" t="str">
        <f>IF(COUNTIF($B$2:B1183,B1183)&gt;1,"Duplicado","Único")</f>
        <v>Único</v>
      </c>
    </row>
    <row r="1184" spans="1:5" x14ac:dyDescent="0.25">
      <c r="A1184" s="15">
        <v>25151</v>
      </c>
      <c r="B1184" s="7">
        <v>1053860026</v>
      </c>
      <c r="C1184" s="11">
        <v>45860.403703703698</v>
      </c>
      <c r="D1184" s="17" t="s">
        <v>1112</v>
      </c>
      <c r="E1184" t="str">
        <f>IF(COUNTIF($B$2:B1184,B1184)&gt;1,"Duplicado","Único")</f>
        <v>Único</v>
      </c>
    </row>
    <row r="1185" spans="1:5" x14ac:dyDescent="0.25">
      <c r="A1185" s="15">
        <v>41291</v>
      </c>
      <c r="B1185" s="7">
        <v>1053867046</v>
      </c>
      <c r="C1185" s="11">
        <v>45937.3610416667</v>
      </c>
      <c r="D1185" s="17" t="s">
        <v>1963</v>
      </c>
      <c r="E1185" t="str">
        <f>IF(COUNTIF($B$2:B1185,B1185)&gt;1,"Duplicado","Único")</f>
        <v>Único</v>
      </c>
    </row>
    <row r="1186" spans="1:5" x14ac:dyDescent="0.25">
      <c r="A1186" s="15">
        <v>14169</v>
      </c>
      <c r="B1186" s="7">
        <v>1054540169</v>
      </c>
      <c r="C1186" s="11">
        <v>46149.523865740703</v>
      </c>
      <c r="D1186" s="17" t="s">
        <v>4533</v>
      </c>
      <c r="E1186" t="str">
        <f>IF(COUNTIF($B$2:B1186,B1186)&gt;1,"Duplicado","Único")</f>
        <v>Único</v>
      </c>
    </row>
    <row r="1187" spans="1:5" hidden="1" x14ac:dyDescent="0.25">
      <c r="A1187" s="15">
        <v>14169</v>
      </c>
      <c r="B1187" s="7">
        <v>1054540169</v>
      </c>
      <c r="C1187" s="11">
        <v>46086.677187499998</v>
      </c>
      <c r="D1187" s="17" t="s">
        <v>3871</v>
      </c>
      <c r="E1187" t="str">
        <f>IF(COUNTIF($B$2:B1187,B1187)&gt;1,"Duplicado","Único")</f>
        <v>Duplicado</v>
      </c>
    </row>
    <row r="1188" spans="1:5" x14ac:dyDescent="0.25">
      <c r="A1188" s="15">
        <v>41563</v>
      </c>
      <c r="B1188" s="7">
        <v>1054564147</v>
      </c>
      <c r="C1188" s="11">
        <v>45938.438206018502</v>
      </c>
      <c r="D1188" s="17" t="s">
        <v>1988</v>
      </c>
      <c r="E1188" t="str">
        <f>IF(COUNTIF($B$2:B1188,B1188)&gt;1,"Duplicado","Único")</f>
        <v>Único</v>
      </c>
    </row>
    <row r="1189" spans="1:5" x14ac:dyDescent="0.25">
      <c r="A1189" s="15">
        <v>32909</v>
      </c>
      <c r="B1189" s="7">
        <v>1054658156</v>
      </c>
      <c r="C1189" s="11">
        <v>45911.379699074103</v>
      </c>
      <c r="D1189" s="17" t="s">
        <v>1656</v>
      </c>
      <c r="E1189" t="str">
        <f>IF(COUNTIF($B$2:B1189,B1189)&gt;1,"Duplicado","Único")</f>
        <v>Único</v>
      </c>
    </row>
    <row r="1190" spans="1:5" x14ac:dyDescent="0.25">
      <c r="A1190" s="15">
        <v>3752</v>
      </c>
      <c r="B1190" s="7">
        <v>1054680223</v>
      </c>
      <c r="C1190" s="11">
        <v>46086.7659375</v>
      </c>
      <c r="D1190" s="17" t="s">
        <v>1001</v>
      </c>
      <c r="E1190" t="str">
        <f>IF(COUNTIF($B$2:B1190,B1190)&gt;1,"Duplicado","Único")</f>
        <v>Único</v>
      </c>
    </row>
    <row r="1191" spans="1:5" hidden="1" x14ac:dyDescent="0.25">
      <c r="A1191" s="15">
        <v>3752</v>
      </c>
      <c r="B1191" s="7">
        <v>1054680223</v>
      </c>
      <c r="C1191" s="11">
        <v>46052.523923611101</v>
      </c>
      <c r="D1191" s="17" t="s">
        <v>3572</v>
      </c>
      <c r="E1191" t="str">
        <f>IF(COUNTIF($B$2:B1191,B1191)&gt;1,"Duplicado","Único")</f>
        <v>Duplicado</v>
      </c>
    </row>
    <row r="1192" spans="1:5" x14ac:dyDescent="0.25">
      <c r="A1192" s="15">
        <v>26958</v>
      </c>
      <c r="B1192" s="7">
        <v>1054924285</v>
      </c>
      <c r="C1192" s="11">
        <v>45874.356874999998</v>
      </c>
      <c r="D1192" s="17" t="s">
        <v>1233</v>
      </c>
      <c r="E1192" t="str">
        <f>IF(COUNTIF($B$2:B1192,B1192)&gt;1,"Duplicado","Único")</f>
        <v>Único</v>
      </c>
    </row>
    <row r="1193" spans="1:5" x14ac:dyDescent="0.25">
      <c r="A1193" s="15">
        <v>27326</v>
      </c>
      <c r="B1193" s="7">
        <v>1054987635</v>
      </c>
      <c r="C1193" s="11">
        <v>45874.538784722201</v>
      </c>
      <c r="D1193" s="17" t="s">
        <v>1263</v>
      </c>
      <c r="E1193" t="str">
        <f>IF(COUNTIF($B$2:B1193,B1193)&gt;1,"Duplicado","Único")</f>
        <v>Único</v>
      </c>
    </row>
    <row r="1194" spans="1:5" x14ac:dyDescent="0.25">
      <c r="A1194" s="15">
        <v>49646</v>
      </c>
      <c r="B1194" s="7">
        <v>1054996664</v>
      </c>
      <c r="C1194" s="11">
        <v>46050.4522222222</v>
      </c>
      <c r="D1194" s="17" t="s">
        <v>3248</v>
      </c>
      <c r="E1194" t="str">
        <f>IF(COUNTIF($B$2:B1194,B1194)&gt;1,"Duplicado","Único")</f>
        <v>Único</v>
      </c>
    </row>
    <row r="1195" spans="1:5" hidden="1" x14ac:dyDescent="0.25">
      <c r="A1195" s="15">
        <v>49646</v>
      </c>
      <c r="B1195" s="7">
        <v>1054996664</v>
      </c>
      <c r="C1195" s="11">
        <v>45985.386458333298</v>
      </c>
      <c r="D1195" s="17" t="s">
        <v>2682</v>
      </c>
      <c r="E1195" t="str">
        <f>IF(COUNTIF($B$2:B1195,B1195)&gt;1,"Duplicado","Único")</f>
        <v>Duplicado</v>
      </c>
    </row>
    <row r="1196" spans="1:5" x14ac:dyDescent="0.25">
      <c r="A1196" s="15">
        <v>23938</v>
      </c>
      <c r="B1196" s="7">
        <v>1054997806</v>
      </c>
      <c r="C1196" s="11">
        <v>45852.525798611103</v>
      </c>
      <c r="D1196" s="17" t="s">
        <v>1068</v>
      </c>
      <c r="E1196" t="str">
        <f>IF(COUNTIF($B$2:B1196,B1196)&gt;1,"Duplicado","Único")</f>
        <v>Único</v>
      </c>
    </row>
    <row r="1197" spans="1:5" x14ac:dyDescent="0.25">
      <c r="A1197" s="15">
        <v>38158</v>
      </c>
      <c r="B1197" s="7">
        <v>1055272239</v>
      </c>
      <c r="C1197" s="11">
        <v>45925.3756712963</v>
      </c>
      <c r="D1197" s="17" t="s">
        <v>1821</v>
      </c>
      <c r="E1197" t="str">
        <f>IF(COUNTIF($B$2:B1197,B1197)&gt;1,"Duplicado","Único")</f>
        <v>Único</v>
      </c>
    </row>
    <row r="1198" spans="1:5" x14ac:dyDescent="0.25">
      <c r="A1198" s="15">
        <v>49964</v>
      </c>
      <c r="B1198" s="7">
        <v>1055314419</v>
      </c>
      <c r="C1198" s="11">
        <v>46050.490821759297</v>
      </c>
      <c r="D1198" s="17" t="s">
        <v>3271</v>
      </c>
      <c r="E1198" t="str">
        <f>IF(COUNTIF($B$2:B1198,B1198)&gt;1,"Duplicado","Único")</f>
        <v>Único</v>
      </c>
    </row>
    <row r="1199" spans="1:5" hidden="1" x14ac:dyDescent="0.25">
      <c r="A1199" s="15">
        <v>49964</v>
      </c>
      <c r="B1199" s="7">
        <v>1055314419</v>
      </c>
      <c r="C1199" s="11">
        <v>45986.385115740697</v>
      </c>
      <c r="D1199" s="17" t="s">
        <v>2710</v>
      </c>
      <c r="E1199" t="str">
        <f>IF(COUNTIF($B$2:B1199,B1199)&gt;1,"Duplicado","Único")</f>
        <v>Duplicado</v>
      </c>
    </row>
    <row r="1200" spans="1:5" x14ac:dyDescent="0.25">
      <c r="A1200" s="15">
        <v>46665</v>
      </c>
      <c r="B1200" s="7">
        <v>1055333209</v>
      </c>
      <c r="C1200" s="11">
        <v>45966.674155092602</v>
      </c>
      <c r="D1200" s="17" t="s">
        <v>2346</v>
      </c>
      <c r="E1200" t="str">
        <f>IF(COUNTIF($B$2:B1200,B1200)&gt;1,"Duplicado","Único")</f>
        <v>Único</v>
      </c>
    </row>
    <row r="1201" spans="1:5" x14ac:dyDescent="0.25">
      <c r="A1201" s="15">
        <v>17031</v>
      </c>
      <c r="B1201" s="7">
        <v>1055962844</v>
      </c>
      <c r="C1201" s="11">
        <v>46149.472569444399</v>
      </c>
      <c r="D1201" s="17" t="s">
        <v>4502</v>
      </c>
      <c r="E1201" t="str">
        <f>IF(COUNTIF($B$2:B1201,B1201)&gt;1,"Duplicado","Único")</f>
        <v>Único</v>
      </c>
    </row>
    <row r="1202" spans="1:5" hidden="1" x14ac:dyDescent="0.25">
      <c r="A1202" s="15">
        <v>17031</v>
      </c>
      <c r="B1202" s="7">
        <v>1055962844</v>
      </c>
      <c r="C1202" s="11">
        <v>46108.501828703702</v>
      </c>
      <c r="D1202" s="17" t="s">
        <v>4203</v>
      </c>
      <c r="E1202" t="str">
        <f>IF(COUNTIF($B$2:B1202,B1202)&gt;1,"Duplicado","Único")</f>
        <v>Duplicado</v>
      </c>
    </row>
    <row r="1203" spans="1:5" x14ac:dyDescent="0.25">
      <c r="A1203" s="15">
        <v>47880</v>
      </c>
      <c r="B1203" s="7">
        <v>1057215528</v>
      </c>
      <c r="C1203" s="11">
        <v>45973.670138888898</v>
      </c>
      <c r="D1203" s="17" t="s">
        <v>2474</v>
      </c>
      <c r="E1203" t="str">
        <f>IF(COUNTIF($B$2:B1203,B1203)&gt;1,"Duplicado","Único")</f>
        <v>Único</v>
      </c>
    </row>
    <row r="1204" spans="1:5" x14ac:dyDescent="0.25">
      <c r="A1204" s="15">
        <v>52003</v>
      </c>
      <c r="B1204" s="7">
        <v>1057413025</v>
      </c>
      <c r="C1204" s="11">
        <v>46051.496307870402</v>
      </c>
      <c r="D1204" s="17" t="s">
        <v>3504</v>
      </c>
      <c r="E1204" t="str">
        <f>IF(COUNTIF($B$2:B1204,B1204)&gt;1,"Duplicado","Único")</f>
        <v>Único</v>
      </c>
    </row>
    <row r="1205" spans="1:5" hidden="1" x14ac:dyDescent="0.25">
      <c r="A1205" s="15">
        <v>52003</v>
      </c>
      <c r="B1205" s="7">
        <v>1057413025</v>
      </c>
      <c r="C1205" s="11">
        <v>46003.693993055596</v>
      </c>
      <c r="D1205" s="17" t="s">
        <v>2924</v>
      </c>
      <c r="E1205" t="str">
        <f>IF(COUNTIF($B$2:B1205,B1205)&gt;1,"Duplicado","Único")</f>
        <v>Duplicado</v>
      </c>
    </row>
    <row r="1206" spans="1:5" x14ac:dyDescent="0.25">
      <c r="A1206" s="15">
        <v>29955</v>
      </c>
      <c r="B1206" s="7">
        <v>1057578948</v>
      </c>
      <c r="C1206" s="11">
        <v>45898.465925925899</v>
      </c>
      <c r="D1206" s="17" t="s">
        <v>1455</v>
      </c>
      <c r="E1206" t="str">
        <f>IF(COUNTIF($B$2:B1206,B1206)&gt;1,"Duplicado","Único")</f>
        <v>Único</v>
      </c>
    </row>
    <row r="1207" spans="1:5" x14ac:dyDescent="0.25">
      <c r="A1207" s="15">
        <v>31141</v>
      </c>
      <c r="B1207" s="7">
        <v>1057592102</v>
      </c>
      <c r="C1207" s="11">
        <v>45903.689363425903</v>
      </c>
      <c r="D1207" s="17" t="s">
        <v>1513</v>
      </c>
      <c r="E1207" t="str">
        <f>IF(COUNTIF($B$2:B1207,B1207)&gt;1,"Duplicado","Único")</f>
        <v>Único</v>
      </c>
    </row>
    <row r="1208" spans="1:5" x14ac:dyDescent="0.25">
      <c r="A1208" s="15">
        <v>50790</v>
      </c>
      <c r="B1208" s="7">
        <v>1057595598</v>
      </c>
      <c r="C1208" s="11">
        <v>46050.672812500001</v>
      </c>
      <c r="D1208" s="17" t="s">
        <v>3389</v>
      </c>
      <c r="E1208" t="str">
        <f>IF(COUNTIF($B$2:B1208,B1208)&gt;1,"Duplicado","Único")</f>
        <v>Único</v>
      </c>
    </row>
    <row r="1209" spans="1:5" hidden="1" x14ac:dyDescent="0.25">
      <c r="A1209" s="15">
        <v>50790</v>
      </c>
      <c r="B1209" s="7">
        <v>1057595598</v>
      </c>
      <c r="C1209" s="11">
        <v>45992.401481481502</v>
      </c>
      <c r="D1209" s="17" t="s">
        <v>2808</v>
      </c>
      <c r="E1209" t="str">
        <f>IF(COUNTIF($B$2:B1209,B1209)&gt;1,"Duplicado","Único")</f>
        <v>Duplicado</v>
      </c>
    </row>
    <row r="1210" spans="1:5" x14ac:dyDescent="0.25">
      <c r="A1210" s="15">
        <v>38585</v>
      </c>
      <c r="B1210" s="7">
        <v>1057603564</v>
      </c>
      <c r="C1210" s="11">
        <v>45926.410706018498</v>
      </c>
      <c r="D1210" s="17" t="s">
        <v>1839</v>
      </c>
      <c r="E1210" t="str">
        <f>IF(COUNTIF($B$2:B1210,B1210)&gt;1,"Duplicado","Único")</f>
        <v>Único</v>
      </c>
    </row>
    <row r="1211" spans="1:5" x14ac:dyDescent="0.25">
      <c r="A1211" s="15">
        <v>49620</v>
      </c>
      <c r="B1211" s="7">
        <v>1057604144</v>
      </c>
      <c r="C1211" s="11">
        <v>46050.4532638889</v>
      </c>
      <c r="D1211" s="17" t="s">
        <v>3249</v>
      </c>
      <c r="E1211" t="str">
        <f>IF(COUNTIF($B$2:B1211,B1211)&gt;1,"Duplicado","Único")</f>
        <v>Único</v>
      </c>
    </row>
    <row r="1212" spans="1:5" hidden="1" x14ac:dyDescent="0.25">
      <c r="A1212" s="15">
        <v>49620</v>
      </c>
      <c r="B1212" s="7">
        <v>1057604144</v>
      </c>
      <c r="C1212" s="11">
        <v>45985.4789930556</v>
      </c>
      <c r="D1212" s="17" t="s">
        <v>2689</v>
      </c>
      <c r="E1212" t="str">
        <f>IF(COUNTIF($B$2:B1212,B1212)&gt;1,"Duplicado","Único")</f>
        <v>Duplicado</v>
      </c>
    </row>
    <row r="1213" spans="1:5" x14ac:dyDescent="0.25">
      <c r="A1213" s="15">
        <v>919</v>
      </c>
      <c r="B1213" s="7">
        <v>1057607758</v>
      </c>
      <c r="C1213" s="11">
        <v>46086.517071759299</v>
      </c>
      <c r="D1213" s="17" t="s">
        <v>3833</v>
      </c>
      <c r="E1213" t="str">
        <f>IF(COUNTIF($B$2:B1213,B1213)&gt;1,"Duplicado","Único")</f>
        <v>Único</v>
      </c>
    </row>
    <row r="1214" spans="1:5" hidden="1" x14ac:dyDescent="0.25">
      <c r="A1214" s="15">
        <v>919</v>
      </c>
      <c r="B1214" s="7">
        <v>1057607758</v>
      </c>
      <c r="C1214" s="11">
        <v>46035.595555555599</v>
      </c>
      <c r="D1214" s="17" t="s">
        <v>3154</v>
      </c>
      <c r="E1214" t="str">
        <f>IF(COUNTIF($B$2:B1214,B1214)&gt;1,"Duplicado","Único")</f>
        <v>Duplicado</v>
      </c>
    </row>
    <row r="1215" spans="1:5" x14ac:dyDescent="0.25">
      <c r="A1215" s="15">
        <v>19311</v>
      </c>
      <c r="B1215" s="7">
        <v>1057784954</v>
      </c>
      <c r="C1215" s="11">
        <v>45813.758055555598</v>
      </c>
      <c r="D1215" s="17" t="s">
        <v>823</v>
      </c>
      <c r="E1215" t="str">
        <f>IF(COUNTIF($B$2:B1215,B1215)&gt;1,"Duplicado","Único")</f>
        <v>Único</v>
      </c>
    </row>
    <row r="1216" spans="1:5" x14ac:dyDescent="0.25">
      <c r="A1216" s="15">
        <v>2474</v>
      </c>
      <c r="B1216" s="7">
        <v>1058274228</v>
      </c>
      <c r="C1216" s="11">
        <v>46086.720891203702</v>
      </c>
      <c r="D1216" s="17" t="s">
        <v>3905</v>
      </c>
      <c r="E1216" t="str">
        <f>IF(COUNTIF($B$2:B1216,B1216)&gt;1,"Duplicado","Único")</f>
        <v>Único</v>
      </c>
    </row>
    <row r="1217" spans="1:5" hidden="1" x14ac:dyDescent="0.25">
      <c r="A1217" s="15">
        <v>2474</v>
      </c>
      <c r="B1217" s="7">
        <v>1058274228</v>
      </c>
      <c r="C1217" s="11">
        <v>46049.6085185185</v>
      </c>
      <c r="D1217" s="17" t="s">
        <v>3223</v>
      </c>
      <c r="E1217" t="str">
        <f>IF(COUNTIF($B$2:B1217,B1217)&gt;1,"Duplicado","Único")</f>
        <v>Duplicado</v>
      </c>
    </row>
    <row r="1218" spans="1:5" x14ac:dyDescent="0.25">
      <c r="A1218" s="15">
        <v>44724</v>
      </c>
      <c r="B1218" s="7">
        <v>1058325348</v>
      </c>
      <c r="C1218" s="11">
        <v>45958.752453703702</v>
      </c>
      <c r="D1218" s="17" t="s">
        <v>2205</v>
      </c>
      <c r="E1218" t="str">
        <f>IF(COUNTIF($B$2:B1218,B1218)&gt;1,"Duplicado","Único")</f>
        <v>Único</v>
      </c>
    </row>
    <row r="1219" spans="1:5" x14ac:dyDescent="0.25">
      <c r="A1219" s="15">
        <v>50385</v>
      </c>
      <c r="B1219" s="7">
        <v>1060266477</v>
      </c>
      <c r="C1219" s="11">
        <v>46050.621354166702</v>
      </c>
      <c r="D1219" s="17" t="s">
        <v>3331</v>
      </c>
      <c r="E1219" t="str">
        <f>IF(COUNTIF($B$2:B1219,B1219)&gt;1,"Duplicado","Único")</f>
        <v>Único</v>
      </c>
    </row>
    <row r="1220" spans="1:5" hidden="1" x14ac:dyDescent="0.25">
      <c r="A1220" s="15">
        <v>50385</v>
      </c>
      <c r="B1220" s="7">
        <v>1060266477</v>
      </c>
      <c r="C1220" s="11">
        <v>45988.384409722203</v>
      </c>
      <c r="D1220" s="17" t="s">
        <v>2755</v>
      </c>
      <c r="E1220" t="str">
        <f>IF(COUNTIF($B$2:B1220,B1220)&gt;1,"Duplicado","Único")</f>
        <v>Duplicado</v>
      </c>
    </row>
    <row r="1221" spans="1:5" x14ac:dyDescent="0.25">
      <c r="A1221" s="15">
        <v>16481</v>
      </c>
      <c r="B1221" s="7">
        <v>1060654128</v>
      </c>
      <c r="C1221" s="11">
        <v>46121.490648148101</v>
      </c>
      <c r="D1221" s="17" t="s">
        <v>4400</v>
      </c>
      <c r="E1221" t="str">
        <f>IF(COUNTIF($B$2:B1221,B1221)&gt;1,"Duplicado","Único")</f>
        <v>Único</v>
      </c>
    </row>
    <row r="1222" spans="1:5" hidden="1" x14ac:dyDescent="0.25">
      <c r="A1222" s="15">
        <v>16481</v>
      </c>
      <c r="B1222" s="7">
        <v>1060654128</v>
      </c>
      <c r="C1222" s="11">
        <v>46101.823229166701</v>
      </c>
      <c r="D1222" s="17" t="s">
        <v>4156</v>
      </c>
      <c r="E1222" t="str">
        <f>IF(COUNTIF($B$2:B1222,B1222)&gt;1,"Duplicado","Único")</f>
        <v>Duplicado</v>
      </c>
    </row>
    <row r="1223" spans="1:5" x14ac:dyDescent="0.25">
      <c r="A1223" s="15">
        <v>32374</v>
      </c>
      <c r="B1223" s="7">
        <v>1060655735</v>
      </c>
      <c r="C1223" s="11">
        <v>45908.520243055602</v>
      </c>
      <c r="D1223" s="17" t="s">
        <v>1610</v>
      </c>
      <c r="E1223" t="str">
        <f>IF(COUNTIF($B$2:B1223,B1223)&gt;1,"Duplicado","Único")</f>
        <v>Único</v>
      </c>
    </row>
    <row r="1224" spans="1:5" x14ac:dyDescent="0.25">
      <c r="A1224" s="15">
        <v>33951</v>
      </c>
      <c r="B1224" s="7">
        <v>1061220717</v>
      </c>
      <c r="C1224" s="11">
        <v>45916.417835648099</v>
      </c>
      <c r="D1224" s="17" t="s">
        <v>1717</v>
      </c>
      <c r="E1224" t="str">
        <f>IF(COUNTIF($B$2:B1224,B1224)&gt;1,"Duplicado","Único")</f>
        <v>Único</v>
      </c>
    </row>
    <row r="1225" spans="1:5" x14ac:dyDescent="0.25">
      <c r="A1225" s="15">
        <v>16326</v>
      </c>
      <c r="B1225" s="7">
        <v>1061686941</v>
      </c>
      <c r="C1225" s="11">
        <v>46121.491180555597</v>
      </c>
      <c r="D1225" s="17" t="s">
        <v>4401</v>
      </c>
      <c r="E1225" t="str">
        <f>IF(COUNTIF($B$2:B1225,B1225)&gt;1,"Duplicado","Único")</f>
        <v>Único</v>
      </c>
    </row>
    <row r="1226" spans="1:5" hidden="1" x14ac:dyDescent="0.25">
      <c r="A1226" s="15">
        <v>16326</v>
      </c>
      <c r="B1226" s="7">
        <v>1061686941</v>
      </c>
      <c r="C1226" s="11">
        <v>46101.812013888899</v>
      </c>
      <c r="D1226" s="17" t="s">
        <v>4142</v>
      </c>
      <c r="E1226" t="str">
        <f>IF(COUNTIF($B$2:B1226,B1226)&gt;1,"Duplicado","Único")</f>
        <v>Duplicado</v>
      </c>
    </row>
    <row r="1227" spans="1:5" x14ac:dyDescent="0.25">
      <c r="A1227" s="15">
        <v>17726</v>
      </c>
      <c r="B1227" s="7">
        <v>1061693674</v>
      </c>
      <c r="C1227" s="11">
        <v>46149.473113425898</v>
      </c>
      <c r="D1227" s="17" t="s">
        <v>1391</v>
      </c>
      <c r="E1227" t="str">
        <f>IF(COUNTIF($B$2:B1227,B1227)&gt;1,"Duplicado","Único")</f>
        <v>Único</v>
      </c>
    </row>
    <row r="1228" spans="1:5" hidden="1" x14ac:dyDescent="0.25">
      <c r="A1228" s="15">
        <v>17726</v>
      </c>
      <c r="B1228" s="7">
        <v>1061693674</v>
      </c>
      <c r="C1228" s="11">
        <v>46108.826898148101</v>
      </c>
      <c r="D1228" s="17" t="s">
        <v>4231</v>
      </c>
      <c r="E1228" t="str">
        <f>IF(COUNTIF($B$2:B1228,B1228)&gt;1,"Duplicado","Único")</f>
        <v>Duplicado</v>
      </c>
    </row>
    <row r="1229" spans="1:5" hidden="1" x14ac:dyDescent="0.25">
      <c r="A1229" s="15">
        <v>43499</v>
      </c>
      <c r="B1229" s="7">
        <v>1061693674</v>
      </c>
      <c r="C1229" s="11">
        <v>45957.420150462996</v>
      </c>
      <c r="D1229" s="17" t="s">
        <v>2090</v>
      </c>
      <c r="E1229" t="str">
        <f>IF(COUNTIF($B$2:B1229,B1229)&gt;1,"Duplicado","Único")</f>
        <v>Duplicado</v>
      </c>
    </row>
    <row r="1230" spans="1:5" x14ac:dyDescent="0.25">
      <c r="A1230" s="15">
        <v>17891</v>
      </c>
      <c r="B1230" s="7">
        <v>1061698683</v>
      </c>
      <c r="C1230" s="11">
        <v>45820.658715277801</v>
      </c>
      <c r="D1230" s="17" t="s">
        <v>894</v>
      </c>
      <c r="E1230" t="str">
        <f>IF(COUNTIF($B$2:B1230,B1230)&gt;1,"Duplicado","Único")</f>
        <v>Único</v>
      </c>
    </row>
    <row r="1231" spans="1:5" hidden="1" x14ac:dyDescent="0.25">
      <c r="A1231" s="15">
        <v>17891</v>
      </c>
      <c r="B1231" s="7">
        <v>1061698683</v>
      </c>
      <c r="C1231" s="11">
        <v>45804.411840277797</v>
      </c>
      <c r="D1231" s="17" t="s">
        <v>782</v>
      </c>
      <c r="E1231" t="str">
        <f>IF(COUNTIF($B$2:B1231,B1231)&gt;1,"Duplicado","Único")</f>
        <v>Duplicado</v>
      </c>
    </row>
    <row r="1232" spans="1:5" hidden="1" x14ac:dyDescent="0.25">
      <c r="A1232" s="15">
        <v>17891</v>
      </c>
      <c r="B1232" s="7">
        <v>1061698683</v>
      </c>
      <c r="C1232" s="11">
        <v>45797.722627314797</v>
      </c>
      <c r="D1232" s="17" t="s">
        <v>731</v>
      </c>
      <c r="E1232" t="str">
        <f>IF(COUNTIF($B$2:B1232,B1232)&gt;1,"Duplicado","Único")</f>
        <v>Duplicado</v>
      </c>
    </row>
    <row r="1233" spans="1:5" x14ac:dyDescent="0.25">
      <c r="A1233" s="15">
        <v>43167</v>
      </c>
      <c r="B1233" s="7">
        <v>1061699909</v>
      </c>
      <c r="C1233" s="11">
        <v>45953.520069444399</v>
      </c>
      <c r="D1233" s="17" t="s">
        <v>2050</v>
      </c>
      <c r="E1233" t="str">
        <f>IF(COUNTIF($B$2:B1233,B1233)&gt;1,"Duplicado","Único")</f>
        <v>Único</v>
      </c>
    </row>
    <row r="1234" spans="1:5" x14ac:dyDescent="0.25">
      <c r="A1234" s="15">
        <v>21954</v>
      </c>
      <c r="B1234" s="7">
        <v>1061721710</v>
      </c>
      <c r="C1234" s="11">
        <v>45834.593518518501</v>
      </c>
      <c r="D1234" s="17" t="s">
        <v>978</v>
      </c>
      <c r="E1234" t="str">
        <f>IF(COUNTIF($B$2:B1234,B1234)&gt;1,"Duplicado","Único")</f>
        <v>Único</v>
      </c>
    </row>
    <row r="1235" spans="1:5" x14ac:dyDescent="0.25">
      <c r="A1235" s="15">
        <v>23153</v>
      </c>
      <c r="B1235" s="7">
        <v>1061722623</v>
      </c>
      <c r="C1235" s="11">
        <v>45842.419236111098</v>
      </c>
      <c r="D1235" s="17" t="s">
        <v>1039</v>
      </c>
      <c r="E1235" t="str">
        <f>IF(COUNTIF($B$2:B1235,B1235)&gt;1,"Duplicado","Único")</f>
        <v>Único</v>
      </c>
    </row>
    <row r="1236" spans="1:5" x14ac:dyDescent="0.25">
      <c r="A1236" s="15">
        <v>39838</v>
      </c>
      <c r="B1236" s="7">
        <v>1061733599</v>
      </c>
      <c r="C1236" s="11">
        <v>45931.453402777799</v>
      </c>
      <c r="D1236" s="17" t="s">
        <v>1911</v>
      </c>
      <c r="E1236" t="str">
        <f>IF(COUNTIF($B$2:B1236,B1236)&gt;1,"Duplicado","Único")</f>
        <v>Único</v>
      </c>
    </row>
    <row r="1237" spans="1:5" x14ac:dyDescent="0.25">
      <c r="A1237" s="15">
        <v>32790</v>
      </c>
      <c r="B1237" s="7">
        <v>1061744560</v>
      </c>
      <c r="C1237" s="11">
        <v>45910.418333333299</v>
      </c>
      <c r="D1237" s="17" t="s">
        <v>1642</v>
      </c>
      <c r="E1237" t="str">
        <f>IF(COUNTIF($B$2:B1237,B1237)&gt;1,"Duplicado","Único")</f>
        <v>Único</v>
      </c>
    </row>
    <row r="1238" spans="1:5" x14ac:dyDescent="0.25">
      <c r="A1238" s="15">
        <v>32980</v>
      </c>
      <c r="B1238" s="7">
        <v>1061753770</v>
      </c>
      <c r="C1238" s="11">
        <v>45911.5171064815</v>
      </c>
      <c r="D1238" s="17" t="s">
        <v>1673</v>
      </c>
      <c r="E1238" t="str">
        <f>IF(COUNTIF($B$2:B1238,B1238)&gt;1,"Duplicado","Único")</f>
        <v>Único</v>
      </c>
    </row>
    <row r="1239" spans="1:5" x14ac:dyDescent="0.25">
      <c r="A1239" s="15">
        <v>39782</v>
      </c>
      <c r="B1239" s="7">
        <v>1061759762</v>
      </c>
      <c r="C1239" s="11">
        <v>45931.372824074097</v>
      </c>
      <c r="D1239" s="17" t="s">
        <v>1899</v>
      </c>
      <c r="E1239" t="str">
        <f>IF(COUNTIF($B$2:B1239,B1239)&gt;1,"Duplicado","Único")</f>
        <v>Único</v>
      </c>
    </row>
    <row r="1240" spans="1:5" x14ac:dyDescent="0.25">
      <c r="A1240" s="15">
        <v>24698</v>
      </c>
      <c r="B1240" s="7">
        <v>1061763225</v>
      </c>
      <c r="C1240" s="11">
        <v>45859.375983796301</v>
      </c>
      <c r="D1240" s="17" t="s">
        <v>1091</v>
      </c>
      <c r="E1240" t="str">
        <f>IF(COUNTIF($B$2:B1240,B1240)&gt;1,"Duplicado","Único")</f>
        <v>Único</v>
      </c>
    </row>
    <row r="1241" spans="1:5" x14ac:dyDescent="0.25">
      <c r="A1241" s="15">
        <v>53926</v>
      </c>
      <c r="B1241" s="7">
        <v>1061763623</v>
      </c>
      <c r="C1241" s="11">
        <v>46057.373645833301</v>
      </c>
      <c r="D1241" s="17" t="s">
        <v>3659</v>
      </c>
      <c r="E1241" t="str">
        <f>IF(COUNTIF($B$2:B1241,B1241)&gt;1,"Duplicado","Único")</f>
        <v>Único</v>
      </c>
    </row>
    <row r="1242" spans="1:5" hidden="1" x14ac:dyDescent="0.25">
      <c r="A1242" s="15">
        <v>53926</v>
      </c>
      <c r="B1242" s="7">
        <v>1061763623</v>
      </c>
      <c r="C1242" s="11">
        <v>46013.615844907399</v>
      </c>
      <c r="D1242" s="17" t="s">
        <v>3048</v>
      </c>
      <c r="E1242" t="str">
        <f>IF(COUNTIF($B$2:B1242,B1242)&gt;1,"Duplicado","Único")</f>
        <v>Duplicado</v>
      </c>
    </row>
    <row r="1243" spans="1:5" x14ac:dyDescent="0.25">
      <c r="A1243" s="15">
        <v>49868</v>
      </c>
      <c r="B1243" s="7">
        <v>1061769958</v>
      </c>
      <c r="C1243" s="11">
        <v>46050.491747685199</v>
      </c>
      <c r="D1243" s="17" t="s">
        <v>3272</v>
      </c>
      <c r="E1243" t="str">
        <f>IF(COUNTIF($B$2:B1243,B1243)&gt;1,"Duplicado","Único")</f>
        <v>Único</v>
      </c>
    </row>
    <row r="1244" spans="1:5" hidden="1" x14ac:dyDescent="0.25">
      <c r="A1244" s="15">
        <v>49868</v>
      </c>
      <c r="B1244" s="7">
        <v>1061769958</v>
      </c>
      <c r="C1244" s="11">
        <v>45986.354849536998</v>
      </c>
      <c r="D1244" s="17" t="s">
        <v>2702</v>
      </c>
      <c r="E1244" t="str">
        <f>IF(COUNTIF($B$2:B1244,B1244)&gt;1,"Duplicado","Único")</f>
        <v>Duplicado</v>
      </c>
    </row>
    <row r="1245" spans="1:5" x14ac:dyDescent="0.25">
      <c r="A1245" s="15">
        <v>46708</v>
      </c>
      <c r="B1245" s="7">
        <v>1061780982</v>
      </c>
      <c r="C1245" s="11">
        <v>45967.670474537001</v>
      </c>
      <c r="D1245" s="17" t="s">
        <v>2350</v>
      </c>
      <c r="E1245" t="str">
        <f>IF(COUNTIF($B$2:B1245,B1245)&gt;1,"Duplicado","Único")</f>
        <v>Único</v>
      </c>
    </row>
    <row r="1246" spans="1:5" x14ac:dyDescent="0.25">
      <c r="A1246" s="15">
        <v>19029</v>
      </c>
      <c r="B1246" s="7">
        <v>1061782759</v>
      </c>
      <c r="C1246" s="11">
        <v>45813.706990740699</v>
      </c>
      <c r="D1246" s="17" t="s">
        <v>808</v>
      </c>
      <c r="E1246" t="str">
        <f>IF(COUNTIF($B$2:B1246,B1246)&gt;1,"Duplicado","Único")</f>
        <v>Único</v>
      </c>
    </row>
    <row r="1247" spans="1:5" x14ac:dyDescent="0.25">
      <c r="A1247" s="15">
        <v>15291</v>
      </c>
      <c r="B1247" s="7">
        <v>1061787052</v>
      </c>
      <c r="C1247" s="11">
        <v>46120.645543981504</v>
      </c>
      <c r="D1247" s="17" t="s">
        <v>4324</v>
      </c>
      <c r="E1247" t="str">
        <f>IF(COUNTIF($B$2:B1247,B1247)&gt;1,"Duplicado","Único")</f>
        <v>Único</v>
      </c>
    </row>
    <row r="1248" spans="1:5" hidden="1" x14ac:dyDescent="0.25">
      <c r="A1248" s="15">
        <v>15291</v>
      </c>
      <c r="B1248" s="7">
        <v>1061787052</v>
      </c>
      <c r="C1248" s="11">
        <v>46094.516354166699</v>
      </c>
      <c r="D1248" s="17" t="s">
        <v>4078</v>
      </c>
      <c r="E1248" t="str">
        <f>IF(COUNTIF($B$2:B1248,B1248)&gt;1,"Duplicado","Único")</f>
        <v>Duplicado</v>
      </c>
    </row>
    <row r="1249" spans="1:5" x14ac:dyDescent="0.25">
      <c r="A1249" s="15">
        <v>46422</v>
      </c>
      <c r="B1249" s="7">
        <v>1061788862</v>
      </c>
      <c r="C1249" s="11">
        <v>45966.634907407402</v>
      </c>
      <c r="D1249" s="17" t="s">
        <v>2328</v>
      </c>
      <c r="E1249" t="str">
        <f>IF(COUNTIF($B$2:B1249,B1249)&gt;1,"Duplicado","Único")</f>
        <v>Único</v>
      </c>
    </row>
    <row r="1250" spans="1:5" x14ac:dyDescent="0.25">
      <c r="A1250" s="15">
        <v>48451</v>
      </c>
      <c r="B1250" s="7">
        <v>1061791697</v>
      </c>
      <c r="C1250" s="11">
        <v>45979.449444444399</v>
      </c>
      <c r="D1250" s="17" t="s">
        <v>2549</v>
      </c>
      <c r="E1250" t="str">
        <f>IF(COUNTIF($B$2:B1250,B1250)&gt;1,"Duplicado","Único")</f>
        <v>Único</v>
      </c>
    </row>
    <row r="1251" spans="1:5" x14ac:dyDescent="0.25">
      <c r="A1251" s="15">
        <v>32021</v>
      </c>
      <c r="B1251" s="7">
        <v>1061794725</v>
      </c>
      <c r="C1251" s="11">
        <v>45908.361134259299</v>
      </c>
      <c r="D1251" s="17" t="s">
        <v>1583</v>
      </c>
      <c r="E1251" t="str">
        <f>IF(COUNTIF($B$2:B1251,B1251)&gt;1,"Duplicado","Único")</f>
        <v>Único</v>
      </c>
    </row>
    <row r="1252" spans="1:5" x14ac:dyDescent="0.25">
      <c r="A1252" s="15">
        <v>37850</v>
      </c>
      <c r="B1252" s="7">
        <v>1061802627</v>
      </c>
      <c r="C1252" s="11">
        <v>45924.461909722202</v>
      </c>
      <c r="D1252" s="17" t="s">
        <v>1812</v>
      </c>
      <c r="E1252" t="str">
        <f>IF(COUNTIF($B$2:B1252,B1252)&gt;1,"Duplicado","Único")</f>
        <v>Único</v>
      </c>
    </row>
    <row r="1253" spans="1:5" x14ac:dyDescent="0.25">
      <c r="A1253" s="15">
        <v>39759</v>
      </c>
      <c r="B1253" s="7">
        <v>1061804329</v>
      </c>
      <c r="C1253" s="11">
        <v>45931.431493055599</v>
      </c>
      <c r="D1253" s="17" t="s">
        <v>1910</v>
      </c>
      <c r="E1253" t="str">
        <f>IF(COUNTIF($B$2:B1253,B1253)&gt;1,"Duplicado","Único")</f>
        <v>Único</v>
      </c>
    </row>
    <row r="1254" spans="1:5" x14ac:dyDescent="0.25">
      <c r="A1254" s="15">
        <v>21512</v>
      </c>
      <c r="B1254" s="7">
        <v>1061805421</v>
      </c>
      <c r="C1254" s="11">
        <v>45825.35</v>
      </c>
      <c r="D1254" s="17" t="s">
        <v>942</v>
      </c>
      <c r="E1254" t="str">
        <f>IF(COUNTIF($B$2:B1254,B1254)&gt;1,"Duplicado","Único")</f>
        <v>Único</v>
      </c>
    </row>
    <row r="1255" spans="1:5" x14ac:dyDescent="0.25">
      <c r="A1255" s="15">
        <v>41811</v>
      </c>
      <c r="B1255" s="7">
        <v>1061810828</v>
      </c>
      <c r="C1255" s="11">
        <v>45950.625474537002</v>
      </c>
      <c r="D1255" s="17" t="s">
        <v>2006</v>
      </c>
      <c r="E1255" t="str">
        <f>IF(COUNTIF($B$2:B1255,B1255)&gt;1,"Duplicado","Único")</f>
        <v>Único</v>
      </c>
    </row>
    <row r="1256" spans="1:5" x14ac:dyDescent="0.25">
      <c r="A1256" s="15">
        <v>32048</v>
      </c>
      <c r="B1256" s="7">
        <v>1061811713</v>
      </c>
      <c r="C1256" s="11">
        <v>45908.364328703698</v>
      </c>
      <c r="D1256" s="17" t="s">
        <v>1586</v>
      </c>
      <c r="E1256" t="str">
        <f>IF(COUNTIF($B$2:B1256,B1256)&gt;1,"Duplicado","Único")</f>
        <v>Único</v>
      </c>
    </row>
    <row r="1257" spans="1:5" x14ac:dyDescent="0.25">
      <c r="A1257" s="15">
        <v>24837</v>
      </c>
      <c r="B1257" s="7">
        <v>1061812427</v>
      </c>
      <c r="C1257" s="11">
        <v>45859.434525463003</v>
      </c>
      <c r="D1257" s="17" t="s">
        <v>1098</v>
      </c>
      <c r="E1257" t="str">
        <f>IF(COUNTIF($B$2:B1257,B1257)&gt;1,"Duplicado","Único")</f>
        <v>Único</v>
      </c>
    </row>
    <row r="1258" spans="1:5" x14ac:dyDescent="0.25">
      <c r="A1258" s="15">
        <v>22622</v>
      </c>
      <c r="B1258" s="7">
        <v>1061819776</v>
      </c>
      <c r="C1258" s="11">
        <v>45841.711041666698</v>
      </c>
      <c r="D1258" s="17" t="s">
        <v>1021</v>
      </c>
      <c r="E1258" t="str">
        <f>IF(COUNTIF($B$2:B1258,B1258)&gt;1,"Duplicado","Único")</f>
        <v>Único</v>
      </c>
    </row>
    <row r="1259" spans="1:5" x14ac:dyDescent="0.25">
      <c r="A1259" s="15">
        <v>32038</v>
      </c>
      <c r="B1259" s="7">
        <v>1061820383</v>
      </c>
      <c r="C1259" s="11">
        <v>45908.362951388903</v>
      </c>
      <c r="D1259" s="17" t="s">
        <v>1584</v>
      </c>
      <c r="E1259" t="str">
        <f>IF(COUNTIF($B$2:B1259,B1259)&gt;1,"Duplicado","Único")</f>
        <v>Único</v>
      </c>
    </row>
    <row r="1260" spans="1:5" x14ac:dyDescent="0.25">
      <c r="A1260" s="15">
        <v>29921</v>
      </c>
      <c r="B1260" s="7">
        <v>1062279515</v>
      </c>
      <c r="C1260" s="11">
        <v>45898.452638888899</v>
      </c>
      <c r="D1260" s="17" t="s">
        <v>1449</v>
      </c>
      <c r="E1260" t="str">
        <f>IF(COUNTIF($B$2:B1260,B1260)&gt;1,"Duplicado","Único")</f>
        <v>Único</v>
      </c>
    </row>
    <row r="1261" spans="1:5" x14ac:dyDescent="0.25">
      <c r="A1261" s="15">
        <v>34395</v>
      </c>
      <c r="B1261" s="7">
        <v>1062316953</v>
      </c>
      <c r="C1261" s="11">
        <v>45916.469340277799</v>
      </c>
      <c r="D1261" s="17" t="s">
        <v>1719</v>
      </c>
      <c r="E1261" t="str">
        <f>IF(COUNTIF($B$2:B1261,B1261)&gt;1,"Duplicado","Único")</f>
        <v>Único</v>
      </c>
    </row>
    <row r="1262" spans="1:5" x14ac:dyDescent="0.25">
      <c r="A1262" s="15">
        <v>50476</v>
      </c>
      <c r="B1262" s="7">
        <v>1062402331</v>
      </c>
      <c r="C1262" s="11">
        <v>46057.351377314801</v>
      </c>
      <c r="D1262" s="17" t="s">
        <v>3634</v>
      </c>
      <c r="E1262" t="str">
        <f>IF(COUNTIF($B$2:B1262,B1262)&gt;1,"Duplicado","Único")</f>
        <v>Único</v>
      </c>
    </row>
    <row r="1263" spans="1:5" hidden="1" x14ac:dyDescent="0.25">
      <c r="A1263" s="15">
        <v>50476</v>
      </c>
      <c r="B1263" s="7">
        <v>1062402331</v>
      </c>
      <c r="C1263" s="11">
        <v>46010.471331018503</v>
      </c>
      <c r="D1263" s="17" t="s">
        <v>2992</v>
      </c>
      <c r="E1263" t="str">
        <f>IF(COUNTIF($B$2:B1263,B1263)&gt;1,"Duplicado","Único")</f>
        <v>Duplicado</v>
      </c>
    </row>
    <row r="1264" spans="1:5" hidden="1" x14ac:dyDescent="0.25">
      <c r="A1264" s="15">
        <v>50476</v>
      </c>
      <c r="B1264" s="7">
        <v>1062402331</v>
      </c>
      <c r="C1264" s="11">
        <v>45989.4351157407</v>
      </c>
      <c r="D1264" s="17" t="s">
        <v>2789</v>
      </c>
      <c r="E1264" t="str">
        <f>IF(COUNTIF($B$2:B1264,B1264)&gt;1,"Duplicado","Único")</f>
        <v>Duplicado</v>
      </c>
    </row>
    <row r="1265" spans="1:5" x14ac:dyDescent="0.25">
      <c r="A1265" s="15">
        <v>28531</v>
      </c>
      <c r="B1265" s="7">
        <v>1062405383</v>
      </c>
      <c r="C1265" s="11">
        <v>45890.729039351798</v>
      </c>
      <c r="D1265" s="17" t="s">
        <v>1377</v>
      </c>
      <c r="E1265" t="str">
        <f>IF(COUNTIF($B$2:B1265,B1265)&gt;1,"Duplicado","Único")</f>
        <v>Único</v>
      </c>
    </row>
    <row r="1266" spans="1:5" hidden="1" x14ac:dyDescent="0.25">
      <c r="A1266" s="15">
        <v>28531</v>
      </c>
      <c r="B1266" s="7">
        <v>1062405383</v>
      </c>
      <c r="C1266" s="11">
        <v>45888.575995370396</v>
      </c>
      <c r="D1266" s="17" t="s">
        <v>1339</v>
      </c>
      <c r="E1266" t="str">
        <f>IF(COUNTIF($B$2:B1266,B1266)&gt;1,"Duplicado","Único")</f>
        <v>Duplicado</v>
      </c>
    </row>
    <row r="1267" spans="1:5" x14ac:dyDescent="0.25">
      <c r="A1267" s="15">
        <v>32176</v>
      </c>
      <c r="B1267" s="7">
        <v>1062679877</v>
      </c>
      <c r="C1267" s="11">
        <v>45908.440625000003</v>
      </c>
      <c r="D1267" s="17" t="s">
        <v>1600</v>
      </c>
      <c r="E1267" t="str">
        <f>IF(COUNTIF($B$2:B1267,B1267)&gt;1,"Duplicado","Único")</f>
        <v>Único</v>
      </c>
    </row>
    <row r="1268" spans="1:5" x14ac:dyDescent="0.25">
      <c r="A1268" s="15">
        <v>28540</v>
      </c>
      <c r="B1268" s="7">
        <v>1062813119</v>
      </c>
      <c r="C1268" s="11">
        <v>45888.580752314803</v>
      </c>
      <c r="D1268" s="17" t="s">
        <v>1341</v>
      </c>
      <c r="E1268" t="str">
        <f>IF(COUNTIF($B$2:B1268,B1268)&gt;1,"Duplicado","Único")</f>
        <v>Único</v>
      </c>
    </row>
    <row r="1269" spans="1:5" x14ac:dyDescent="0.25">
      <c r="A1269" s="15">
        <v>38428</v>
      </c>
      <c r="B1269" s="7">
        <v>1062954363</v>
      </c>
      <c r="C1269" s="11">
        <v>45926.384895833296</v>
      </c>
      <c r="D1269" s="17" t="s">
        <v>1832</v>
      </c>
      <c r="E1269" t="str">
        <f>IF(COUNTIF($B$2:B1269,B1269)&gt;1,"Duplicado","Único")</f>
        <v>Único</v>
      </c>
    </row>
    <row r="1270" spans="1:5" x14ac:dyDescent="0.25">
      <c r="A1270" s="15">
        <v>39744</v>
      </c>
      <c r="B1270" s="7">
        <v>1063177161</v>
      </c>
      <c r="C1270" s="11">
        <v>45931.414386574099</v>
      </c>
      <c r="D1270" s="17" t="s">
        <v>1909</v>
      </c>
      <c r="E1270" t="str">
        <f>IF(COUNTIF($B$2:B1270,B1270)&gt;1,"Duplicado","Único")</f>
        <v>Único</v>
      </c>
    </row>
    <row r="1271" spans="1:5" x14ac:dyDescent="0.25">
      <c r="A1271" s="15">
        <v>47493</v>
      </c>
      <c r="B1271" s="7">
        <v>1063178570</v>
      </c>
      <c r="C1271" s="11">
        <v>45972.417812500003</v>
      </c>
      <c r="D1271" s="17" t="s">
        <v>2420</v>
      </c>
      <c r="E1271" t="str">
        <f>IF(COUNTIF($B$2:B1271,B1271)&gt;1,"Duplicado","Único")</f>
        <v>Único</v>
      </c>
    </row>
    <row r="1272" spans="1:5" x14ac:dyDescent="0.25">
      <c r="A1272" s="15">
        <v>20105</v>
      </c>
      <c r="B1272" s="7">
        <v>1063274425</v>
      </c>
      <c r="C1272" s="11">
        <v>45819.687685185199</v>
      </c>
      <c r="D1272" s="17" t="s">
        <v>860</v>
      </c>
      <c r="E1272" t="str">
        <f>IF(COUNTIF($B$2:B1272,B1272)&gt;1,"Duplicado","Único")</f>
        <v>Único</v>
      </c>
    </row>
    <row r="1273" spans="1:5" x14ac:dyDescent="0.25">
      <c r="A1273" s="15">
        <v>48136</v>
      </c>
      <c r="B1273" s="7">
        <v>1063278661</v>
      </c>
      <c r="C1273" s="11">
        <v>45974.422893518502</v>
      </c>
      <c r="D1273" s="17" t="s">
        <v>2500</v>
      </c>
      <c r="E1273" t="str">
        <f>IF(COUNTIF($B$2:B1273,B1273)&gt;1,"Duplicado","Único")</f>
        <v>Único</v>
      </c>
    </row>
    <row r="1274" spans="1:5" x14ac:dyDescent="0.25">
      <c r="A1274" s="15">
        <v>2226</v>
      </c>
      <c r="B1274" s="7">
        <v>1063279386</v>
      </c>
      <c r="C1274" s="11">
        <v>46086.721458333297</v>
      </c>
      <c r="D1274" s="17" t="s">
        <v>3906</v>
      </c>
      <c r="E1274" t="str">
        <f>IF(COUNTIF($B$2:B1274,B1274)&gt;1,"Duplicado","Único")</f>
        <v>Único</v>
      </c>
    </row>
    <row r="1275" spans="1:5" hidden="1" x14ac:dyDescent="0.25">
      <c r="A1275" s="15">
        <v>2226</v>
      </c>
      <c r="B1275" s="7">
        <v>1063279386</v>
      </c>
      <c r="C1275" s="11">
        <v>46049.461944444403</v>
      </c>
      <c r="D1275" s="17" t="s">
        <v>3216</v>
      </c>
      <c r="E1275" t="str">
        <f>IF(COUNTIF($B$2:B1275,B1275)&gt;1,"Duplicado","Único")</f>
        <v>Duplicado</v>
      </c>
    </row>
    <row r="1276" spans="1:5" x14ac:dyDescent="0.25">
      <c r="A1276" s="15">
        <v>39529</v>
      </c>
      <c r="B1276" s="7">
        <v>1063300810</v>
      </c>
      <c r="C1276" s="11">
        <v>45930.410335648201</v>
      </c>
      <c r="D1276" s="17" t="s">
        <v>1884</v>
      </c>
      <c r="E1276" t="str">
        <f>IF(COUNTIF($B$2:B1276,B1276)&gt;1,"Duplicado","Único")</f>
        <v>Único</v>
      </c>
    </row>
    <row r="1277" spans="1:5" x14ac:dyDescent="0.25">
      <c r="A1277" s="15">
        <v>48716</v>
      </c>
      <c r="B1277" s="7">
        <v>1063653431</v>
      </c>
      <c r="C1277" s="11">
        <v>45979.400578703702</v>
      </c>
      <c r="D1277" s="17" t="s">
        <v>2547</v>
      </c>
      <c r="E1277" t="str">
        <f>IF(COUNTIF($B$2:B1277,B1277)&gt;1,"Duplicado","Único")</f>
        <v>Único</v>
      </c>
    </row>
    <row r="1278" spans="1:5" x14ac:dyDescent="0.25">
      <c r="A1278" s="15">
        <v>52785</v>
      </c>
      <c r="B1278" s="7">
        <v>1063810954</v>
      </c>
      <c r="C1278" s="11">
        <v>46051.637256944399</v>
      </c>
      <c r="D1278" s="17" t="s">
        <v>3546</v>
      </c>
      <c r="E1278" t="str">
        <f>IF(COUNTIF($B$2:B1278,B1278)&gt;1,"Duplicado","Único")</f>
        <v>Único</v>
      </c>
    </row>
    <row r="1279" spans="1:5" hidden="1" x14ac:dyDescent="0.25">
      <c r="A1279" s="15">
        <v>52785</v>
      </c>
      <c r="B1279" s="7">
        <v>1063810954</v>
      </c>
      <c r="C1279" s="11">
        <v>46009.382731481499</v>
      </c>
      <c r="D1279" s="17" t="s">
        <v>2967</v>
      </c>
      <c r="E1279" t="str">
        <f>IF(COUNTIF($B$2:B1279,B1279)&gt;1,"Duplicado","Único")</f>
        <v>Duplicado</v>
      </c>
    </row>
    <row r="1280" spans="1:5" x14ac:dyDescent="0.25">
      <c r="A1280" s="15">
        <v>18333</v>
      </c>
      <c r="B1280" s="7">
        <v>1063946968</v>
      </c>
      <c r="C1280" s="11">
        <v>45800.624710648102</v>
      </c>
      <c r="D1280" s="17" t="s">
        <v>759</v>
      </c>
      <c r="E1280" t="str">
        <f>IF(COUNTIF($B$2:B1280,B1280)&gt;1,"Duplicado","Único")</f>
        <v>Único</v>
      </c>
    </row>
    <row r="1281" spans="1:5" x14ac:dyDescent="0.25">
      <c r="A1281" s="15">
        <v>21610</v>
      </c>
      <c r="B1281" s="7">
        <v>1063962507</v>
      </c>
      <c r="C1281" s="11">
        <v>45825.387094907397</v>
      </c>
      <c r="D1281" s="17" t="s">
        <v>950</v>
      </c>
      <c r="E1281" t="str">
        <f>IF(COUNTIF($B$2:B1281,B1281)&gt;1,"Duplicado","Único")</f>
        <v>Único</v>
      </c>
    </row>
    <row r="1282" spans="1:5" x14ac:dyDescent="0.25">
      <c r="A1282" s="15">
        <v>44719</v>
      </c>
      <c r="B1282" s="7">
        <v>1064115156</v>
      </c>
      <c r="C1282" s="11">
        <v>45958.608692129601</v>
      </c>
      <c r="D1282" s="17" t="s">
        <v>2160</v>
      </c>
      <c r="E1282" t="str">
        <f>IF(COUNTIF($B$2:B1282,B1282)&gt;1,"Duplicado","Único")</f>
        <v>Único</v>
      </c>
    </row>
    <row r="1283" spans="1:5" x14ac:dyDescent="0.25">
      <c r="A1283" s="15">
        <v>38776</v>
      </c>
      <c r="B1283" s="7">
        <v>1064314673</v>
      </c>
      <c r="C1283" s="11">
        <v>45929.416053240697</v>
      </c>
      <c r="D1283" s="17" t="s">
        <v>1854</v>
      </c>
      <c r="E1283" t="str">
        <f>IF(COUNTIF($B$2:B1283,B1283)&gt;1,"Duplicado","Único")</f>
        <v>Único</v>
      </c>
    </row>
    <row r="1284" spans="1:5" x14ac:dyDescent="0.25">
      <c r="A1284" s="15">
        <v>28161</v>
      </c>
      <c r="B1284" s="7">
        <v>1064436570</v>
      </c>
      <c r="C1284" s="11">
        <v>45884.630729166704</v>
      </c>
      <c r="D1284" s="17" t="s">
        <v>1317</v>
      </c>
      <c r="E1284" t="str">
        <f>IF(COUNTIF($B$2:B1284,B1284)&gt;1,"Duplicado","Único")</f>
        <v>Único</v>
      </c>
    </row>
    <row r="1285" spans="1:5" x14ac:dyDescent="0.25">
      <c r="A1285" s="15">
        <v>23088</v>
      </c>
      <c r="B1285" s="7">
        <v>1064491282</v>
      </c>
      <c r="C1285" s="11">
        <v>45842.412256944401</v>
      </c>
      <c r="D1285" s="17" t="s">
        <v>1037</v>
      </c>
      <c r="E1285" t="str">
        <f>IF(COUNTIF($B$2:B1285,B1285)&gt;1,"Duplicado","Único")</f>
        <v>Único</v>
      </c>
    </row>
    <row r="1286" spans="1:5" x14ac:dyDescent="0.25">
      <c r="A1286" s="15">
        <v>28820</v>
      </c>
      <c r="B1286" s="7">
        <v>1064726714</v>
      </c>
      <c r="C1286" s="11">
        <v>45888.680601851898</v>
      </c>
      <c r="D1286" s="17" t="s">
        <v>1363</v>
      </c>
      <c r="E1286" t="str">
        <f>IF(COUNTIF($B$2:B1286,B1286)&gt;1,"Duplicado","Único")</f>
        <v>Único</v>
      </c>
    </row>
    <row r="1287" spans="1:5" hidden="1" x14ac:dyDescent="0.25">
      <c r="A1287" s="15">
        <v>18673</v>
      </c>
      <c r="B1287" s="7">
        <v>1064726714</v>
      </c>
      <c r="C1287" s="11">
        <v>45803.661921296298</v>
      </c>
      <c r="D1287" s="17" t="s">
        <v>777</v>
      </c>
      <c r="E1287" t="str">
        <f>IF(COUNTIF($B$2:B1287,B1287)&gt;1,"Duplicado","Único")</f>
        <v>Duplicado</v>
      </c>
    </row>
    <row r="1288" spans="1:5" x14ac:dyDescent="0.25">
      <c r="A1288" s="15">
        <v>50706</v>
      </c>
      <c r="B1288" s="7">
        <v>1064841006</v>
      </c>
      <c r="C1288" s="11">
        <v>46050.673437500001</v>
      </c>
      <c r="D1288" s="17" t="s">
        <v>3390</v>
      </c>
      <c r="E1288" t="str">
        <f>IF(COUNTIF($B$2:B1288,B1288)&gt;1,"Duplicado","Único")</f>
        <v>Único</v>
      </c>
    </row>
    <row r="1289" spans="1:5" hidden="1" x14ac:dyDescent="0.25">
      <c r="A1289" s="15">
        <v>50706</v>
      </c>
      <c r="B1289" s="7">
        <v>1064841006</v>
      </c>
      <c r="C1289" s="11">
        <v>45992.367881944403</v>
      </c>
      <c r="D1289" s="17" t="s">
        <v>2805</v>
      </c>
      <c r="E1289" t="str">
        <f>IF(COUNTIF($B$2:B1289,B1289)&gt;1,"Duplicado","Único")</f>
        <v>Duplicado</v>
      </c>
    </row>
    <row r="1290" spans="1:5" x14ac:dyDescent="0.25">
      <c r="A1290" s="15">
        <v>48819</v>
      </c>
      <c r="B1290" s="7">
        <v>1064979762</v>
      </c>
      <c r="C1290" s="11">
        <v>45980.396944444401</v>
      </c>
      <c r="D1290" s="17" t="s">
        <v>2596</v>
      </c>
      <c r="E1290" t="str">
        <f>IF(COUNTIF($B$2:B1290,B1290)&gt;1,"Duplicado","Único")</f>
        <v>Único</v>
      </c>
    </row>
    <row r="1291" spans="1:5" x14ac:dyDescent="0.25">
      <c r="A1291" s="15">
        <v>51235</v>
      </c>
      <c r="B1291" s="7">
        <v>1064981082</v>
      </c>
      <c r="C1291" s="11">
        <v>46051.334780092599</v>
      </c>
      <c r="D1291" s="17" t="s">
        <v>3423</v>
      </c>
      <c r="E1291" t="str">
        <f>IF(COUNTIF($B$2:B1291,B1291)&gt;1,"Duplicado","Único")</f>
        <v>Único</v>
      </c>
    </row>
    <row r="1292" spans="1:5" hidden="1" x14ac:dyDescent="0.25">
      <c r="A1292" s="15">
        <v>51235</v>
      </c>
      <c r="B1292" s="7">
        <v>1064981082</v>
      </c>
      <c r="C1292" s="11">
        <v>46001.493958333303</v>
      </c>
      <c r="D1292" s="17" t="s">
        <v>2860</v>
      </c>
      <c r="E1292" t="str">
        <f>IF(COUNTIF($B$2:B1292,B1292)&gt;1,"Duplicado","Único")</f>
        <v>Duplicado</v>
      </c>
    </row>
    <row r="1293" spans="1:5" x14ac:dyDescent="0.25">
      <c r="A1293" s="15">
        <v>21192</v>
      </c>
      <c r="B1293" s="7">
        <v>1064985003</v>
      </c>
      <c r="C1293" s="11">
        <v>45824.393310185202</v>
      </c>
      <c r="D1293" s="17" t="s">
        <v>928</v>
      </c>
      <c r="E1293" t="str">
        <f>IF(COUNTIF($B$2:B1293,B1293)&gt;1,"Duplicado","Único")</f>
        <v>Único</v>
      </c>
    </row>
    <row r="1294" spans="1:5" x14ac:dyDescent="0.25">
      <c r="A1294" s="15">
        <v>52250</v>
      </c>
      <c r="B1294" s="7">
        <v>1064986762</v>
      </c>
      <c r="C1294" s="11">
        <v>46051.518726851798</v>
      </c>
      <c r="D1294" s="17" t="s">
        <v>3517</v>
      </c>
      <c r="E1294" t="str">
        <f>IF(COUNTIF($B$2:B1294,B1294)&gt;1,"Duplicado","Único")</f>
        <v>Único</v>
      </c>
    </row>
    <row r="1295" spans="1:5" hidden="1" x14ac:dyDescent="0.25">
      <c r="A1295" s="15">
        <v>52250</v>
      </c>
      <c r="B1295" s="7">
        <v>1064986762</v>
      </c>
      <c r="C1295" s="11">
        <v>46007.495787036998</v>
      </c>
      <c r="D1295" s="17" t="s">
        <v>2952</v>
      </c>
      <c r="E1295" t="str">
        <f>IF(COUNTIF($B$2:B1295,B1295)&gt;1,"Duplicado","Único")</f>
        <v>Duplicado</v>
      </c>
    </row>
    <row r="1296" spans="1:5" x14ac:dyDescent="0.25">
      <c r="A1296" s="15">
        <v>3918</v>
      </c>
      <c r="B1296" s="7">
        <v>1064993868</v>
      </c>
      <c r="C1296" s="11">
        <v>46086.785196759301</v>
      </c>
      <c r="D1296" s="17" t="s">
        <v>3976</v>
      </c>
      <c r="E1296" t="str">
        <f>IF(COUNTIF($B$2:B1296,B1296)&gt;1,"Duplicado","Único")</f>
        <v>Único</v>
      </c>
    </row>
    <row r="1297" spans="1:5" hidden="1" x14ac:dyDescent="0.25">
      <c r="A1297" s="15">
        <v>3918</v>
      </c>
      <c r="B1297" s="7">
        <v>1064993868</v>
      </c>
      <c r="C1297" s="11">
        <v>46055.463090277801</v>
      </c>
      <c r="D1297" s="17" t="s">
        <v>3600</v>
      </c>
      <c r="E1297" t="str">
        <f>IF(COUNTIF($B$2:B1297,B1297)&gt;1,"Duplicado","Único")</f>
        <v>Duplicado</v>
      </c>
    </row>
    <row r="1298" spans="1:5" x14ac:dyDescent="0.25">
      <c r="A1298" s="15">
        <v>49675</v>
      </c>
      <c r="B1298" s="7">
        <v>1064994709</v>
      </c>
      <c r="C1298" s="11">
        <v>46050.455474536997</v>
      </c>
      <c r="D1298" s="17" t="s">
        <v>3250</v>
      </c>
      <c r="E1298" t="str">
        <f>IF(COUNTIF($B$2:B1298,B1298)&gt;1,"Duplicado","Único")</f>
        <v>Único</v>
      </c>
    </row>
    <row r="1299" spans="1:5" hidden="1" x14ac:dyDescent="0.25">
      <c r="A1299" s="15">
        <v>49675</v>
      </c>
      <c r="B1299" s="7">
        <v>1064994709</v>
      </c>
      <c r="C1299" s="11">
        <v>45985.513101851902</v>
      </c>
      <c r="D1299" s="17" t="s">
        <v>2691</v>
      </c>
      <c r="E1299" t="str">
        <f>IF(COUNTIF($B$2:B1299,B1299)&gt;1,"Duplicado","Único")</f>
        <v>Duplicado</v>
      </c>
    </row>
    <row r="1300" spans="1:5" x14ac:dyDescent="0.25">
      <c r="A1300" s="15">
        <v>17741</v>
      </c>
      <c r="B1300" s="7">
        <v>1065002465</v>
      </c>
      <c r="C1300" s="11">
        <v>46149.473553240699</v>
      </c>
      <c r="D1300" s="17" t="s">
        <v>1392</v>
      </c>
      <c r="E1300" t="str">
        <f>IF(COUNTIF($B$2:B1300,B1300)&gt;1,"Duplicado","Único")</f>
        <v>Único</v>
      </c>
    </row>
    <row r="1301" spans="1:5" hidden="1" x14ac:dyDescent="0.25">
      <c r="A1301" s="15">
        <v>17741</v>
      </c>
      <c r="B1301" s="7">
        <v>1065002465</v>
      </c>
      <c r="C1301" s="11">
        <v>46108.829618055599</v>
      </c>
      <c r="D1301" s="17" t="s">
        <v>1155</v>
      </c>
      <c r="E1301" t="str">
        <f>IF(COUNTIF($B$2:B1301,B1301)&gt;1,"Duplicado","Único")</f>
        <v>Duplicado</v>
      </c>
    </row>
    <row r="1302" spans="1:5" x14ac:dyDescent="0.25">
      <c r="A1302" s="15">
        <v>24724</v>
      </c>
      <c r="B1302" s="7">
        <v>1065011634</v>
      </c>
      <c r="C1302" s="11">
        <v>45859.384375000001</v>
      </c>
      <c r="D1302" s="17" t="s">
        <v>1094</v>
      </c>
      <c r="E1302" t="str">
        <f>IF(COUNTIF($B$2:B1302,B1302)&gt;1,"Duplicado","Único")</f>
        <v>Único</v>
      </c>
    </row>
    <row r="1303" spans="1:5" x14ac:dyDescent="0.25">
      <c r="A1303" s="15">
        <v>28013</v>
      </c>
      <c r="B1303" s="7">
        <v>1065377156</v>
      </c>
      <c r="C1303" s="11">
        <v>45884.482314814799</v>
      </c>
      <c r="D1303" s="17" t="s">
        <v>1310</v>
      </c>
      <c r="E1303" t="str">
        <f>IF(COUNTIF($B$2:B1303,B1303)&gt;1,"Duplicado","Único")</f>
        <v>Único</v>
      </c>
    </row>
    <row r="1304" spans="1:5" x14ac:dyDescent="0.25">
      <c r="A1304" s="15">
        <v>3940</v>
      </c>
      <c r="B1304" s="7">
        <v>1065380130</v>
      </c>
      <c r="C1304" s="11">
        <v>46086.785682870403</v>
      </c>
      <c r="D1304" s="17" t="s">
        <v>3977</v>
      </c>
      <c r="E1304" t="str">
        <f>IF(COUNTIF($B$2:B1304,B1304)&gt;1,"Duplicado","Único")</f>
        <v>Único</v>
      </c>
    </row>
    <row r="1305" spans="1:5" hidden="1" x14ac:dyDescent="0.25">
      <c r="A1305" s="15">
        <v>3940</v>
      </c>
      <c r="B1305" s="7">
        <v>1065380130</v>
      </c>
      <c r="C1305" s="11">
        <v>46055.4758449074</v>
      </c>
      <c r="D1305" s="17" t="s">
        <v>3607</v>
      </c>
      <c r="E1305" t="str">
        <f>IF(COUNTIF($B$2:B1305,B1305)&gt;1,"Duplicado","Único")</f>
        <v>Duplicado</v>
      </c>
    </row>
    <row r="1306" spans="1:5" x14ac:dyDescent="0.25">
      <c r="A1306" s="15">
        <v>51183</v>
      </c>
      <c r="B1306" s="7">
        <v>1065571422</v>
      </c>
      <c r="C1306" s="11">
        <v>46057.352002314801</v>
      </c>
      <c r="D1306" s="17" t="s">
        <v>3635</v>
      </c>
      <c r="E1306" t="str">
        <f>IF(COUNTIF($B$2:B1306,B1306)&gt;1,"Duplicado","Único")</f>
        <v>Único</v>
      </c>
    </row>
    <row r="1307" spans="1:5" hidden="1" x14ac:dyDescent="0.25">
      <c r="A1307" s="15">
        <v>51183</v>
      </c>
      <c r="B1307" s="7">
        <v>1065571422</v>
      </c>
      <c r="C1307" s="11">
        <v>46010.476446759298</v>
      </c>
      <c r="D1307" s="17" t="s">
        <v>2993</v>
      </c>
      <c r="E1307" t="str">
        <f>IF(COUNTIF($B$2:B1307,B1307)&gt;1,"Duplicado","Único")</f>
        <v>Duplicado</v>
      </c>
    </row>
    <row r="1308" spans="1:5" hidden="1" x14ac:dyDescent="0.25">
      <c r="A1308" s="15">
        <v>51183</v>
      </c>
      <c r="B1308" s="7">
        <v>1065571422</v>
      </c>
      <c r="C1308" s="11">
        <v>46002.403680555602</v>
      </c>
      <c r="D1308" s="17" t="s">
        <v>2870</v>
      </c>
      <c r="E1308" t="str">
        <f>IF(COUNTIF($B$2:B1308,B1308)&gt;1,"Duplicado","Único")</f>
        <v>Duplicado</v>
      </c>
    </row>
    <row r="1309" spans="1:5" x14ac:dyDescent="0.25">
      <c r="A1309" s="15">
        <v>32099</v>
      </c>
      <c r="B1309" s="7">
        <v>1065597770</v>
      </c>
      <c r="C1309" s="11">
        <v>45908.378935185203</v>
      </c>
      <c r="D1309" s="17" t="s">
        <v>1592</v>
      </c>
      <c r="E1309" t="str">
        <f>IF(COUNTIF($B$2:B1309,B1309)&gt;1,"Duplicado","Único")</f>
        <v>Único</v>
      </c>
    </row>
    <row r="1310" spans="1:5" x14ac:dyDescent="0.25">
      <c r="A1310" s="15">
        <v>15383</v>
      </c>
      <c r="B1310" s="7">
        <v>1065599672</v>
      </c>
      <c r="C1310" s="11">
        <v>46120.647384259297</v>
      </c>
      <c r="D1310" s="17" t="s">
        <v>4325</v>
      </c>
      <c r="E1310" t="str">
        <f>IF(COUNTIF($B$2:B1310,B1310)&gt;1,"Duplicado","Único")</f>
        <v>Único</v>
      </c>
    </row>
    <row r="1311" spans="1:5" hidden="1" x14ac:dyDescent="0.25">
      <c r="A1311" s="15">
        <v>15383</v>
      </c>
      <c r="B1311" s="7">
        <v>1065599672</v>
      </c>
      <c r="C1311" s="11">
        <v>46094.454988425903</v>
      </c>
      <c r="D1311" s="17" t="s">
        <v>4034</v>
      </c>
      <c r="E1311" t="str">
        <f>IF(COUNTIF($B$2:B1311,B1311)&gt;1,"Duplicado","Único")</f>
        <v>Duplicado</v>
      </c>
    </row>
    <row r="1312" spans="1:5" x14ac:dyDescent="0.25">
      <c r="A1312" s="15">
        <v>54270</v>
      </c>
      <c r="B1312" s="7">
        <v>1065607858</v>
      </c>
      <c r="C1312" s="11">
        <v>46057.438645833303</v>
      </c>
      <c r="D1312" s="17" t="s">
        <v>3710</v>
      </c>
      <c r="E1312" t="str">
        <f>IF(COUNTIF($B$2:B1312,B1312)&gt;1,"Duplicado","Único")</f>
        <v>Único</v>
      </c>
    </row>
    <row r="1313" spans="1:5" hidden="1" x14ac:dyDescent="0.25">
      <c r="A1313" s="15">
        <v>54270</v>
      </c>
      <c r="B1313" s="7">
        <v>1065607858</v>
      </c>
      <c r="C1313" s="11">
        <v>46014.385486111103</v>
      </c>
      <c r="D1313" s="17" t="s">
        <v>3067</v>
      </c>
      <c r="E1313" t="str">
        <f>IF(COUNTIF($B$2:B1313,B1313)&gt;1,"Duplicado","Único")</f>
        <v>Duplicado</v>
      </c>
    </row>
    <row r="1314" spans="1:5" x14ac:dyDescent="0.25">
      <c r="A1314" s="15">
        <v>32431</v>
      </c>
      <c r="B1314" s="7">
        <v>1065623042</v>
      </c>
      <c r="C1314" s="11">
        <v>45908.530405092599</v>
      </c>
      <c r="D1314" s="17" t="s">
        <v>1612</v>
      </c>
      <c r="E1314" t="str">
        <f>IF(COUNTIF($B$2:B1314,B1314)&gt;1,"Duplicado","Único")</f>
        <v>Único</v>
      </c>
    </row>
    <row r="1315" spans="1:5" x14ac:dyDescent="0.25">
      <c r="A1315" s="15">
        <v>22980</v>
      </c>
      <c r="B1315" s="7">
        <v>1065627933</v>
      </c>
      <c r="C1315" s="11">
        <v>45842.3984837963</v>
      </c>
      <c r="D1315" s="17" t="s">
        <v>1035</v>
      </c>
      <c r="E1315" t="str">
        <f>IF(COUNTIF($B$2:B1315,B1315)&gt;1,"Duplicado","Único")</f>
        <v>Único</v>
      </c>
    </row>
    <row r="1316" spans="1:5" x14ac:dyDescent="0.25">
      <c r="A1316" s="15">
        <v>44151</v>
      </c>
      <c r="B1316" s="7">
        <v>1065631331</v>
      </c>
      <c r="C1316" s="11">
        <v>45958.395624999997</v>
      </c>
      <c r="D1316" s="17" t="s">
        <v>2110</v>
      </c>
      <c r="E1316" t="str">
        <f>IF(COUNTIF($B$2:B1316,B1316)&gt;1,"Duplicado","Único")</f>
        <v>Único</v>
      </c>
    </row>
    <row r="1317" spans="1:5" x14ac:dyDescent="0.25">
      <c r="A1317" s="15">
        <v>44769</v>
      </c>
      <c r="B1317" s="7">
        <v>1065644583</v>
      </c>
      <c r="C1317" s="11">
        <v>45958.613055555601</v>
      </c>
      <c r="D1317" s="17" t="s">
        <v>2164</v>
      </c>
      <c r="E1317" t="str">
        <f>IF(COUNTIF($B$2:B1317,B1317)&gt;1,"Duplicado","Único")</f>
        <v>Único</v>
      </c>
    </row>
    <row r="1318" spans="1:5" x14ac:dyDescent="0.25">
      <c r="A1318" s="15">
        <v>29349</v>
      </c>
      <c r="B1318" s="7">
        <v>1065647376</v>
      </c>
      <c r="C1318" s="11">
        <v>45894.512187499997</v>
      </c>
      <c r="D1318" s="17" t="s">
        <v>1403</v>
      </c>
      <c r="E1318" t="str">
        <f>IF(COUNTIF($B$2:B1318,B1318)&gt;1,"Duplicado","Único")</f>
        <v>Único</v>
      </c>
    </row>
    <row r="1319" spans="1:5" x14ac:dyDescent="0.25">
      <c r="A1319" s="15">
        <v>51231</v>
      </c>
      <c r="B1319" s="7">
        <v>1065648040</v>
      </c>
      <c r="C1319" s="11">
        <v>46051.335300925901</v>
      </c>
      <c r="D1319" s="17" t="s">
        <v>3424</v>
      </c>
      <c r="E1319" t="str">
        <f>IF(COUNTIF($B$2:B1319,B1319)&gt;1,"Duplicado","Único")</f>
        <v>Único</v>
      </c>
    </row>
    <row r="1320" spans="1:5" hidden="1" x14ac:dyDescent="0.25">
      <c r="A1320" s="15">
        <v>51231</v>
      </c>
      <c r="B1320" s="7">
        <v>1065648040</v>
      </c>
      <c r="C1320" s="11">
        <v>46001.488437499997</v>
      </c>
      <c r="D1320" s="17" t="s">
        <v>2858</v>
      </c>
      <c r="E1320" t="str">
        <f>IF(COUNTIF($B$2:B1320,B1320)&gt;1,"Duplicado","Único")</f>
        <v>Duplicado</v>
      </c>
    </row>
    <row r="1321" spans="1:5" x14ac:dyDescent="0.25">
      <c r="A1321" s="15">
        <v>49166</v>
      </c>
      <c r="B1321" s="7">
        <v>1065651640</v>
      </c>
      <c r="C1321" s="11">
        <v>45981.4603935185</v>
      </c>
      <c r="D1321" s="17" t="s">
        <v>2641</v>
      </c>
      <c r="E1321" t="str">
        <f>IF(COUNTIF($B$2:B1321,B1321)&gt;1,"Duplicado","Único")</f>
        <v>Único</v>
      </c>
    </row>
    <row r="1322" spans="1:5" x14ac:dyDescent="0.25">
      <c r="A1322" s="15">
        <v>21584</v>
      </c>
      <c r="B1322" s="7">
        <v>1065659398</v>
      </c>
      <c r="C1322" s="11">
        <v>45825.372476851902</v>
      </c>
      <c r="D1322" s="17" t="s">
        <v>948</v>
      </c>
      <c r="E1322" t="str">
        <f>IF(COUNTIF($B$2:B1322,B1322)&gt;1,"Duplicado","Único")</f>
        <v>Único</v>
      </c>
    </row>
    <row r="1323" spans="1:5" x14ac:dyDescent="0.25">
      <c r="A1323" s="15">
        <v>30097</v>
      </c>
      <c r="B1323" s="7">
        <v>1065660670</v>
      </c>
      <c r="C1323" s="11">
        <v>45897.708402777796</v>
      </c>
      <c r="D1323" s="17" t="s">
        <v>1444</v>
      </c>
      <c r="E1323" t="str">
        <f>IF(COUNTIF($B$2:B1323,B1323)&gt;1,"Duplicado","Único")</f>
        <v>Único</v>
      </c>
    </row>
    <row r="1324" spans="1:5" x14ac:dyDescent="0.25">
      <c r="A1324" s="15">
        <v>49129</v>
      </c>
      <c r="B1324" s="7">
        <v>1065814574</v>
      </c>
      <c r="C1324" s="11">
        <v>45981.347696759301</v>
      </c>
      <c r="D1324" s="17" t="s">
        <v>2621</v>
      </c>
      <c r="E1324" t="str">
        <f>IF(COUNTIF($B$2:B1324,B1324)&gt;1,"Duplicado","Único")</f>
        <v>Único</v>
      </c>
    </row>
    <row r="1325" spans="1:5" x14ac:dyDescent="0.25">
      <c r="A1325" s="15">
        <v>26951</v>
      </c>
      <c r="B1325" s="7">
        <v>1065817073</v>
      </c>
      <c r="C1325" s="11">
        <v>45873.685127314799</v>
      </c>
      <c r="D1325" s="17" t="s">
        <v>1232</v>
      </c>
      <c r="E1325" t="str">
        <f>IF(COUNTIF($B$2:B1325,B1325)&gt;1,"Duplicado","Único")</f>
        <v>Único</v>
      </c>
    </row>
    <row r="1326" spans="1:5" x14ac:dyDescent="0.25">
      <c r="A1326" s="15">
        <v>32106</v>
      </c>
      <c r="B1326" s="7">
        <v>1065821473</v>
      </c>
      <c r="C1326" s="11">
        <v>45908.382442129601</v>
      </c>
      <c r="D1326" s="17" t="s">
        <v>1594</v>
      </c>
      <c r="E1326" t="str">
        <f>IF(COUNTIF($B$2:B1326,B1326)&gt;1,"Duplicado","Único")</f>
        <v>Único</v>
      </c>
    </row>
    <row r="1327" spans="1:5" x14ac:dyDescent="0.25">
      <c r="A1327" s="15">
        <v>17908</v>
      </c>
      <c r="B1327" s="7">
        <v>1065823382</v>
      </c>
      <c r="C1327" s="11">
        <v>45797.733182870397</v>
      </c>
      <c r="D1327" s="17" t="s">
        <v>734</v>
      </c>
      <c r="E1327" t="str">
        <f>IF(COUNTIF($B$2:B1327,B1327)&gt;1,"Duplicado","Único")</f>
        <v>Único</v>
      </c>
    </row>
    <row r="1328" spans="1:5" x14ac:dyDescent="0.25">
      <c r="A1328" s="15">
        <v>21110</v>
      </c>
      <c r="B1328" s="7">
        <v>1065824737</v>
      </c>
      <c r="C1328" s="11">
        <v>45824.366898148102</v>
      </c>
      <c r="D1328" s="17" t="s">
        <v>926</v>
      </c>
      <c r="E1328" t="str">
        <f>IF(COUNTIF($B$2:B1328,B1328)&gt;1,"Duplicado","Único")</f>
        <v>Único</v>
      </c>
    </row>
    <row r="1329" spans="1:5" x14ac:dyDescent="0.25">
      <c r="A1329" s="15">
        <v>51368</v>
      </c>
      <c r="B1329" s="7">
        <v>1065829819</v>
      </c>
      <c r="C1329" s="11">
        <v>46051.466099537</v>
      </c>
      <c r="D1329" s="17" t="s">
        <v>3487</v>
      </c>
      <c r="E1329" t="str">
        <f>IF(COUNTIF($B$2:B1329,B1329)&gt;1,"Duplicado","Único")</f>
        <v>Único</v>
      </c>
    </row>
    <row r="1330" spans="1:5" hidden="1" x14ac:dyDescent="0.25">
      <c r="A1330" s="15">
        <v>51368</v>
      </c>
      <c r="B1330" s="7">
        <v>1065829819</v>
      </c>
      <c r="C1330" s="11">
        <v>46002.594953703701</v>
      </c>
      <c r="D1330" s="17" t="s">
        <v>2883</v>
      </c>
      <c r="E1330" t="str">
        <f>IF(COUNTIF($B$2:B1330,B1330)&gt;1,"Duplicado","Único")</f>
        <v>Duplicado</v>
      </c>
    </row>
    <row r="1331" spans="1:5" x14ac:dyDescent="0.25">
      <c r="A1331" s="15">
        <v>20615</v>
      </c>
      <c r="B1331" s="7">
        <v>1065830010</v>
      </c>
      <c r="C1331" s="11">
        <v>45821.598564814798</v>
      </c>
      <c r="D1331" s="17" t="s">
        <v>901</v>
      </c>
      <c r="E1331" t="str">
        <f>IF(COUNTIF($B$2:B1331,B1331)&gt;1,"Duplicado","Único")</f>
        <v>Único</v>
      </c>
    </row>
    <row r="1332" spans="1:5" x14ac:dyDescent="0.25">
      <c r="A1332" s="15">
        <v>40857</v>
      </c>
      <c r="B1332" s="7">
        <v>1065853362</v>
      </c>
      <c r="C1332" s="11">
        <v>45936.497847222199</v>
      </c>
      <c r="D1332" s="17" t="s">
        <v>1952</v>
      </c>
      <c r="E1332" t="str">
        <f>IF(COUNTIF($B$2:B1332,B1332)&gt;1,"Duplicado","Único")</f>
        <v>Único</v>
      </c>
    </row>
    <row r="1333" spans="1:5" x14ac:dyDescent="0.25">
      <c r="A1333" s="15">
        <v>42388</v>
      </c>
      <c r="B1333" s="7">
        <v>1066183870</v>
      </c>
      <c r="C1333" s="11">
        <v>45951.612858796303</v>
      </c>
      <c r="D1333" s="17" t="s">
        <v>2026</v>
      </c>
      <c r="E1333" t="str">
        <f>IF(COUNTIF($B$2:B1333,B1333)&gt;1,"Duplicado","Único")</f>
        <v>Único</v>
      </c>
    </row>
    <row r="1334" spans="1:5" x14ac:dyDescent="0.25">
      <c r="A1334" s="15">
        <v>48930</v>
      </c>
      <c r="B1334" s="7">
        <v>1066738410</v>
      </c>
      <c r="C1334" s="11">
        <v>45980.392893518503</v>
      </c>
      <c r="D1334" s="17" t="s">
        <v>2592</v>
      </c>
      <c r="E1334" t="str">
        <f>IF(COUNTIF($B$2:B1334,B1334)&gt;1,"Duplicado","Único")</f>
        <v>Único</v>
      </c>
    </row>
    <row r="1335" spans="1:5" x14ac:dyDescent="0.25">
      <c r="A1335" s="15">
        <v>27989</v>
      </c>
      <c r="B1335" s="7">
        <v>1067716113</v>
      </c>
      <c r="C1335" s="11">
        <v>45884.476979166699</v>
      </c>
      <c r="D1335" s="17" t="s">
        <v>1308</v>
      </c>
      <c r="E1335" t="str">
        <f>IF(COUNTIF($B$2:B1335,B1335)&gt;1,"Duplicado","Único")</f>
        <v>Único</v>
      </c>
    </row>
    <row r="1336" spans="1:5" x14ac:dyDescent="0.25">
      <c r="A1336" s="15">
        <v>21926</v>
      </c>
      <c r="B1336" s="7">
        <v>1067722562</v>
      </c>
      <c r="C1336" s="11">
        <v>45834.591099537</v>
      </c>
      <c r="D1336" s="17" t="s">
        <v>976</v>
      </c>
      <c r="E1336" t="str">
        <f>IF(COUNTIF($B$2:B1336,B1336)&gt;1,"Duplicado","Único")</f>
        <v>Único</v>
      </c>
    </row>
    <row r="1337" spans="1:5" x14ac:dyDescent="0.25">
      <c r="A1337" s="15">
        <v>37486</v>
      </c>
      <c r="B1337" s="7">
        <v>1067853085</v>
      </c>
      <c r="C1337" s="11">
        <v>45923.466446759303</v>
      </c>
      <c r="D1337" s="17" t="s">
        <v>1798</v>
      </c>
      <c r="E1337" t="str">
        <f>IF(COUNTIF($B$2:B1337,B1337)&gt;1,"Duplicado","Único")</f>
        <v>Único</v>
      </c>
    </row>
    <row r="1338" spans="1:5" x14ac:dyDescent="0.25">
      <c r="A1338" s="15">
        <v>40539</v>
      </c>
      <c r="B1338" s="7">
        <v>1067862201</v>
      </c>
      <c r="C1338" s="11">
        <v>45936.338101851798</v>
      </c>
      <c r="D1338" s="17" t="s">
        <v>1927</v>
      </c>
      <c r="E1338" t="str">
        <f>IF(COUNTIF($B$2:B1338,B1338)&gt;1,"Duplicado","Único")</f>
        <v>Único</v>
      </c>
    </row>
    <row r="1339" spans="1:5" x14ac:dyDescent="0.25">
      <c r="A1339" s="15">
        <v>13804</v>
      </c>
      <c r="B1339" s="7">
        <v>1067885609</v>
      </c>
      <c r="C1339" s="11">
        <v>46149.648553240702</v>
      </c>
      <c r="D1339" s="17" t="s">
        <v>4545</v>
      </c>
      <c r="E1339" t="str">
        <f>IF(COUNTIF($B$2:B1339,B1339)&gt;1,"Duplicado","Único")</f>
        <v>Único</v>
      </c>
    </row>
    <row r="1340" spans="1:5" hidden="1" x14ac:dyDescent="0.25">
      <c r="A1340" s="15">
        <v>13804</v>
      </c>
      <c r="B1340" s="7">
        <v>1067885609</v>
      </c>
      <c r="C1340" s="11">
        <v>46085.471979166701</v>
      </c>
      <c r="D1340" s="17" t="s">
        <v>956</v>
      </c>
      <c r="E1340" t="str">
        <f>IF(COUNTIF($B$2:B1340,B1340)&gt;1,"Duplicado","Único")</f>
        <v>Duplicado</v>
      </c>
    </row>
    <row r="1341" spans="1:5" x14ac:dyDescent="0.25">
      <c r="A1341" s="15">
        <v>53181</v>
      </c>
      <c r="B1341" s="7">
        <v>1067892150</v>
      </c>
      <c r="C1341" s="11">
        <v>46057.3742824074</v>
      </c>
      <c r="D1341" s="17" t="s">
        <v>3660</v>
      </c>
      <c r="E1341" t="str">
        <f>IF(COUNTIF($B$2:B1341,B1341)&gt;1,"Duplicado","Único")</f>
        <v>Único</v>
      </c>
    </row>
    <row r="1342" spans="1:5" hidden="1" x14ac:dyDescent="0.25">
      <c r="A1342" s="15">
        <v>53181</v>
      </c>
      <c r="B1342" s="7">
        <v>1067892150</v>
      </c>
      <c r="C1342" s="11">
        <v>46013.384317129603</v>
      </c>
      <c r="D1342" s="17" t="s">
        <v>2999</v>
      </c>
      <c r="E1342" t="str">
        <f>IF(COUNTIF($B$2:B1342,B1342)&gt;1,"Duplicado","Único")</f>
        <v>Duplicado</v>
      </c>
    </row>
    <row r="1343" spans="1:5" x14ac:dyDescent="0.25">
      <c r="A1343" s="15">
        <v>25349</v>
      </c>
      <c r="B1343" s="7">
        <v>1067895654</v>
      </c>
      <c r="C1343" s="11">
        <v>45860.434236111098</v>
      </c>
      <c r="D1343" s="17" t="s">
        <v>1123</v>
      </c>
      <c r="E1343" t="str">
        <f>IF(COUNTIF($B$2:B1343,B1343)&gt;1,"Duplicado","Único")</f>
        <v>Único</v>
      </c>
    </row>
    <row r="1344" spans="1:5" x14ac:dyDescent="0.25">
      <c r="A1344" s="15">
        <v>3369</v>
      </c>
      <c r="B1344" s="7">
        <v>1067903554</v>
      </c>
      <c r="C1344" s="11">
        <v>46086.786608796298</v>
      </c>
      <c r="D1344" s="17" t="s">
        <v>3978</v>
      </c>
      <c r="E1344" t="str">
        <f>IF(COUNTIF($B$2:B1344,B1344)&gt;1,"Duplicado","Único")</f>
        <v>Único</v>
      </c>
    </row>
    <row r="1345" spans="1:5" hidden="1" x14ac:dyDescent="0.25">
      <c r="A1345" s="15">
        <v>3369</v>
      </c>
      <c r="B1345" s="7">
        <v>1067903554</v>
      </c>
      <c r="C1345" s="11">
        <v>46055.466944444401</v>
      </c>
      <c r="D1345" s="17" t="s">
        <v>3603</v>
      </c>
      <c r="E1345" t="str">
        <f>IF(COUNTIF($B$2:B1345,B1345)&gt;1,"Duplicado","Único")</f>
        <v>Duplicado</v>
      </c>
    </row>
    <row r="1346" spans="1:5" x14ac:dyDescent="0.25">
      <c r="A1346" s="15">
        <v>30086</v>
      </c>
      <c r="B1346" s="7">
        <v>1067914977</v>
      </c>
      <c r="C1346" s="11">
        <v>45897.648877314801</v>
      </c>
      <c r="D1346" s="17" t="s">
        <v>1441</v>
      </c>
      <c r="E1346" t="str">
        <f>IF(COUNTIF($B$2:B1346,B1346)&gt;1,"Duplicado","Único")</f>
        <v>Único</v>
      </c>
    </row>
    <row r="1347" spans="1:5" hidden="1" x14ac:dyDescent="0.25">
      <c r="A1347" s="15">
        <v>19042</v>
      </c>
      <c r="B1347" s="7">
        <v>1067914977</v>
      </c>
      <c r="C1347" s="11">
        <v>45813.714930555601</v>
      </c>
      <c r="D1347" s="17" t="s">
        <v>809</v>
      </c>
      <c r="E1347" t="str">
        <f>IF(COUNTIF($B$2:B1347,B1347)&gt;1,"Duplicado","Único")</f>
        <v>Duplicado</v>
      </c>
    </row>
    <row r="1348" spans="1:5" x14ac:dyDescent="0.25">
      <c r="A1348" s="15">
        <v>32658</v>
      </c>
      <c r="B1348" s="7">
        <v>1067921612</v>
      </c>
      <c r="C1348" s="11">
        <v>45909.6967939815</v>
      </c>
      <c r="D1348" s="17" t="s">
        <v>1632</v>
      </c>
      <c r="E1348" t="str">
        <f>IF(COUNTIF($B$2:B1348,B1348)&gt;1,"Duplicado","Único")</f>
        <v>Único</v>
      </c>
    </row>
    <row r="1349" spans="1:5" x14ac:dyDescent="0.25">
      <c r="A1349" s="15">
        <v>22577</v>
      </c>
      <c r="B1349" s="7">
        <v>1067922918</v>
      </c>
      <c r="C1349" s="11">
        <v>45842.334374999999</v>
      </c>
      <c r="D1349" s="17" t="s">
        <v>1027</v>
      </c>
      <c r="E1349" t="str">
        <f>IF(COUNTIF($B$2:B1349,B1349)&gt;1,"Duplicado","Único")</f>
        <v>Único</v>
      </c>
    </row>
    <row r="1350" spans="1:5" x14ac:dyDescent="0.25">
      <c r="A1350" s="15">
        <v>24849</v>
      </c>
      <c r="B1350" s="7">
        <v>1067923883</v>
      </c>
      <c r="C1350" s="11">
        <v>45859.472245370402</v>
      </c>
      <c r="D1350" s="17" t="s">
        <v>1101</v>
      </c>
      <c r="E1350" t="str">
        <f>IF(COUNTIF($B$2:B1350,B1350)&gt;1,"Duplicado","Único")</f>
        <v>Único</v>
      </c>
    </row>
    <row r="1351" spans="1:5" x14ac:dyDescent="0.25">
      <c r="A1351" s="15">
        <v>50567</v>
      </c>
      <c r="B1351" s="7">
        <v>1067926739</v>
      </c>
      <c r="C1351" s="11">
        <v>46050.649849537003</v>
      </c>
      <c r="D1351" s="17" t="s">
        <v>3360</v>
      </c>
      <c r="E1351" t="str">
        <f>IF(COUNTIF($B$2:B1351,B1351)&gt;1,"Duplicado","Único")</f>
        <v>Único</v>
      </c>
    </row>
    <row r="1352" spans="1:5" hidden="1" x14ac:dyDescent="0.25">
      <c r="A1352" s="15">
        <v>50567</v>
      </c>
      <c r="B1352" s="7">
        <v>1067926739</v>
      </c>
      <c r="C1352" s="11">
        <v>45989.405740740702</v>
      </c>
      <c r="D1352" s="17" t="s">
        <v>2779</v>
      </c>
      <c r="E1352" t="str">
        <f>IF(COUNTIF($B$2:B1352,B1352)&gt;1,"Duplicado","Único")</f>
        <v>Duplicado</v>
      </c>
    </row>
    <row r="1353" spans="1:5" x14ac:dyDescent="0.25">
      <c r="A1353" s="15">
        <v>22292</v>
      </c>
      <c r="B1353" s="7">
        <v>1067935882</v>
      </c>
      <c r="C1353" s="11">
        <v>45835.723784722199</v>
      </c>
      <c r="D1353" s="17" t="s">
        <v>1003</v>
      </c>
      <c r="E1353" t="str">
        <f>IF(COUNTIF($B$2:B1353,B1353)&gt;1,"Duplicado","Único")</f>
        <v>Único</v>
      </c>
    </row>
    <row r="1354" spans="1:5" x14ac:dyDescent="0.25">
      <c r="A1354" s="15">
        <v>2293</v>
      </c>
      <c r="B1354" s="7">
        <v>1067937969</v>
      </c>
      <c r="C1354" s="11">
        <v>46049.480868055602</v>
      </c>
      <c r="D1354" s="17" t="s">
        <v>3218</v>
      </c>
      <c r="E1354" t="str">
        <f>IF(COUNTIF($B$2:B1354,B1354)&gt;1,"Duplicado","Único")</f>
        <v>Único</v>
      </c>
    </row>
    <row r="1355" spans="1:5" x14ac:dyDescent="0.25">
      <c r="A1355" s="15">
        <v>17632</v>
      </c>
      <c r="B1355" s="7">
        <v>1067942673</v>
      </c>
      <c r="C1355" s="11">
        <v>45797.605277777802</v>
      </c>
      <c r="D1355" s="17" t="s">
        <v>720</v>
      </c>
      <c r="E1355" t="str">
        <f>IF(COUNTIF($B$2:B1355,B1355)&gt;1,"Duplicado","Único")</f>
        <v>Único</v>
      </c>
    </row>
    <row r="1356" spans="1:5" x14ac:dyDescent="0.25">
      <c r="A1356" s="15">
        <v>45824</v>
      </c>
      <c r="B1356" s="7">
        <v>1067948899</v>
      </c>
      <c r="C1356" s="11">
        <v>45960.646666666697</v>
      </c>
      <c r="D1356" s="17" t="s">
        <v>2263</v>
      </c>
      <c r="E1356" t="str">
        <f>IF(COUNTIF($B$2:B1356,B1356)&gt;1,"Duplicado","Único")</f>
        <v>Único</v>
      </c>
    </row>
    <row r="1357" spans="1:5" x14ac:dyDescent="0.25">
      <c r="A1357" s="15">
        <v>48558</v>
      </c>
      <c r="B1357" s="7">
        <v>1067961924</v>
      </c>
      <c r="C1357" s="11">
        <v>46050.676597222198</v>
      </c>
      <c r="D1357" s="17" t="s">
        <v>3394</v>
      </c>
      <c r="E1357" t="str">
        <f>IF(COUNTIF($B$2:B1357,B1357)&gt;1,"Duplicado","Único")</f>
        <v>Único</v>
      </c>
    </row>
    <row r="1358" spans="1:5" hidden="1" x14ac:dyDescent="0.25">
      <c r="A1358" s="15">
        <v>48558</v>
      </c>
      <c r="B1358" s="7">
        <v>1067961924</v>
      </c>
      <c r="C1358" s="11">
        <v>45996.503298611096</v>
      </c>
      <c r="D1358" s="17" t="s">
        <v>2830</v>
      </c>
      <c r="E1358" t="str">
        <f>IF(COUNTIF($B$2:B1358,B1358)&gt;1,"Duplicado","Único")</f>
        <v>Duplicado</v>
      </c>
    </row>
    <row r="1359" spans="1:5" hidden="1" x14ac:dyDescent="0.25">
      <c r="A1359" s="15">
        <v>48558</v>
      </c>
      <c r="B1359" s="7">
        <v>1067961924</v>
      </c>
      <c r="C1359" s="11">
        <v>45979.513541666704</v>
      </c>
      <c r="D1359" s="17" t="s">
        <v>2559</v>
      </c>
      <c r="E1359" t="str">
        <f>IF(COUNTIF($B$2:B1359,B1359)&gt;1,"Duplicado","Único")</f>
        <v>Duplicado</v>
      </c>
    </row>
    <row r="1360" spans="1:5" x14ac:dyDescent="0.25">
      <c r="A1360" s="15">
        <v>29960</v>
      </c>
      <c r="B1360" s="7">
        <v>1067963211</v>
      </c>
      <c r="C1360" s="11">
        <v>45898.468773148103</v>
      </c>
      <c r="D1360" s="17" t="s">
        <v>1456</v>
      </c>
      <c r="E1360" t="str">
        <f>IF(COUNTIF($B$2:B1360,B1360)&gt;1,"Duplicado","Único")</f>
        <v>Único</v>
      </c>
    </row>
    <row r="1361" spans="1:5" x14ac:dyDescent="0.25">
      <c r="A1361" s="15">
        <v>33261</v>
      </c>
      <c r="B1361" s="7">
        <v>1067964559</v>
      </c>
      <c r="C1361" s="11">
        <v>45912.711898148104</v>
      </c>
      <c r="D1361" s="17" t="s">
        <v>1689</v>
      </c>
      <c r="E1361" t="str">
        <f>IF(COUNTIF($B$2:B1361,B1361)&gt;1,"Duplicado","Único")</f>
        <v>Único</v>
      </c>
    </row>
    <row r="1362" spans="1:5" x14ac:dyDescent="0.25">
      <c r="A1362" s="15">
        <v>45711</v>
      </c>
      <c r="B1362" s="7">
        <v>1067970412</v>
      </c>
      <c r="C1362" s="11">
        <v>45960.610300925902</v>
      </c>
      <c r="D1362" s="17" t="s">
        <v>2248</v>
      </c>
      <c r="E1362" t="str">
        <f>IF(COUNTIF($B$2:B1362,B1362)&gt;1,"Duplicado","Único")</f>
        <v>Único</v>
      </c>
    </row>
    <row r="1363" spans="1:5" x14ac:dyDescent="0.25">
      <c r="A1363" s="15">
        <v>26536</v>
      </c>
      <c r="B1363" s="7">
        <v>1068669524</v>
      </c>
      <c r="C1363" s="11">
        <v>45867.529699074097</v>
      </c>
      <c r="D1363" s="17" t="s">
        <v>1210</v>
      </c>
      <c r="E1363" t="str">
        <f>IF(COUNTIF($B$2:B1363,B1363)&gt;1,"Duplicado","Único")</f>
        <v>Único</v>
      </c>
    </row>
    <row r="1364" spans="1:5" x14ac:dyDescent="0.25">
      <c r="A1364" s="15">
        <v>49591</v>
      </c>
      <c r="B1364" s="7">
        <v>1069176910</v>
      </c>
      <c r="C1364" s="11">
        <v>46050.456226851798</v>
      </c>
      <c r="D1364" s="17" t="s">
        <v>3251</v>
      </c>
      <c r="E1364" t="str">
        <f>IF(COUNTIF($B$2:B1364,B1364)&gt;1,"Duplicado","Único")</f>
        <v>Único</v>
      </c>
    </row>
    <row r="1365" spans="1:5" hidden="1" x14ac:dyDescent="0.25">
      <c r="A1365" s="15">
        <v>49591</v>
      </c>
      <c r="B1365" s="7">
        <v>1069176910</v>
      </c>
      <c r="C1365" s="11">
        <v>45985.4695601852</v>
      </c>
      <c r="D1365" s="17" t="s">
        <v>2688</v>
      </c>
      <c r="E1365" t="str">
        <f>IF(COUNTIF($B$2:B1365,B1365)&gt;1,"Duplicado","Único")</f>
        <v>Duplicado</v>
      </c>
    </row>
    <row r="1366" spans="1:5" x14ac:dyDescent="0.25">
      <c r="A1366" s="15">
        <v>20873</v>
      </c>
      <c r="B1366" s="7">
        <v>1069304255</v>
      </c>
      <c r="C1366" s="11">
        <v>45821.702118055597</v>
      </c>
      <c r="D1366" s="17" t="s">
        <v>910</v>
      </c>
      <c r="E1366" t="str">
        <f>IF(COUNTIF($B$2:B1366,B1366)&gt;1,"Duplicado","Único")</f>
        <v>Único</v>
      </c>
    </row>
    <row r="1367" spans="1:5" x14ac:dyDescent="0.25">
      <c r="A1367" s="15">
        <v>29751</v>
      </c>
      <c r="B1367" s="7">
        <v>1069485130</v>
      </c>
      <c r="C1367" s="11">
        <v>45895.502557870401</v>
      </c>
      <c r="D1367" s="17" t="s">
        <v>1429</v>
      </c>
      <c r="E1367" t="str">
        <f>IF(COUNTIF($B$2:B1367,B1367)&gt;1,"Duplicado","Único")</f>
        <v>Único</v>
      </c>
    </row>
    <row r="1368" spans="1:5" x14ac:dyDescent="0.25">
      <c r="A1368" s="15">
        <v>48248</v>
      </c>
      <c r="B1368" s="7">
        <v>1069497533</v>
      </c>
      <c r="C1368" s="11">
        <v>45975.661087963003</v>
      </c>
      <c r="D1368" s="17" t="s">
        <v>2521</v>
      </c>
      <c r="E1368" t="str">
        <f>IF(COUNTIF($B$2:B1368,B1368)&gt;1,"Duplicado","Único")</f>
        <v>Único</v>
      </c>
    </row>
    <row r="1369" spans="1:5" x14ac:dyDescent="0.25">
      <c r="A1369" s="15">
        <v>28312</v>
      </c>
      <c r="B1369" s="7">
        <v>1069719706</v>
      </c>
      <c r="C1369" s="11">
        <v>45888.436273148101</v>
      </c>
      <c r="D1369" s="17" t="s">
        <v>1325</v>
      </c>
      <c r="E1369" t="str">
        <f>IF(COUNTIF($B$2:B1369,B1369)&gt;1,"Duplicado","Único")</f>
        <v>Único</v>
      </c>
    </row>
    <row r="1370" spans="1:5" x14ac:dyDescent="0.25">
      <c r="A1370" s="15">
        <v>1894</v>
      </c>
      <c r="B1370" s="7">
        <v>1069723593</v>
      </c>
      <c r="C1370" s="11">
        <v>46052.4151851852</v>
      </c>
      <c r="D1370" s="17" t="s">
        <v>3561</v>
      </c>
      <c r="E1370" t="str">
        <f>IF(COUNTIF($B$2:B1370,B1370)&gt;1,"Duplicado","Único")</f>
        <v>Único</v>
      </c>
    </row>
    <row r="1371" spans="1:5" hidden="1" x14ac:dyDescent="0.25">
      <c r="A1371" s="15">
        <v>1894</v>
      </c>
      <c r="B1371" s="7">
        <v>1069723593</v>
      </c>
      <c r="C1371" s="11">
        <v>46048.660671296297</v>
      </c>
      <c r="D1371" s="17" t="s">
        <v>3212</v>
      </c>
      <c r="E1371" t="str">
        <f>IF(COUNTIF($B$2:B1371,B1371)&gt;1,"Duplicado","Único")</f>
        <v>Duplicado</v>
      </c>
    </row>
    <row r="1372" spans="1:5" x14ac:dyDescent="0.25">
      <c r="A1372" s="15">
        <v>45688</v>
      </c>
      <c r="B1372" s="7">
        <v>1069730173</v>
      </c>
      <c r="C1372" s="11">
        <v>45960.621608796297</v>
      </c>
      <c r="D1372" s="17" t="s">
        <v>2249</v>
      </c>
      <c r="E1372" t="str">
        <f>IF(COUNTIF($B$2:B1372,B1372)&gt;1,"Duplicado","Único")</f>
        <v>Único</v>
      </c>
    </row>
    <row r="1373" spans="1:5" x14ac:dyDescent="0.25">
      <c r="A1373" s="15">
        <v>31203</v>
      </c>
      <c r="B1373" s="7">
        <v>1069748838</v>
      </c>
      <c r="C1373" s="11">
        <v>45903.701400462996</v>
      </c>
      <c r="D1373" s="17" t="s">
        <v>1517</v>
      </c>
      <c r="E1373" t="str">
        <f>IF(COUNTIF($B$2:B1373,B1373)&gt;1,"Duplicado","Único")</f>
        <v>Único</v>
      </c>
    </row>
    <row r="1374" spans="1:5" x14ac:dyDescent="0.25">
      <c r="A1374" s="15">
        <v>45435</v>
      </c>
      <c r="B1374" s="7">
        <v>1069756602</v>
      </c>
      <c r="C1374" s="11">
        <v>45959.407361111102</v>
      </c>
      <c r="D1374" s="17" t="s">
        <v>2221</v>
      </c>
      <c r="E1374" t="str">
        <f>IF(COUNTIF($B$2:B1374,B1374)&gt;1,"Duplicado","Único")</f>
        <v>Único</v>
      </c>
    </row>
    <row r="1375" spans="1:5" x14ac:dyDescent="0.25">
      <c r="A1375" s="15">
        <v>52321</v>
      </c>
      <c r="B1375" s="7">
        <v>1070013858</v>
      </c>
      <c r="C1375" s="11">
        <v>46057.347592592603</v>
      </c>
      <c r="D1375" s="17" t="s">
        <v>3629</v>
      </c>
      <c r="E1375" t="str">
        <f>IF(COUNTIF($B$2:B1375,B1375)&gt;1,"Duplicado","Único")</f>
        <v>Único</v>
      </c>
    </row>
    <row r="1376" spans="1:5" hidden="1" x14ac:dyDescent="0.25">
      <c r="A1376" s="15">
        <v>52321</v>
      </c>
      <c r="B1376" s="7">
        <v>1070013858</v>
      </c>
      <c r="C1376" s="11">
        <v>46009.414027777799</v>
      </c>
      <c r="D1376" s="17" t="s">
        <v>2978</v>
      </c>
      <c r="E1376" t="str">
        <f>IF(COUNTIF($B$2:B1376,B1376)&gt;1,"Duplicado","Único")</f>
        <v>Duplicado</v>
      </c>
    </row>
    <row r="1377" spans="1:5" x14ac:dyDescent="0.25">
      <c r="A1377" s="15">
        <v>19332</v>
      </c>
      <c r="B1377" s="7">
        <v>1070020857</v>
      </c>
      <c r="C1377" s="11">
        <v>45813.759224537003</v>
      </c>
      <c r="D1377" s="17" t="s">
        <v>824</v>
      </c>
      <c r="E1377" t="str">
        <f>IF(COUNTIF($B$2:B1377,B1377)&gt;1,"Duplicado","Único")</f>
        <v>Único</v>
      </c>
    </row>
    <row r="1378" spans="1:5" x14ac:dyDescent="0.25">
      <c r="A1378" s="15">
        <v>47263</v>
      </c>
      <c r="B1378" s="7">
        <v>1070307458</v>
      </c>
      <c r="C1378" s="11">
        <v>45968.756261574097</v>
      </c>
      <c r="D1378" s="17" t="s">
        <v>2404</v>
      </c>
      <c r="E1378" t="str">
        <f>IF(COUNTIF($B$2:B1378,B1378)&gt;1,"Duplicado","Único")</f>
        <v>Único</v>
      </c>
    </row>
    <row r="1379" spans="1:5" x14ac:dyDescent="0.25">
      <c r="A1379" s="15">
        <v>37138</v>
      </c>
      <c r="B1379" s="7">
        <v>1070307672</v>
      </c>
      <c r="C1379" s="11">
        <v>45922.471412036997</v>
      </c>
      <c r="D1379" s="17" t="s">
        <v>1784</v>
      </c>
      <c r="E1379" t="str">
        <f>IF(COUNTIF($B$2:B1379,B1379)&gt;1,"Duplicado","Único")</f>
        <v>Único</v>
      </c>
    </row>
    <row r="1380" spans="1:5" x14ac:dyDescent="0.25">
      <c r="A1380" s="15">
        <v>2516</v>
      </c>
      <c r="B1380" s="7">
        <v>1070595300</v>
      </c>
      <c r="C1380" s="11">
        <v>46086.752939814804</v>
      </c>
      <c r="D1380" s="17" t="s">
        <v>990</v>
      </c>
      <c r="E1380" t="str">
        <f>IF(COUNTIF($B$2:B1380,B1380)&gt;1,"Duplicado","Único")</f>
        <v>Único</v>
      </c>
    </row>
    <row r="1381" spans="1:5" hidden="1" x14ac:dyDescent="0.25">
      <c r="A1381" s="15">
        <v>2516</v>
      </c>
      <c r="B1381" s="7">
        <v>1070595300</v>
      </c>
      <c r="C1381" s="11">
        <v>46051.412870370397</v>
      </c>
      <c r="D1381" s="17" t="s">
        <v>3444</v>
      </c>
      <c r="E1381" t="str">
        <f>IF(COUNTIF($B$2:B1381,B1381)&gt;1,"Duplicado","Único")</f>
        <v>Duplicado</v>
      </c>
    </row>
    <row r="1382" spans="1:5" hidden="1" x14ac:dyDescent="0.25">
      <c r="A1382" s="15">
        <v>32623</v>
      </c>
      <c r="B1382" s="7">
        <v>1070595300</v>
      </c>
      <c r="C1382" s="11">
        <v>45909.6931944444</v>
      </c>
      <c r="D1382" s="17" t="s">
        <v>1629</v>
      </c>
      <c r="E1382" t="str">
        <f>IF(COUNTIF($B$2:B1382,B1382)&gt;1,"Duplicado","Único")</f>
        <v>Duplicado</v>
      </c>
    </row>
    <row r="1383" spans="1:5" x14ac:dyDescent="0.25">
      <c r="A1383" s="15">
        <v>45507</v>
      </c>
      <c r="B1383" s="7">
        <v>1070601498</v>
      </c>
      <c r="C1383" s="11">
        <v>45959.413101851896</v>
      </c>
      <c r="D1383" s="17" t="s">
        <v>2224</v>
      </c>
      <c r="E1383" t="str">
        <f>IF(COUNTIF($B$2:B1383,B1383)&gt;1,"Duplicado","Único")</f>
        <v>Único</v>
      </c>
    </row>
    <row r="1384" spans="1:5" x14ac:dyDescent="0.25">
      <c r="A1384" s="15">
        <v>26166</v>
      </c>
      <c r="B1384" s="7">
        <v>1070617899</v>
      </c>
      <c r="C1384" s="11">
        <v>45867.345555555599</v>
      </c>
      <c r="D1384" s="17" t="s">
        <v>1173</v>
      </c>
      <c r="E1384" t="str">
        <f>IF(COUNTIF($B$2:B1384,B1384)&gt;1,"Duplicado","Único")</f>
        <v>Único</v>
      </c>
    </row>
    <row r="1385" spans="1:5" x14ac:dyDescent="0.25">
      <c r="A1385" s="15">
        <v>18091</v>
      </c>
      <c r="B1385" s="7">
        <v>1070966983</v>
      </c>
      <c r="C1385" s="11">
        <v>45804.705208333296</v>
      </c>
      <c r="D1385" s="17" t="s">
        <v>786</v>
      </c>
      <c r="E1385" t="str">
        <f>IF(COUNTIF($B$2:B1385,B1385)&gt;1,"Duplicado","Único")</f>
        <v>Único</v>
      </c>
    </row>
    <row r="1386" spans="1:5" hidden="1" x14ac:dyDescent="0.25">
      <c r="A1386" s="15">
        <v>18091</v>
      </c>
      <c r="B1386" s="7">
        <v>1070966983</v>
      </c>
      <c r="C1386" s="11">
        <v>45798.436446759297</v>
      </c>
      <c r="D1386" s="17" t="s">
        <v>747</v>
      </c>
      <c r="E1386" t="str">
        <f>IF(COUNTIF($B$2:B1386,B1386)&gt;1,"Duplicado","Único")</f>
        <v>Duplicado</v>
      </c>
    </row>
    <row r="1387" spans="1:5" x14ac:dyDescent="0.25">
      <c r="A1387" s="15">
        <v>32859</v>
      </c>
      <c r="B1387" s="7">
        <v>1070973910</v>
      </c>
      <c r="C1387" s="11">
        <v>45910.450451388897</v>
      </c>
      <c r="D1387" s="17" t="s">
        <v>1647</v>
      </c>
      <c r="E1387" t="str">
        <f>IF(COUNTIF($B$2:B1387,B1387)&gt;1,"Duplicado","Único")</f>
        <v>Único</v>
      </c>
    </row>
    <row r="1388" spans="1:5" x14ac:dyDescent="0.25">
      <c r="A1388" s="15">
        <v>20805</v>
      </c>
      <c r="B1388" s="7">
        <v>1071143583</v>
      </c>
      <c r="C1388" s="11">
        <v>45821.637407407397</v>
      </c>
      <c r="D1388" s="17" t="s">
        <v>906</v>
      </c>
      <c r="E1388" t="str">
        <f>IF(COUNTIF($B$2:B1388,B1388)&gt;1,"Duplicado","Único")</f>
        <v>Único</v>
      </c>
    </row>
    <row r="1389" spans="1:5" x14ac:dyDescent="0.25">
      <c r="A1389" s="15">
        <v>19524</v>
      </c>
      <c r="B1389" s="7">
        <v>1071144422</v>
      </c>
      <c r="C1389" s="11">
        <v>45814.301747685196</v>
      </c>
      <c r="D1389" s="17" t="s">
        <v>834</v>
      </c>
      <c r="E1389" t="str">
        <f>IF(COUNTIF($B$2:B1389,B1389)&gt;1,"Duplicado","Único")</f>
        <v>Único</v>
      </c>
    </row>
    <row r="1390" spans="1:5" x14ac:dyDescent="0.25">
      <c r="A1390" s="15">
        <v>25947</v>
      </c>
      <c r="B1390" s="7">
        <v>1071168332</v>
      </c>
      <c r="C1390" s="11">
        <v>45866.626446759299</v>
      </c>
      <c r="D1390" s="17" t="s">
        <v>1159</v>
      </c>
      <c r="E1390" t="str">
        <f>IF(COUNTIF($B$2:B1390,B1390)&gt;1,"Duplicado","Único")</f>
        <v>Único</v>
      </c>
    </row>
    <row r="1391" spans="1:5" x14ac:dyDescent="0.25">
      <c r="A1391" s="15">
        <v>45079</v>
      </c>
      <c r="B1391" s="7">
        <v>1071170178</v>
      </c>
      <c r="C1391" s="11">
        <v>45958.701122685197</v>
      </c>
      <c r="D1391" s="17" t="s">
        <v>2190</v>
      </c>
      <c r="E1391" t="str">
        <f>IF(COUNTIF($B$2:B1391,B1391)&gt;1,"Duplicado","Único")</f>
        <v>Único</v>
      </c>
    </row>
    <row r="1392" spans="1:5" x14ac:dyDescent="0.25">
      <c r="A1392" s="15">
        <v>22378</v>
      </c>
      <c r="B1392" s="7">
        <v>1072189754</v>
      </c>
      <c r="C1392" s="11">
        <v>45841.510729166701</v>
      </c>
      <c r="D1392" s="17" t="s">
        <v>1006</v>
      </c>
      <c r="E1392" t="str">
        <f>IF(COUNTIF($B$2:B1392,B1392)&gt;1,"Duplicado","Único")</f>
        <v>Único</v>
      </c>
    </row>
    <row r="1393" spans="1:5" x14ac:dyDescent="0.25">
      <c r="A1393" s="15">
        <v>1412</v>
      </c>
      <c r="B1393" s="7">
        <v>1072395480</v>
      </c>
      <c r="C1393" s="11">
        <v>46086.671655092599</v>
      </c>
      <c r="D1393" s="17" t="s">
        <v>3868</v>
      </c>
      <c r="E1393" t="str">
        <f>IF(COUNTIF($B$2:B1393,B1393)&gt;1,"Duplicado","Único")</f>
        <v>Único</v>
      </c>
    </row>
    <row r="1394" spans="1:5" hidden="1" x14ac:dyDescent="0.25">
      <c r="A1394" s="15">
        <v>1412</v>
      </c>
      <c r="B1394" s="7">
        <v>1072395480</v>
      </c>
      <c r="C1394" s="11">
        <v>46036.596377314803</v>
      </c>
      <c r="D1394" s="17" t="s">
        <v>3178</v>
      </c>
      <c r="E1394" t="str">
        <f>IF(COUNTIF($B$2:B1394,B1394)&gt;1,"Duplicado","Único")</f>
        <v>Duplicado</v>
      </c>
    </row>
    <row r="1395" spans="1:5" x14ac:dyDescent="0.25">
      <c r="A1395" s="15">
        <v>16190</v>
      </c>
      <c r="B1395" s="7">
        <v>1072421043</v>
      </c>
      <c r="C1395" s="11">
        <v>46121.497094907398</v>
      </c>
      <c r="D1395" s="17" t="s">
        <v>4402</v>
      </c>
      <c r="E1395" t="str">
        <f>IF(COUNTIF($B$2:B1395,B1395)&gt;1,"Duplicado","Único")</f>
        <v>Único</v>
      </c>
    </row>
    <row r="1396" spans="1:5" hidden="1" x14ac:dyDescent="0.25">
      <c r="A1396" s="15">
        <v>16190</v>
      </c>
      <c r="B1396" s="7">
        <v>1072421043</v>
      </c>
      <c r="C1396" s="11">
        <v>46101.776840277802</v>
      </c>
      <c r="D1396" s="17" t="s">
        <v>4132</v>
      </c>
      <c r="E1396" t="str">
        <f>IF(COUNTIF($B$2:B1396,B1396)&gt;1,"Duplicado","Único")</f>
        <v>Duplicado</v>
      </c>
    </row>
    <row r="1397" spans="1:5" x14ac:dyDescent="0.25">
      <c r="A1397" s="15">
        <v>25445</v>
      </c>
      <c r="B1397" s="7">
        <v>1072640027</v>
      </c>
      <c r="C1397" s="11">
        <v>45860.457766203697</v>
      </c>
      <c r="D1397" s="17" t="s">
        <v>1127</v>
      </c>
      <c r="E1397" t="str">
        <f>IF(COUNTIF($B$2:B1397,B1397)&gt;1,"Duplicado","Único")</f>
        <v>Único</v>
      </c>
    </row>
    <row r="1398" spans="1:5" x14ac:dyDescent="0.25">
      <c r="A1398" s="15">
        <v>32161</v>
      </c>
      <c r="B1398" s="7">
        <v>1072643874</v>
      </c>
      <c r="C1398" s="11">
        <v>45908.438784722202</v>
      </c>
      <c r="D1398" s="17" t="s">
        <v>1599</v>
      </c>
      <c r="E1398" t="str">
        <f>IF(COUNTIF($B$2:B1398,B1398)&gt;1,"Duplicado","Único")</f>
        <v>Único</v>
      </c>
    </row>
    <row r="1399" spans="1:5" x14ac:dyDescent="0.25">
      <c r="A1399" s="15">
        <v>53573</v>
      </c>
      <c r="B1399" s="7">
        <v>1072663269</v>
      </c>
      <c r="C1399" s="11">
        <v>46057.374988425901</v>
      </c>
      <c r="D1399" s="17" t="s">
        <v>3661</v>
      </c>
      <c r="E1399" t="str">
        <f>IF(COUNTIF($B$2:B1399,B1399)&gt;1,"Duplicado","Único")</f>
        <v>Único</v>
      </c>
    </row>
    <row r="1400" spans="1:5" hidden="1" x14ac:dyDescent="0.25">
      <c r="A1400" s="15">
        <v>53573</v>
      </c>
      <c r="B1400" s="7">
        <v>1072663269</v>
      </c>
      <c r="C1400" s="11">
        <v>46013.516770833303</v>
      </c>
      <c r="D1400" s="17" t="s">
        <v>3039</v>
      </c>
      <c r="E1400" t="str">
        <f>IF(COUNTIF($B$2:B1400,B1400)&gt;1,"Duplicado","Único")</f>
        <v>Duplicado</v>
      </c>
    </row>
    <row r="1401" spans="1:5" x14ac:dyDescent="0.25">
      <c r="A1401" s="15">
        <v>25873</v>
      </c>
      <c r="B1401" s="7">
        <v>1072663606</v>
      </c>
      <c r="C1401" s="11">
        <v>45866.606307870403</v>
      </c>
      <c r="D1401" s="17" t="s">
        <v>1148</v>
      </c>
      <c r="E1401" t="str">
        <f>IF(COUNTIF($B$2:B1401,B1401)&gt;1,"Duplicado","Único")</f>
        <v>Único</v>
      </c>
    </row>
    <row r="1402" spans="1:5" x14ac:dyDescent="0.25">
      <c r="A1402" s="15">
        <v>31883</v>
      </c>
      <c r="B1402" s="7">
        <v>1072666607</v>
      </c>
      <c r="C1402" s="11">
        <v>45905.6347916667</v>
      </c>
      <c r="D1402" s="17" t="s">
        <v>1566</v>
      </c>
      <c r="E1402" t="str">
        <f>IF(COUNTIF($B$2:B1402,B1402)&gt;1,"Duplicado","Único")</f>
        <v>Único</v>
      </c>
    </row>
    <row r="1403" spans="1:5" x14ac:dyDescent="0.25">
      <c r="A1403" s="15">
        <v>25926</v>
      </c>
      <c r="B1403" s="7">
        <v>1072705652</v>
      </c>
      <c r="C1403" s="11">
        <v>45866.621134259301</v>
      </c>
      <c r="D1403" s="17" t="s">
        <v>1154</v>
      </c>
      <c r="E1403" t="str">
        <f>IF(COUNTIF($B$2:B1403,B1403)&gt;1,"Duplicado","Único")</f>
        <v>Único</v>
      </c>
    </row>
    <row r="1404" spans="1:5" x14ac:dyDescent="0.25">
      <c r="A1404" s="15">
        <v>44448</v>
      </c>
      <c r="B1404" s="7">
        <v>1072709701</v>
      </c>
      <c r="C1404" s="11">
        <v>45958.470150462999</v>
      </c>
      <c r="D1404" s="17" t="s">
        <v>2129</v>
      </c>
      <c r="E1404" t="str">
        <f>IF(COUNTIF($B$2:B1404,B1404)&gt;1,"Duplicado","Único")</f>
        <v>Único</v>
      </c>
    </row>
    <row r="1405" spans="1:5" x14ac:dyDescent="0.25">
      <c r="A1405" s="15">
        <v>40843</v>
      </c>
      <c r="B1405" s="7">
        <v>1072961554</v>
      </c>
      <c r="C1405" s="11">
        <v>45936.496261574102</v>
      </c>
      <c r="D1405" s="17" t="s">
        <v>1951</v>
      </c>
      <c r="E1405" t="str">
        <f>IF(COUNTIF($B$2:B1405,B1405)&gt;1,"Duplicado","Único")</f>
        <v>Único</v>
      </c>
    </row>
    <row r="1406" spans="1:5" x14ac:dyDescent="0.25">
      <c r="A1406" s="15">
        <v>55073</v>
      </c>
      <c r="B1406" s="7">
        <v>1073131037</v>
      </c>
      <c r="C1406" s="11">
        <v>46086.796597222201</v>
      </c>
      <c r="D1406" s="17" t="s">
        <v>3995</v>
      </c>
      <c r="E1406" t="str">
        <f>IF(COUNTIF($B$2:B1406,B1406)&gt;1,"Duplicado","Único")</f>
        <v>Único</v>
      </c>
    </row>
    <row r="1407" spans="1:5" hidden="1" x14ac:dyDescent="0.25">
      <c r="A1407" s="15">
        <v>55073</v>
      </c>
      <c r="B1407" s="7">
        <v>1073131037</v>
      </c>
      <c r="C1407" s="11">
        <v>46020.619907407403</v>
      </c>
      <c r="D1407" s="17" t="s">
        <v>3104</v>
      </c>
      <c r="E1407" t="str">
        <f>IF(COUNTIF($B$2:B1407,B1407)&gt;1,"Duplicado","Único")</f>
        <v>Duplicado</v>
      </c>
    </row>
    <row r="1408" spans="1:5" x14ac:dyDescent="0.25">
      <c r="A1408" s="15">
        <v>35574</v>
      </c>
      <c r="B1408" s="7">
        <v>1073162488</v>
      </c>
      <c r="C1408" s="11">
        <v>45917.4520486111</v>
      </c>
      <c r="D1408" s="17" t="s">
        <v>1734</v>
      </c>
      <c r="E1408" t="str">
        <f>IF(COUNTIF($B$2:B1408,B1408)&gt;1,"Duplicado","Único")</f>
        <v>Único</v>
      </c>
    </row>
    <row r="1409" spans="1:5" x14ac:dyDescent="0.25">
      <c r="A1409" s="15">
        <v>18383</v>
      </c>
      <c r="B1409" s="7">
        <v>1073238756</v>
      </c>
      <c r="C1409" s="11">
        <v>45800.646412037</v>
      </c>
      <c r="D1409" s="17" t="s">
        <v>763</v>
      </c>
      <c r="E1409" t="str">
        <f>IF(COUNTIF($B$2:B1409,B1409)&gt;1,"Duplicado","Único")</f>
        <v>Único</v>
      </c>
    </row>
    <row r="1410" spans="1:5" x14ac:dyDescent="0.25">
      <c r="A1410" s="15">
        <v>43483</v>
      </c>
      <c r="B1410" s="7">
        <v>1073253662</v>
      </c>
      <c r="C1410" s="11">
        <v>45954.709606481498</v>
      </c>
      <c r="D1410" s="17" t="s">
        <v>2083</v>
      </c>
      <c r="E1410" t="str">
        <f>IF(COUNTIF($B$2:B1410,B1410)&gt;1,"Duplicado","Único")</f>
        <v>Único</v>
      </c>
    </row>
    <row r="1411" spans="1:5" x14ac:dyDescent="0.25">
      <c r="A1411" s="15">
        <v>17689</v>
      </c>
      <c r="B1411" s="7">
        <v>1073506423</v>
      </c>
      <c r="C1411" s="11">
        <v>46149.474027777796</v>
      </c>
      <c r="D1411" s="17" t="s">
        <v>1393</v>
      </c>
      <c r="E1411" t="str">
        <f>IF(COUNTIF($B$2:B1411,B1411)&gt;1,"Duplicado","Único")</f>
        <v>Único</v>
      </c>
    </row>
    <row r="1412" spans="1:5" hidden="1" x14ac:dyDescent="0.25">
      <c r="A1412" s="15">
        <v>17689</v>
      </c>
      <c r="B1412" s="7">
        <v>1073506423</v>
      </c>
      <c r="C1412" s="11">
        <v>46108.788321759297</v>
      </c>
      <c r="D1412" s="17" t="s">
        <v>4230</v>
      </c>
      <c r="E1412" t="str">
        <f>IF(COUNTIF($B$2:B1412,B1412)&gt;1,"Duplicado","Único")</f>
        <v>Duplicado</v>
      </c>
    </row>
    <row r="1413" spans="1:5" x14ac:dyDescent="0.25">
      <c r="A1413" s="15">
        <v>33269</v>
      </c>
      <c r="B1413" s="7">
        <v>1073507670</v>
      </c>
      <c r="C1413" s="11">
        <v>45929.379166666702</v>
      </c>
      <c r="D1413" s="17" t="s">
        <v>1850</v>
      </c>
      <c r="E1413" t="str">
        <f>IF(COUNTIF($B$2:B1413,B1413)&gt;1,"Duplicado","Único")</f>
        <v>Único</v>
      </c>
    </row>
    <row r="1414" spans="1:5" hidden="1" x14ac:dyDescent="0.25">
      <c r="A1414" s="15">
        <v>33269</v>
      </c>
      <c r="B1414" s="7">
        <v>1073507670</v>
      </c>
      <c r="C1414" s="11">
        <v>45912.7136342593</v>
      </c>
      <c r="D1414" s="17" t="s">
        <v>1690</v>
      </c>
      <c r="E1414" t="str">
        <f>IF(COUNTIF($B$2:B1414,B1414)&gt;1,"Duplicado","Único")</f>
        <v>Duplicado</v>
      </c>
    </row>
    <row r="1415" spans="1:5" x14ac:dyDescent="0.25">
      <c r="A1415" s="15">
        <v>25830</v>
      </c>
      <c r="B1415" s="7">
        <v>1073518637</v>
      </c>
      <c r="C1415" s="11">
        <v>45866.600104166697</v>
      </c>
      <c r="D1415" s="17" t="s">
        <v>1146</v>
      </c>
      <c r="E1415" t="str">
        <f>IF(COUNTIF($B$2:B1415,B1415)&gt;1,"Duplicado","Único")</f>
        <v>Único</v>
      </c>
    </row>
    <row r="1416" spans="1:5" x14ac:dyDescent="0.25">
      <c r="A1416" s="15">
        <v>39218</v>
      </c>
      <c r="B1416" s="7">
        <v>1073599953</v>
      </c>
      <c r="C1416" s="11">
        <v>45930.374513888899</v>
      </c>
      <c r="D1416" s="17" t="s">
        <v>1872</v>
      </c>
      <c r="E1416" t="str">
        <f>IF(COUNTIF($B$2:B1416,B1416)&gt;1,"Duplicado","Único")</f>
        <v>Único</v>
      </c>
    </row>
    <row r="1417" spans="1:5" x14ac:dyDescent="0.25">
      <c r="A1417" s="15">
        <v>16287</v>
      </c>
      <c r="B1417" s="7">
        <v>1073678266</v>
      </c>
      <c r="C1417" s="11">
        <v>46121.497650463003</v>
      </c>
      <c r="D1417" s="17" t="s">
        <v>4403</v>
      </c>
      <c r="E1417" t="str">
        <f>IF(COUNTIF($B$2:B1417,B1417)&gt;1,"Duplicado","Único")</f>
        <v>Único</v>
      </c>
    </row>
    <row r="1418" spans="1:5" hidden="1" x14ac:dyDescent="0.25">
      <c r="A1418" s="15">
        <v>16287</v>
      </c>
      <c r="B1418" s="7">
        <v>1073678266</v>
      </c>
      <c r="C1418" s="11">
        <v>46101.810162037</v>
      </c>
      <c r="D1418" s="17" t="s">
        <v>4140</v>
      </c>
      <c r="E1418" t="str">
        <f>IF(COUNTIF($B$2:B1418,B1418)&gt;1,"Duplicado","Único")</f>
        <v>Duplicado</v>
      </c>
    </row>
    <row r="1419" spans="1:5" x14ac:dyDescent="0.25">
      <c r="A1419" s="15">
        <v>22461</v>
      </c>
      <c r="B1419" s="7">
        <v>1073707331</v>
      </c>
      <c r="C1419" s="11">
        <v>45841.532627314802</v>
      </c>
      <c r="D1419" s="17" t="s">
        <v>1012</v>
      </c>
      <c r="E1419" t="str">
        <f>IF(COUNTIF($B$2:B1419,B1419)&gt;1,"Duplicado","Único")</f>
        <v>Único</v>
      </c>
    </row>
    <row r="1420" spans="1:5" x14ac:dyDescent="0.25">
      <c r="A1420" s="15">
        <v>53938</v>
      </c>
      <c r="B1420" s="7">
        <v>1073828721</v>
      </c>
      <c r="C1420" s="11">
        <v>46057.375567129602</v>
      </c>
      <c r="D1420" s="17" t="s">
        <v>3662</v>
      </c>
      <c r="E1420" t="str">
        <f>IF(COUNTIF($B$2:B1420,B1420)&gt;1,"Duplicado","Único")</f>
        <v>Único</v>
      </c>
    </row>
    <row r="1421" spans="1:5" hidden="1" x14ac:dyDescent="0.25">
      <c r="A1421" s="15">
        <v>53938</v>
      </c>
      <c r="B1421" s="7">
        <v>1073828721</v>
      </c>
      <c r="C1421" s="11">
        <v>46013.620150463001</v>
      </c>
      <c r="D1421" s="17" t="s">
        <v>3049</v>
      </c>
      <c r="E1421" t="str">
        <f>IF(COUNTIF($B$2:B1421,B1421)&gt;1,"Duplicado","Único")</f>
        <v>Duplicado</v>
      </c>
    </row>
    <row r="1422" spans="1:5" x14ac:dyDescent="0.25">
      <c r="A1422" s="15">
        <v>48743</v>
      </c>
      <c r="B1422" s="7">
        <v>1074129623</v>
      </c>
      <c r="C1422" s="11">
        <v>45979.645196759302</v>
      </c>
      <c r="D1422" s="17" t="s">
        <v>2568</v>
      </c>
      <c r="E1422" t="str">
        <f>IF(COUNTIF($B$2:B1422,B1422)&gt;1,"Duplicado","Único")</f>
        <v>Único</v>
      </c>
    </row>
    <row r="1423" spans="1:5" x14ac:dyDescent="0.25">
      <c r="A1423" s="15">
        <v>39154</v>
      </c>
      <c r="B1423" s="7">
        <v>1074808802</v>
      </c>
      <c r="C1423" s="11">
        <v>45930.301770833299</v>
      </c>
      <c r="D1423" s="17" t="s">
        <v>1869</v>
      </c>
      <c r="E1423" t="str">
        <f>IF(COUNTIF($B$2:B1423,B1423)&gt;1,"Duplicado","Único")</f>
        <v>Único</v>
      </c>
    </row>
    <row r="1424" spans="1:5" hidden="1" x14ac:dyDescent="0.25">
      <c r="A1424" s="15">
        <v>39154</v>
      </c>
      <c r="B1424" s="7">
        <v>1074808802</v>
      </c>
      <c r="C1424" s="11">
        <v>45929.6022337963</v>
      </c>
      <c r="D1424" s="17" t="s">
        <v>1867</v>
      </c>
      <c r="E1424" t="str">
        <f>IF(COUNTIF($B$2:B1424,B1424)&gt;1,"Duplicado","Único")</f>
        <v>Duplicado</v>
      </c>
    </row>
    <row r="1425" spans="1:5" x14ac:dyDescent="0.25">
      <c r="A1425" s="15">
        <v>31014</v>
      </c>
      <c r="B1425" s="7">
        <v>1075209745</v>
      </c>
      <c r="C1425" s="11">
        <v>45911.4319791667</v>
      </c>
      <c r="D1425" s="17" t="s">
        <v>1662</v>
      </c>
      <c r="E1425" t="str">
        <f>IF(COUNTIF($B$2:B1425,B1425)&gt;1,"Duplicado","Único")</f>
        <v>Único</v>
      </c>
    </row>
    <row r="1426" spans="1:5" x14ac:dyDescent="0.25">
      <c r="A1426" s="15">
        <v>53027</v>
      </c>
      <c r="B1426" s="7">
        <v>1075211679</v>
      </c>
      <c r="C1426" s="11">
        <v>46057.460763888899</v>
      </c>
      <c r="D1426" s="17" t="s">
        <v>3733</v>
      </c>
      <c r="E1426" t="str">
        <f>IF(COUNTIF($B$2:B1426,B1426)&gt;1,"Duplicado","Único")</f>
        <v>Único</v>
      </c>
    </row>
    <row r="1427" spans="1:5" hidden="1" x14ac:dyDescent="0.25">
      <c r="A1427" s="15">
        <v>53027</v>
      </c>
      <c r="B1427" s="7">
        <v>1075211679</v>
      </c>
      <c r="C1427" s="11">
        <v>46017.514270833301</v>
      </c>
      <c r="D1427" s="17" t="s">
        <v>3089</v>
      </c>
      <c r="E1427" t="str">
        <f>IF(COUNTIF($B$2:B1427,B1427)&gt;1,"Duplicado","Único")</f>
        <v>Duplicado</v>
      </c>
    </row>
    <row r="1428" spans="1:5" hidden="1" x14ac:dyDescent="0.25">
      <c r="A1428" s="15">
        <v>53027</v>
      </c>
      <c r="B1428" s="7">
        <v>1075211679</v>
      </c>
      <c r="C1428" s="11">
        <v>46013.441365740699</v>
      </c>
      <c r="D1428" s="17" t="s">
        <v>3007</v>
      </c>
      <c r="E1428" t="str">
        <f>IF(COUNTIF($B$2:B1428,B1428)&gt;1,"Duplicado","Único")</f>
        <v>Duplicado</v>
      </c>
    </row>
    <row r="1429" spans="1:5" x14ac:dyDescent="0.25">
      <c r="A1429" s="15">
        <v>3849</v>
      </c>
      <c r="B1429" s="7">
        <v>1075216510</v>
      </c>
      <c r="C1429" s="11">
        <v>46086.7870833333</v>
      </c>
      <c r="D1429" s="17" t="s">
        <v>3979</v>
      </c>
      <c r="E1429" t="str">
        <f>IF(COUNTIF($B$2:B1429,B1429)&gt;1,"Duplicado","Único")</f>
        <v>Único</v>
      </c>
    </row>
    <row r="1430" spans="1:5" hidden="1" x14ac:dyDescent="0.25">
      <c r="A1430" s="15">
        <v>3849</v>
      </c>
      <c r="B1430" s="7">
        <v>1075216510</v>
      </c>
      <c r="C1430" s="11">
        <v>46055.414236111101</v>
      </c>
      <c r="D1430" s="17" t="s">
        <v>3589</v>
      </c>
      <c r="E1430" t="str">
        <f>IF(COUNTIF($B$2:B1430,B1430)&gt;1,"Duplicado","Único")</f>
        <v>Duplicado</v>
      </c>
    </row>
    <row r="1431" spans="1:5" x14ac:dyDescent="0.25">
      <c r="A1431" s="15">
        <v>21315</v>
      </c>
      <c r="B1431" s="7">
        <v>1075227344</v>
      </c>
      <c r="C1431" s="11">
        <v>45824.466192129599</v>
      </c>
      <c r="D1431" s="17" t="s">
        <v>937</v>
      </c>
      <c r="E1431" t="str">
        <f>IF(COUNTIF($B$2:B1431,B1431)&gt;1,"Duplicado","Único")</f>
        <v>Único</v>
      </c>
    </row>
    <row r="1432" spans="1:5" x14ac:dyDescent="0.25">
      <c r="A1432" s="15">
        <v>18131</v>
      </c>
      <c r="B1432" s="7">
        <v>1075229316</v>
      </c>
      <c r="C1432" s="11">
        <v>46149.419872685197</v>
      </c>
      <c r="D1432" s="17" t="s">
        <v>4453</v>
      </c>
      <c r="E1432" t="str">
        <f>IF(COUNTIF($B$2:B1432,B1432)&gt;1,"Duplicado","Único")</f>
        <v>Único</v>
      </c>
    </row>
    <row r="1433" spans="1:5" hidden="1" x14ac:dyDescent="0.25">
      <c r="A1433" s="15">
        <v>18131</v>
      </c>
      <c r="B1433" s="7">
        <v>1075229316</v>
      </c>
      <c r="C1433" s="11">
        <v>46118.349513888897</v>
      </c>
      <c r="D1433" s="17" t="s">
        <v>1176</v>
      </c>
      <c r="E1433" t="str">
        <f>IF(COUNTIF($B$2:B1433,B1433)&gt;1,"Duplicado","Único")</f>
        <v>Duplicado</v>
      </c>
    </row>
    <row r="1434" spans="1:5" x14ac:dyDescent="0.25">
      <c r="A1434" s="15">
        <v>27198</v>
      </c>
      <c r="B1434" s="7">
        <v>1075233321</v>
      </c>
      <c r="C1434" s="11">
        <v>45874.469409722202</v>
      </c>
      <c r="D1434" s="17" t="s">
        <v>1253</v>
      </c>
      <c r="E1434" t="str">
        <f>IF(COUNTIF($B$2:B1434,B1434)&gt;1,"Duplicado","Único")</f>
        <v>Único</v>
      </c>
    </row>
    <row r="1435" spans="1:5" x14ac:dyDescent="0.25">
      <c r="A1435" s="15">
        <v>18281</v>
      </c>
      <c r="B1435" s="7">
        <v>1075235815</v>
      </c>
      <c r="C1435" s="11">
        <v>46149.4202546296</v>
      </c>
      <c r="D1435" s="17" t="s">
        <v>4454</v>
      </c>
      <c r="E1435" t="str">
        <f>IF(COUNTIF($B$2:B1435,B1435)&gt;1,"Duplicado","Único")</f>
        <v>Único</v>
      </c>
    </row>
    <row r="1436" spans="1:5" hidden="1" x14ac:dyDescent="0.25">
      <c r="A1436" s="15">
        <v>18281</v>
      </c>
      <c r="B1436" s="7">
        <v>1075235815</v>
      </c>
      <c r="C1436" s="11">
        <v>46118.393611111103</v>
      </c>
      <c r="D1436" s="17" t="s">
        <v>4246</v>
      </c>
      <c r="E1436" t="str">
        <f>IF(COUNTIF($B$2:B1436,B1436)&gt;1,"Duplicado","Único")</f>
        <v>Duplicado</v>
      </c>
    </row>
    <row r="1437" spans="1:5" x14ac:dyDescent="0.25">
      <c r="A1437" s="15">
        <v>25998</v>
      </c>
      <c r="B1437" s="7">
        <v>1075238502</v>
      </c>
      <c r="C1437" s="11">
        <v>45866.639710648102</v>
      </c>
      <c r="D1437" s="17" t="s">
        <v>1164</v>
      </c>
      <c r="E1437" t="str">
        <f>IF(COUNTIF($B$2:B1437,B1437)&gt;1,"Duplicado","Único")</f>
        <v>Único</v>
      </c>
    </row>
    <row r="1438" spans="1:5" x14ac:dyDescent="0.25">
      <c r="A1438" s="15">
        <v>3867</v>
      </c>
      <c r="B1438" s="7">
        <v>1075243630</v>
      </c>
      <c r="C1438" s="11">
        <v>46086.787557870397</v>
      </c>
      <c r="D1438" s="17" t="s">
        <v>3980</v>
      </c>
      <c r="E1438" t="str">
        <f>IF(COUNTIF($B$2:B1438,B1438)&gt;1,"Duplicado","Único")</f>
        <v>Único</v>
      </c>
    </row>
    <row r="1439" spans="1:5" hidden="1" x14ac:dyDescent="0.25">
      <c r="A1439" s="15">
        <v>3867</v>
      </c>
      <c r="B1439" s="7">
        <v>1075243630</v>
      </c>
      <c r="C1439" s="11">
        <v>46055.416435185201</v>
      </c>
      <c r="D1439" s="17" t="s">
        <v>3592</v>
      </c>
      <c r="E1439" t="str">
        <f>IF(COUNTIF($B$2:B1439,B1439)&gt;1,"Duplicado","Único")</f>
        <v>Duplicado</v>
      </c>
    </row>
    <row r="1440" spans="1:5" x14ac:dyDescent="0.25">
      <c r="A1440" s="15">
        <v>51229</v>
      </c>
      <c r="B1440" s="7">
        <v>1075246464</v>
      </c>
      <c r="C1440" s="11">
        <v>46051.336469907401</v>
      </c>
      <c r="D1440" s="17" t="s">
        <v>3425</v>
      </c>
      <c r="E1440" t="str">
        <f>IF(COUNTIF($B$2:B1440,B1440)&gt;1,"Duplicado","Único")</f>
        <v>Único</v>
      </c>
    </row>
    <row r="1441" spans="1:5" hidden="1" x14ac:dyDescent="0.25">
      <c r="A1441" s="15">
        <v>51229</v>
      </c>
      <c r="B1441" s="7">
        <v>1075246464</v>
      </c>
      <c r="C1441" s="11">
        <v>46001.487511574102</v>
      </c>
      <c r="D1441" s="17" t="s">
        <v>2857</v>
      </c>
      <c r="E1441" t="str">
        <f>IF(COUNTIF($B$2:B1441,B1441)&gt;1,"Duplicado","Único")</f>
        <v>Duplicado</v>
      </c>
    </row>
    <row r="1442" spans="1:5" x14ac:dyDescent="0.25">
      <c r="A1442" s="15">
        <v>48967</v>
      </c>
      <c r="B1442" s="7">
        <v>1075264616</v>
      </c>
      <c r="C1442" s="11">
        <v>45980.396273148202</v>
      </c>
      <c r="D1442" s="17" t="s">
        <v>2595</v>
      </c>
      <c r="E1442" t="str">
        <f>IF(COUNTIF($B$2:B1442,B1442)&gt;1,"Duplicado","Único")</f>
        <v>Único</v>
      </c>
    </row>
    <row r="1443" spans="1:5" x14ac:dyDescent="0.25">
      <c r="A1443" s="15">
        <v>48441</v>
      </c>
      <c r="B1443" s="7">
        <v>1075265953</v>
      </c>
      <c r="C1443" s="11">
        <v>45979.4379050926</v>
      </c>
      <c r="D1443" s="17" t="s">
        <v>2548</v>
      </c>
      <c r="E1443" t="str">
        <f>IF(COUNTIF($B$2:B1443,B1443)&gt;1,"Duplicado","Único")</f>
        <v>Único</v>
      </c>
    </row>
    <row r="1444" spans="1:5" x14ac:dyDescent="0.25">
      <c r="A1444" s="15">
        <v>23689</v>
      </c>
      <c r="B1444" s="7">
        <v>1075269184</v>
      </c>
      <c r="C1444" s="11">
        <v>45842.483807870398</v>
      </c>
      <c r="D1444" s="17" t="s">
        <v>1053</v>
      </c>
      <c r="E1444" t="str">
        <f>IF(COUNTIF($B$2:B1444,B1444)&gt;1,"Duplicado","Único")</f>
        <v>Único</v>
      </c>
    </row>
    <row r="1445" spans="1:5" x14ac:dyDescent="0.25">
      <c r="A1445" s="15">
        <v>13772</v>
      </c>
      <c r="B1445" s="7">
        <v>1075269777</v>
      </c>
      <c r="C1445" s="11">
        <v>46087.664432870399</v>
      </c>
      <c r="D1445" s="17" t="s">
        <v>4004</v>
      </c>
      <c r="E1445" t="str">
        <f>IF(COUNTIF($B$2:B1445,B1445)&gt;1,"Duplicado","Único")</f>
        <v>Único</v>
      </c>
    </row>
    <row r="1446" spans="1:5" hidden="1" x14ac:dyDescent="0.25">
      <c r="A1446" s="15">
        <v>13772</v>
      </c>
      <c r="B1446" s="7">
        <v>1075269777</v>
      </c>
      <c r="C1446" s="11">
        <v>46085.459074074097</v>
      </c>
      <c r="D1446" s="17" t="s">
        <v>3780</v>
      </c>
      <c r="E1446" t="str">
        <f>IF(COUNTIF($B$2:B1446,B1446)&gt;1,"Duplicado","Único")</f>
        <v>Duplicado</v>
      </c>
    </row>
    <row r="1447" spans="1:5" x14ac:dyDescent="0.25">
      <c r="A1447" s="15">
        <v>24451</v>
      </c>
      <c r="B1447" s="7">
        <v>1075279083</v>
      </c>
      <c r="C1447" s="11">
        <v>45856.486550925903</v>
      </c>
      <c r="D1447" s="17" t="s">
        <v>1081</v>
      </c>
      <c r="E1447" t="str">
        <f>IF(COUNTIF($B$2:B1447,B1447)&gt;1,"Duplicado","Único")</f>
        <v>Único</v>
      </c>
    </row>
    <row r="1448" spans="1:5" x14ac:dyDescent="0.25">
      <c r="A1448" s="15">
        <v>18412</v>
      </c>
      <c r="B1448" s="7">
        <v>1075293567</v>
      </c>
      <c r="C1448" s="11">
        <v>46149.420740740701</v>
      </c>
      <c r="D1448" s="17" t="s">
        <v>4455</v>
      </c>
      <c r="E1448" t="str">
        <f>IF(COUNTIF($B$2:B1448,B1448)&gt;1,"Duplicado","Único")</f>
        <v>Único</v>
      </c>
    </row>
    <row r="1449" spans="1:5" hidden="1" x14ac:dyDescent="0.25">
      <c r="A1449" s="15">
        <v>18412</v>
      </c>
      <c r="B1449" s="7">
        <v>1075293567</v>
      </c>
      <c r="C1449" s="11">
        <v>46118.403842592597</v>
      </c>
      <c r="D1449" s="17" t="s">
        <v>4247</v>
      </c>
      <c r="E1449" t="str">
        <f>IF(COUNTIF($B$2:B1449,B1449)&gt;1,"Duplicado","Único")</f>
        <v>Duplicado</v>
      </c>
    </row>
    <row r="1450" spans="1:5" x14ac:dyDescent="0.25">
      <c r="A1450" s="15">
        <v>33113</v>
      </c>
      <c r="B1450" s="7">
        <v>1075300810</v>
      </c>
      <c r="C1450" s="11">
        <v>45912.511041666701</v>
      </c>
      <c r="D1450" s="17" t="s">
        <v>1677</v>
      </c>
      <c r="E1450" t="str">
        <f>IF(COUNTIF($B$2:B1450,B1450)&gt;1,"Duplicado","Único")</f>
        <v>Único</v>
      </c>
    </row>
    <row r="1451" spans="1:5" x14ac:dyDescent="0.25">
      <c r="A1451" s="15">
        <v>14075</v>
      </c>
      <c r="B1451" s="7">
        <v>1075300872</v>
      </c>
      <c r="C1451" s="11">
        <v>46149.524375000001</v>
      </c>
      <c r="D1451" s="17" t="s">
        <v>4534</v>
      </c>
      <c r="E1451" t="str">
        <f>IF(COUNTIF($B$2:B1451,B1451)&gt;1,"Duplicado","Único")</f>
        <v>Único</v>
      </c>
    </row>
    <row r="1452" spans="1:5" hidden="1" x14ac:dyDescent="0.25">
      <c r="A1452" s="15">
        <v>14075</v>
      </c>
      <c r="B1452" s="7">
        <v>1075300872</v>
      </c>
      <c r="C1452" s="11">
        <v>46086.666643518503</v>
      </c>
      <c r="D1452" s="17" t="s">
        <v>969</v>
      </c>
      <c r="E1452" t="str">
        <f>IF(COUNTIF($B$2:B1452,B1452)&gt;1,"Duplicado","Único")</f>
        <v>Duplicado</v>
      </c>
    </row>
    <row r="1453" spans="1:5" x14ac:dyDescent="0.25">
      <c r="A1453" s="15">
        <v>17854</v>
      </c>
      <c r="B1453" s="7">
        <v>1075303658</v>
      </c>
      <c r="C1453" s="11">
        <v>45797.710462962998</v>
      </c>
      <c r="D1453" s="17" t="s">
        <v>726</v>
      </c>
      <c r="E1453" t="str">
        <f>IF(COUNTIF($B$2:B1453,B1453)&gt;1,"Duplicado","Único")</f>
        <v>Único</v>
      </c>
    </row>
    <row r="1454" spans="1:5" x14ac:dyDescent="0.25">
      <c r="A1454" s="15">
        <v>19131</v>
      </c>
      <c r="B1454" s="7">
        <v>1075314834</v>
      </c>
      <c r="C1454" s="11">
        <v>45813.724247685197</v>
      </c>
      <c r="D1454" s="17" t="s">
        <v>812</v>
      </c>
      <c r="E1454" t="str">
        <f>IF(COUNTIF($B$2:B1454,B1454)&gt;1,"Duplicado","Único")</f>
        <v>Único</v>
      </c>
    </row>
    <row r="1455" spans="1:5" x14ac:dyDescent="0.25">
      <c r="A1455" s="15">
        <v>1748</v>
      </c>
      <c r="B1455" s="7">
        <v>1075320949</v>
      </c>
      <c r="C1455" s="11">
        <v>46086.6894791667</v>
      </c>
      <c r="D1455" s="17" t="s">
        <v>987</v>
      </c>
      <c r="E1455" t="str">
        <f>IF(COUNTIF($B$2:B1455,B1455)&gt;1,"Duplicado","Único")</f>
        <v>Único</v>
      </c>
    </row>
    <row r="1456" spans="1:5" hidden="1" x14ac:dyDescent="0.25">
      <c r="A1456" s="15">
        <v>1748</v>
      </c>
      <c r="B1456" s="7">
        <v>1075320949</v>
      </c>
      <c r="C1456" s="11">
        <v>46037.401168981502</v>
      </c>
      <c r="D1456" s="17" t="s">
        <v>3190</v>
      </c>
      <c r="E1456" t="str">
        <f>IF(COUNTIF($B$2:B1456,B1456)&gt;1,"Duplicado","Único")</f>
        <v>Duplicado</v>
      </c>
    </row>
    <row r="1457" spans="1:5" x14ac:dyDescent="0.25">
      <c r="A1457" s="15">
        <v>756</v>
      </c>
      <c r="B1457" s="7">
        <v>1075541417</v>
      </c>
      <c r="C1457" s="11">
        <v>46086.517893518503</v>
      </c>
      <c r="D1457" s="17" t="s">
        <v>3834</v>
      </c>
      <c r="E1457" t="str">
        <f>IF(COUNTIF($B$2:B1457,B1457)&gt;1,"Duplicado","Único")</f>
        <v>Único</v>
      </c>
    </row>
    <row r="1458" spans="1:5" hidden="1" x14ac:dyDescent="0.25">
      <c r="A1458" s="15">
        <v>756</v>
      </c>
      <c r="B1458" s="7">
        <v>1075541417</v>
      </c>
      <c r="C1458" s="11">
        <v>46035.500069444402</v>
      </c>
      <c r="D1458" s="17" t="s">
        <v>3143</v>
      </c>
      <c r="E1458" t="str">
        <f>IF(COUNTIF($B$2:B1458,B1458)&gt;1,"Duplicado","Único")</f>
        <v>Duplicado</v>
      </c>
    </row>
    <row r="1459" spans="1:5" x14ac:dyDescent="0.25">
      <c r="A1459" s="15">
        <v>38140</v>
      </c>
      <c r="B1459" s="7">
        <v>1075655436</v>
      </c>
      <c r="C1459" s="11">
        <v>45925.363877314798</v>
      </c>
      <c r="D1459" s="17" t="s">
        <v>1818</v>
      </c>
      <c r="E1459" t="str">
        <f>IF(COUNTIF($B$2:B1459,B1459)&gt;1,"Duplicado","Único")</f>
        <v>Único</v>
      </c>
    </row>
    <row r="1460" spans="1:5" x14ac:dyDescent="0.25">
      <c r="A1460" s="15">
        <v>47782</v>
      </c>
      <c r="B1460" s="7">
        <v>1075658402</v>
      </c>
      <c r="C1460" s="11">
        <v>45973.654479166697</v>
      </c>
      <c r="D1460" s="17" t="s">
        <v>2463</v>
      </c>
      <c r="E1460" t="str">
        <f>IF(COUNTIF($B$2:B1460,B1460)&gt;1,"Duplicado","Único")</f>
        <v>Único</v>
      </c>
    </row>
    <row r="1461" spans="1:5" x14ac:dyDescent="0.25">
      <c r="A1461" s="15">
        <v>16194</v>
      </c>
      <c r="B1461" s="7">
        <v>1075661528</v>
      </c>
      <c r="C1461" s="11">
        <v>46121.502997685202</v>
      </c>
      <c r="D1461" s="17" t="s">
        <v>4404</v>
      </c>
      <c r="E1461" t="str">
        <f>IF(COUNTIF($B$2:B1461,B1461)&gt;1,"Duplicado","Único")</f>
        <v>Único</v>
      </c>
    </row>
    <row r="1462" spans="1:5" hidden="1" x14ac:dyDescent="0.25">
      <c r="A1462" s="15">
        <v>16194</v>
      </c>
      <c r="B1462" s="7">
        <v>1075661528</v>
      </c>
      <c r="C1462" s="11">
        <v>46101.777395833298</v>
      </c>
      <c r="D1462" s="17" t="s">
        <v>4133</v>
      </c>
      <c r="E1462" t="str">
        <f>IF(COUNTIF($B$2:B1462,B1462)&gt;1,"Duplicado","Único")</f>
        <v>Duplicado</v>
      </c>
    </row>
    <row r="1463" spans="1:5" x14ac:dyDescent="0.25">
      <c r="A1463" s="15">
        <v>48786</v>
      </c>
      <c r="B1463" s="7">
        <v>1075663719</v>
      </c>
      <c r="C1463" s="11">
        <v>45979.693321759303</v>
      </c>
      <c r="D1463" s="17" t="s">
        <v>2572</v>
      </c>
      <c r="E1463" t="str">
        <f>IF(COUNTIF($B$2:B1463,B1463)&gt;1,"Duplicado","Único")</f>
        <v>Único</v>
      </c>
    </row>
    <row r="1464" spans="1:5" x14ac:dyDescent="0.25">
      <c r="A1464" s="15">
        <v>49136</v>
      </c>
      <c r="B1464" s="7">
        <v>1075673780</v>
      </c>
      <c r="C1464" s="11">
        <v>45981.348969907398</v>
      </c>
      <c r="D1464" s="17" t="s">
        <v>2622</v>
      </c>
      <c r="E1464" t="str">
        <f>IF(COUNTIF($B$2:B1464,B1464)&gt;1,"Duplicado","Único")</f>
        <v>Único</v>
      </c>
    </row>
    <row r="1465" spans="1:5" x14ac:dyDescent="0.25">
      <c r="A1465" s="15">
        <v>48261</v>
      </c>
      <c r="B1465" s="7">
        <v>1075687232</v>
      </c>
      <c r="C1465" s="11">
        <v>45979.359004629601</v>
      </c>
      <c r="D1465" s="17" t="s">
        <v>2539</v>
      </c>
      <c r="E1465" t="str">
        <f>IF(COUNTIF($B$2:B1465,B1465)&gt;1,"Duplicado","Único")</f>
        <v>Único</v>
      </c>
    </row>
    <row r="1466" spans="1:5" x14ac:dyDescent="0.25">
      <c r="A1466" s="15">
        <v>31734</v>
      </c>
      <c r="B1466" s="7">
        <v>1075875529</v>
      </c>
      <c r="C1466" s="11">
        <v>45904.720393518503</v>
      </c>
      <c r="D1466" s="17" t="s">
        <v>1547</v>
      </c>
      <c r="E1466" t="str">
        <f>IF(COUNTIF($B$2:B1466,B1466)&gt;1,"Duplicado","Único")</f>
        <v>Único</v>
      </c>
    </row>
    <row r="1467" spans="1:5" x14ac:dyDescent="0.25">
      <c r="A1467" s="15">
        <v>14000</v>
      </c>
      <c r="B1467" s="7">
        <v>1076329219</v>
      </c>
      <c r="C1467" s="11">
        <v>46149.5258680556</v>
      </c>
      <c r="D1467" s="17" t="s">
        <v>4535</v>
      </c>
      <c r="E1467" t="str">
        <f>IF(COUNTIF($B$2:B1467,B1467)&gt;1,"Duplicado","Único")</f>
        <v>Único</v>
      </c>
    </row>
    <row r="1468" spans="1:5" hidden="1" x14ac:dyDescent="0.25">
      <c r="A1468" s="15">
        <v>14000</v>
      </c>
      <c r="B1468" s="7">
        <v>1076329219</v>
      </c>
      <c r="C1468" s="11">
        <v>46086.6635648148</v>
      </c>
      <c r="D1468" s="17" t="s">
        <v>3862</v>
      </c>
      <c r="E1468" t="str">
        <f>IF(COUNTIF($B$2:B1468,B1468)&gt;1,"Duplicado","Único")</f>
        <v>Duplicado</v>
      </c>
    </row>
    <row r="1469" spans="1:5" x14ac:dyDescent="0.25">
      <c r="A1469" s="15">
        <v>43832</v>
      </c>
      <c r="B1469" s="7">
        <v>1076625519</v>
      </c>
      <c r="C1469" s="11">
        <v>45957.711724537003</v>
      </c>
      <c r="D1469" s="17" t="s">
        <v>2097</v>
      </c>
      <c r="E1469" t="str">
        <f>IF(COUNTIF($B$2:B1469,B1469)&gt;1,"Duplicado","Único")</f>
        <v>Único</v>
      </c>
    </row>
    <row r="1470" spans="1:5" x14ac:dyDescent="0.25">
      <c r="A1470" s="15">
        <v>28159</v>
      </c>
      <c r="B1470" s="7">
        <v>1076652736</v>
      </c>
      <c r="C1470" s="11">
        <v>45884.629108796304</v>
      </c>
      <c r="D1470" s="17" t="s">
        <v>1316</v>
      </c>
      <c r="E1470" t="str">
        <f>IF(COUNTIF($B$2:B1470,B1470)&gt;1,"Duplicado","Único")</f>
        <v>Único</v>
      </c>
    </row>
    <row r="1471" spans="1:5" x14ac:dyDescent="0.25">
      <c r="A1471" s="15">
        <v>26570</v>
      </c>
      <c r="B1471" s="7">
        <v>1076657263</v>
      </c>
      <c r="C1471" s="11">
        <v>45873.490740740701</v>
      </c>
      <c r="D1471" s="17" t="s">
        <v>1225</v>
      </c>
      <c r="E1471" t="str">
        <f>IF(COUNTIF($B$2:B1471,B1471)&gt;1,"Duplicado","Único")</f>
        <v>Único</v>
      </c>
    </row>
    <row r="1472" spans="1:5" hidden="1" x14ac:dyDescent="0.25">
      <c r="A1472" s="15">
        <v>26570</v>
      </c>
      <c r="B1472" s="7">
        <v>1076657263</v>
      </c>
      <c r="C1472" s="11">
        <v>45867.613958333299</v>
      </c>
      <c r="D1472" s="17" t="s">
        <v>1214</v>
      </c>
      <c r="E1472" t="str">
        <f>IF(COUNTIF($B$2:B1472,B1472)&gt;1,"Duplicado","Único")</f>
        <v>Duplicado</v>
      </c>
    </row>
    <row r="1473" spans="1:5" x14ac:dyDescent="0.25">
      <c r="A1473" s="15">
        <v>40860</v>
      </c>
      <c r="B1473" s="7">
        <v>10768412</v>
      </c>
      <c r="C1473" s="11">
        <v>45936.501585648097</v>
      </c>
      <c r="D1473" s="17" t="s">
        <v>1954</v>
      </c>
      <c r="E1473" t="str">
        <f>IF(COUNTIF($B$2:B1473,B1473)&gt;1,"Duplicado","Único")</f>
        <v>Único</v>
      </c>
    </row>
    <row r="1474" spans="1:5" x14ac:dyDescent="0.25">
      <c r="A1474" s="15">
        <v>52716</v>
      </c>
      <c r="B1474" s="7">
        <v>10772526</v>
      </c>
      <c r="C1474" s="11">
        <v>46051.604918981502</v>
      </c>
      <c r="D1474" s="17" t="s">
        <v>3536</v>
      </c>
      <c r="E1474" t="str">
        <f>IF(COUNTIF($B$2:B1474,B1474)&gt;1,"Duplicado","Único")</f>
        <v>Único</v>
      </c>
    </row>
    <row r="1475" spans="1:5" hidden="1" x14ac:dyDescent="0.25">
      <c r="A1475" s="15">
        <v>52716</v>
      </c>
      <c r="B1475" s="7">
        <v>10772526</v>
      </c>
      <c r="C1475" s="11">
        <v>46009.373206018499</v>
      </c>
      <c r="D1475" s="17" t="s">
        <v>2958</v>
      </c>
      <c r="E1475" t="str">
        <f>IF(COUNTIF($B$2:B1475,B1475)&gt;1,"Duplicado","Único")</f>
        <v>Duplicado</v>
      </c>
    </row>
    <row r="1476" spans="1:5" x14ac:dyDescent="0.25">
      <c r="A1476" s="15">
        <v>3290</v>
      </c>
      <c r="B1476" s="7">
        <v>10773266</v>
      </c>
      <c r="C1476" s="11">
        <v>46086.769085648099</v>
      </c>
      <c r="D1476" s="17" t="s">
        <v>3953</v>
      </c>
      <c r="E1476" t="str">
        <f>IF(COUNTIF($B$2:B1476,B1476)&gt;1,"Duplicado","Único")</f>
        <v>Único</v>
      </c>
    </row>
    <row r="1477" spans="1:5" hidden="1" x14ac:dyDescent="0.25">
      <c r="A1477" s="15">
        <v>3290</v>
      </c>
      <c r="B1477" s="7">
        <v>10773266</v>
      </c>
      <c r="C1477" s="11">
        <v>46055.446284722202</v>
      </c>
      <c r="D1477" s="17" t="s">
        <v>3595</v>
      </c>
      <c r="E1477" t="str">
        <f>IF(COUNTIF($B$2:B1477,B1477)&gt;1,"Duplicado","Único")</f>
        <v>Duplicado</v>
      </c>
    </row>
    <row r="1478" spans="1:5" x14ac:dyDescent="0.25">
      <c r="A1478" s="15">
        <v>25475</v>
      </c>
      <c r="B1478" s="7">
        <v>1077435858</v>
      </c>
      <c r="C1478" s="11">
        <v>45891.425208333298</v>
      </c>
      <c r="D1478" s="17" t="s">
        <v>1382</v>
      </c>
      <c r="E1478" t="str">
        <f>IF(COUNTIF($B$2:B1478,B1478)&gt;1,"Duplicado","Único")</f>
        <v>Único</v>
      </c>
    </row>
    <row r="1479" spans="1:5" hidden="1" x14ac:dyDescent="0.25">
      <c r="A1479" s="15">
        <v>25475</v>
      </c>
      <c r="B1479" s="7">
        <v>1077435858</v>
      </c>
      <c r="C1479" s="11">
        <v>45860.461261574099</v>
      </c>
      <c r="D1479" s="17" t="s">
        <v>1129</v>
      </c>
      <c r="E1479" t="str">
        <f>IF(COUNTIF($B$2:B1479,B1479)&gt;1,"Duplicado","Único")</f>
        <v>Duplicado</v>
      </c>
    </row>
    <row r="1480" spans="1:5" x14ac:dyDescent="0.25">
      <c r="A1480" s="15">
        <v>43394</v>
      </c>
      <c r="B1480" s="7">
        <v>1077461189</v>
      </c>
      <c r="C1480" s="11">
        <v>45954.705138888901</v>
      </c>
      <c r="D1480" s="17" t="s">
        <v>2082</v>
      </c>
      <c r="E1480" t="str">
        <f>IF(COUNTIF($B$2:B1480,B1480)&gt;1,"Duplicado","Único")</f>
        <v>Único</v>
      </c>
    </row>
    <row r="1481" spans="1:5" x14ac:dyDescent="0.25">
      <c r="A1481" s="15">
        <v>45475</v>
      </c>
      <c r="B1481" s="7">
        <v>1077463047</v>
      </c>
      <c r="C1481" s="11">
        <v>45959.411979166704</v>
      </c>
      <c r="D1481" s="17" t="s">
        <v>2223</v>
      </c>
      <c r="E1481" t="str">
        <f>IF(COUNTIF($B$2:B1481,B1481)&gt;1,"Duplicado","Único")</f>
        <v>Único</v>
      </c>
    </row>
    <row r="1482" spans="1:5" x14ac:dyDescent="0.25">
      <c r="A1482" s="15">
        <v>3880</v>
      </c>
      <c r="B1482" s="7">
        <v>1077463879</v>
      </c>
      <c r="C1482" s="11">
        <v>46086.787997685198</v>
      </c>
      <c r="D1482" s="17" t="s">
        <v>3981</v>
      </c>
      <c r="E1482" t="str">
        <f>IF(COUNTIF($B$2:B1482,B1482)&gt;1,"Duplicado","Único")</f>
        <v>Único</v>
      </c>
    </row>
    <row r="1483" spans="1:5" hidden="1" x14ac:dyDescent="0.25">
      <c r="A1483" s="15">
        <v>3880</v>
      </c>
      <c r="B1483" s="7">
        <v>1077463879</v>
      </c>
      <c r="C1483" s="11">
        <v>46055.448773148099</v>
      </c>
      <c r="D1483" s="17" t="s">
        <v>3597</v>
      </c>
      <c r="E1483" t="str">
        <f>IF(COUNTIF($B$2:B1483,B1483)&gt;1,"Duplicado","Único")</f>
        <v>Duplicado</v>
      </c>
    </row>
    <row r="1484" spans="1:5" x14ac:dyDescent="0.25">
      <c r="A1484" s="15">
        <v>23747</v>
      </c>
      <c r="B1484" s="7">
        <v>1077468147</v>
      </c>
      <c r="C1484" s="11">
        <v>45842.494143518503</v>
      </c>
      <c r="D1484" s="17" t="s">
        <v>1057</v>
      </c>
      <c r="E1484" t="str">
        <f>IF(COUNTIF($B$2:B1484,B1484)&gt;1,"Duplicado","Único")</f>
        <v>Único</v>
      </c>
    </row>
    <row r="1485" spans="1:5" x14ac:dyDescent="0.25">
      <c r="A1485" s="15">
        <v>30358</v>
      </c>
      <c r="B1485" s="7">
        <v>1077873396</v>
      </c>
      <c r="C1485" s="11">
        <v>45901.708888888897</v>
      </c>
      <c r="D1485" s="17" t="s">
        <v>1497</v>
      </c>
      <c r="E1485" t="str">
        <f>IF(COUNTIF($B$2:B1485,B1485)&gt;1,"Duplicado","Único")</f>
        <v>Único</v>
      </c>
    </row>
    <row r="1486" spans="1:5" x14ac:dyDescent="0.25">
      <c r="A1486" s="15">
        <v>959</v>
      </c>
      <c r="B1486" s="7">
        <v>1077874305</v>
      </c>
      <c r="C1486" s="11">
        <v>46086.677847222199</v>
      </c>
      <c r="D1486" s="17" t="s">
        <v>977</v>
      </c>
      <c r="E1486" t="str">
        <f>IF(COUNTIF($B$2:B1486,B1486)&gt;1,"Duplicado","Único")</f>
        <v>Único</v>
      </c>
    </row>
    <row r="1487" spans="1:5" hidden="1" x14ac:dyDescent="0.25">
      <c r="A1487" s="15">
        <v>959</v>
      </c>
      <c r="B1487" s="7">
        <v>1077874305</v>
      </c>
      <c r="C1487" s="11">
        <v>46036.372326388897</v>
      </c>
      <c r="D1487" s="17" t="s">
        <v>3158</v>
      </c>
      <c r="E1487" t="str">
        <f>IF(COUNTIF($B$2:B1487,B1487)&gt;1,"Duplicado","Único")</f>
        <v>Duplicado</v>
      </c>
    </row>
    <row r="1488" spans="1:5" x14ac:dyDescent="0.25">
      <c r="A1488" s="15">
        <v>18239</v>
      </c>
      <c r="B1488" s="7">
        <v>1077942206</v>
      </c>
      <c r="C1488" s="11">
        <v>46149.421192129601</v>
      </c>
      <c r="D1488" s="17" t="s">
        <v>4456</v>
      </c>
      <c r="E1488" t="str">
        <f>IF(COUNTIF($B$2:B1488,B1488)&gt;1,"Duplicado","Único")</f>
        <v>Único</v>
      </c>
    </row>
    <row r="1489" spans="1:5" hidden="1" x14ac:dyDescent="0.25">
      <c r="A1489" s="15">
        <v>18239</v>
      </c>
      <c r="B1489" s="7">
        <v>1077942206</v>
      </c>
      <c r="C1489" s="11">
        <v>46118.391817129603</v>
      </c>
      <c r="D1489" s="17" t="s">
        <v>1183</v>
      </c>
      <c r="E1489" t="str">
        <f>IF(COUNTIF($B$2:B1489,B1489)&gt;1,"Duplicado","Único")</f>
        <v>Duplicado</v>
      </c>
    </row>
    <row r="1490" spans="1:5" x14ac:dyDescent="0.25">
      <c r="A1490" s="15">
        <v>47454</v>
      </c>
      <c r="B1490" s="7">
        <v>1077942258</v>
      </c>
      <c r="C1490" s="11">
        <v>45971.5246990741</v>
      </c>
      <c r="D1490" s="17" t="s">
        <v>2416</v>
      </c>
      <c r="E1490" t="str">
        <f>IF(COUNTIF($B$2:B1490,B1490)&gt;1,"Duplicado","Único")</f>
        <v>Único</v>
      </c>
    </row>
    <row r="1491" spans="1:5" x14ac:dyDescent="0.25">
      <c r="A1491" s="15">
        <v>47727</v>
      </c>
      <c r="B1491" s="7">
        <v>10779947</v>
      </c>
      <c r="C1491" s="11">
        <v>45973.388043981497</v>
      </c>
      <c r="D1491" s="17" t="s">
        <v>2447</v>
      </c>
      <c r="E1491" t="str">
        <f>IF(COUNTIF($B$2:B1491,B1491)&gt;1,"Duplicado","Único")</f>
        <v>Único</v>
      </c>
    </row>
    <row r="1492" spans="1:5" x14ac:dyDescent="0.25">
      <c r="A1492" s="15">
        <v>48725</v>
      </c>
      <c r="B1492" s="7">
        <v>1079178170</v>
      </c>
      <c r="C1492" s="11">
        <v>45979.599907407399</v>
      </c>
      <c r="D1492" s="17" t="s">
        <v>2562</v>
      </c>
      <c r="E1492" t="str">
        <f>IF(COUNTIF($B$2:B1492,B1492)&gt;1,"Duplicado","Único")</f>
        <v>Único</v>
      </c>
    </row>
    <row r="1493" spans="1:5" x14ac:dyDescent="0.25">
      <c r="A1493" s="15">
        <v>3244</v>
      </c>
      <c r="B1493" s="7">
        <v>1080361120</v>
      </c>
      <c r="C1493" s="11">
        <v>46086.788634259297</v>
      </c>
      <c r="D1493" s="17" t="s">
        <v>3982</v>
      </c>
      <c r="E1493" t="str">
        <f>IF(COUNTIF($B$2:B1493,B1493)&gt;1,"Duplicado","Único")</f>
        <v>Único</v>
      </c>
    </row>
    <row r="1494" spans="1:5" hidden="1" x14ac:dyDescent="0.25">
      <c r="A1494" s="15">
        <v>3244</v>
      </c>
      <c r="B1494" s="7">
        <v>1080361120</v>
      </c>
      <c r="C1494" s="11">
        <v>46055.438831018502</v>
      </c>
      <c r="D1494" s="17" t="s">
        <v>3593</v>
      </c>
      <c r="E1494" t="str">
        <f>IF(COUNTIF($B$2:B1494,B1494)&gt;1,"Duplicado","Único")</f>
        <v>Duplicado</v>
      </c>
    </row>
    <row r="1495" spans="1:5" x14ac:dyDescent="0.25">
      <c r="A1495" s="15">
        <v>35886</v>
      </c>
      <c r="B1495" s="7">
        <v>1080361383</v>
      </c>
      <c r="C1495" s="11">
        <v>45918.4040046296</v>
      </c>
      <c r="D1495" s="17" t="s">
        <v>1738</v>
      </c>
      <c r="E1495" t="str">
        <f>IF(COUNTIF($B$2:B1495,B1495)&gt;1,"Duplicado","Único")</f>
        <v>Único</v>
      </c>
    </row>
    <row r="1496" spans="1:5" x14ac:dyDescent="0.25">
      <c r="A1496" s="15">
        <v>55476</v>
      </c>
      <c r="B1496" s="7">
        <v>1081414714</v>
      </c>
      <c r="C1496" s="11">
        <v>46086.465590277803</v>
      </c>
      <c r="D1496" s="17" t="s">
        <v>3802</v>
      </c>
      <c r="E1496" t="str">
        <f>IF(COUNTIF($B$2:B1496,B1496)&gt;1,"Duplicado","Único")</f>
        <v>Único</v>
      </c>
    </row>
    <row r="1497" spans="1:5" hidden="1" x14ac:dyDescent="0.25">
      <c r="A1497" s="15">
        <v>55476</v>
      </c>
      <c r="B1497" s="7">
        <v>1081414714</v>
      </c>
      <c r="C1497" s="11">
        <v>46022.383946759299</v>
      </c>
      <c r="D1497" s="17" t="s">
        <v>3112</v>
      </c>
      <c r="E1497" t="str">
        <f>IF(COUNTIF($B$2:B1497,B1497)&gt;1,"Duplicado","Único")</f>
        <v>Duplicado</v>
      </c>
    </row>
    <row r="1498" spans="1:5" x14ac:dyDescent="0.25">
      <c r="A1498" s="15">
        <v>47896</v>
      </c>
      <c r="B1498" s="7">
        <v>1081795818</v>
      </c>
      <c r="C1498" s="11">
        <v>45973.672349537002</v>
      </c>
      <c r="D1498" s="17" t="s">
        <v>2476</v>
      </c>
      <c r="E1498" t="str">
        <f>IF(COUNTIF($B$2:B1498,B1498)&gt;1,"Duplicado","Único")</f>
        <v>Único</v>
      </c>
    </row>
    <row r="1499" spans="1:5" x14ac:dyDescent="0.25">
      <c r="A1499" s="15">
        <v>31379</v>
      </c>
      <c r="B1499" s="7">
        <v>1082479657</v>
      </c>
      <c r="C1499" s="11">
        <v>45904.709606481498</v>
      </c>
      <c r="D1499" s="17" t="s">
        <v>1542</v>
      </c>
      <c r="E1499" t="str">
        <f>IF(COUNTIF($B$2:B1499,B1499)&gt;1,"Duplicado","Único")</f>
        <v>Único</v>
      </c>
    </row>
    <row r="1500" spans="1:5" x14ac:dyDescent="0.25">
      <c r="A1500" s="15">
        <v>33059</v>
      </c>
      <c r="B1500" s="7">
        <v>1082690677</v>
      </c>
      <c r="C1500" s="11">
        <v>45911.463738425897</v>
      </c>
      <c r="D1500" s="17" t="s">
        <v>1671</v>
      </c>
      <c r="E1500" t="str">
        <f>IF(COUNTIF($B$2:B1500,B1500)&gt;1,"Duplicado","Único")</f>
        <v>Único</v>
      </c>
    </row>
    <row r="1501" spans="1:5" x14ac:dyDescent="0.25">
      <c r="A1501" s="15">
        <v>47276</v>
      </c>
      <c r="B1501" s="7">
        <v>1082692505</v>
      </c>
      <c r="C1501" s="11">
        <v>45968.7577199074</v>
      </c>
      <c r="D1501" s="17" t="s">
        <v>2406</v>
      </c>
      <c r="E1501" t="str">
        <f>IF(COUNTIF($B$2:B1501,B1501)&gt;1,"Duplicado","Único")</f>
        <v>Único</v>
      </c>
    </row>
    <row r="1502" spans="1:5" x14ac:dyDescent="0.25">
      <c r="A1502" s="15">
        <v>49947</v>
      </c>
      <c r="B1502" s="7">
        <v>1082840810</v>
      </c>
      <c r="C1502" s="11">
        <v>46050.492615740703</v>
      </c>
      <c r="D1502" s="17" t="s">
        <v>3273</v>
      </c>
      <c r="E1502" t="str">
        <f>IF(COUNTIF($B$2:B1502,B1502)&gt;1,"Duplicado","Único")</f>
        <v>Único</v>
      </c>
    </row>
    <row r="1503" spans="1:5" hidden="1" x14ac:dyDescent="0.25">
      <c r="A1503" s="15">
        <v>49947</v>
      </c>
      <c r="B1503" s="7">
        <v>1082840810</v>
      </c>
      <c r="C1503" s="11">
        <v>45986.368703703702</v>
      </c>
      <c r="D1503" s="17" t="s">
        <v>2709</v>
      </c>
      <c r="E1503" t="str">
        <f>IF(COUNTIF($B$2:B1503,B1503)&gt;1,"Duplicado","Único")</f>
        <v>Duplicado</v>
      </c>
    </row>
    <row r="1504" spans="1:5" x14ac:dyDescent="0.25">
      <c r="A1504" s="15">
        <v>51127</v>
      </c>
      <c r="B1504" s="7">
        <v>1082847263</v>
      </c>
      <c r="C1504" s="11">
        <v>46051.337071759299</v>
      </c>
      <c r="D1504" s="17" t="s">
        <v>3426</v>
      </c>
      <c r="E1504" t="str">
        <f>IF(COUNTIF($B$2:B1504,B1504)&gt;1,"Duplicado","Único")</f>
        <v>Único</v>
      </c>
    </row>
    <row r="1505" spans="1:5" hidden="1" x14ac:dyDescent="0.25">
      <c r="A1505" s="15">
        <v>51127</v>
      </c>
      <c r="B1505" s="7">
        <v>1082847263</v>
      </c>
      <c r="C1505" s="11">
        <v>46001.4194907407</v>
      </c>
      <c r="D1505" s="17" t="s">
        <v>2849</v>
      </c>
      <c r="E1505" t="str">
        <f>IF(COUNTIF($B$2:B1505,B1505)&gt;1,"Duplicado","Único")</f>
        <v>Duplicado</v>
      </c>
    </row>
    <row r="1506" spans="1:5" x14ac:dyDescent="0.25">
      <c r="A1506" s="15">
        <v>17279</v>
      </c>
      <c r="B1506" s="7">
        <v>1082904529</v>
      </c>
      <c r="C1506" s="11">
        <v>45833.660474536999</v>
      </c>
      <c r="D1506" s="17" t="s">
        <v>962</v>
      </c>
      <c r="E1506" t="str">
        <f>IF(COUNTIF($B$2:B1506,B1506)&gt;1,"Duplicado","Único")</f>
        <v>Único</v>
      </c>
    </row>
    <row r="1507" spans="1:5" hidden="1" x14ac:dyDescent="0.25">
      <c r="A1507" s="15">
        <v>17279</v>
      </c>
      <c r="B1507" s="7">
        <v>1082904529</v>
      </c>
      <c r="C1507" s="11">
        <v>45790.628032407403</v>
      </c>
      <c r="D1507" s="17" t="s">
        <v>693</v>
      </c>
      <c r="E1507" t="str">
        <f>IF(COUNTIF($B$2:B1507,B1507)&gt;1,"Duplicado","Único")</f>
        <v>Duplicado</v>
      </c>
    </row>
    <row r="1508" spans="1:5" x14ac:dyDescent="0.25">
      <c r="A1508" s="15">
        <v>47801</v>
      </c>
      <c r="B1508" s="7">
        <v>1082904826</v>
      </c>
      <c r="C1508" s="11">
        <v>45973.658020833303</v>
      </c>
      <c r="D1508" s="17" t="s">
        <v>2466</v>
      </c>
      <c r="E1508" t="str">
        <f>IF(COUNTIF($B$2:B1508,B1508)&gt;1,"Duplicado","Único")</f>
        <v>Único</v>
      </c>
    </row>
    <row r="1509" spans="1:5" x14ac:dyDescent="0.25">
      <c r="A1509" s="15">
        <v>37799</v>
      </c>
      <c r="B1509" s="7">
        <v>1082926284</v>
      </c>
      <c r="C1509" s="11">
        <v>45924.3733333333</v>
      </c>
      <c r="D1509" s="17" t="s">
        <v>1800</v>
      </c>
      <c r="E1509" t="str">
        <f>IF(COUNTIF($B$2:B1509,B1509)&gt;1,"Duplicado","Único")</f>
        <v>Único</v>
      </c>
    </row>
    <row r="1510" spans="1:5" x14ac:dyDescent="0.25">
      <c r="A1510" s="15">
        <v>17828</v>
      </c>
      <c r="B1510" s="7">
        <v>1082958322</v>
      </c>
      <c r="C1510" s="11">
        <v>46149.474479166704</v>
      </c>
      <c r="D1510" s="17" t="s">
        <v>4503</v>
      </c>
      <c r="E1510" t="str">
        <f>IF(COUNTIF($B$2:B1510,B1510)&gt;1,"Duplicado","Único")</f>
        <v>Único</v>
      </c>
    </row>
    <row r="1511" spans="1:5" hidden="1" x14ac:dyDescent="0.25">
      <c r="A1511" s="15">
        <v>17828</v>
      </c>
      <c r="B1511" s="7">
        <v>1082958322</v>
      </c>
      <c r="C1511" s="11">
        <v>46108.841944444401</v>
      </c>
      <c r="D1511" s="17" t="s">
        <v>4235</v>
      </c>
      <c r="E1511" t="str">
        <f>IF(COUNTIF($B$2:B1511,B1511)&gt;1,"Duplicado","Único")</f>
        <v>Duplicado</v>
      </c>
    </row>
    <row r="1512" spans="1:5" x14ac:dyDescent="0.25">
      <c r="A1512" s="15">
        <v>32493</v>
      </c>
      <c r="B1512" s="7">
        <v>1082960059</v>
      </c>
      <c r="C1512" s="11">
        <v>45909.445740740703</v>
      </c>
      <c r="D1512" s="17" t="s">
        <v>1616</v>
      </c>
      <c r="E1512" t="str">
        <f>IF(COUNTIF($B$2:B1512,B1512)&gt;1,"Duplicado","Único")</f>
        <v>Único</v>
      </c>
    </row>
    <row r="1513" spans="1:5" x14ac:dyDescent="0.25">
      <c r="A1513" s="15">
        <v>14077</v>
      </c>
      <c r="B1513" s="7">
        <v>1082961230</v>
      </c>
      <c r="C1513" s="11">
        <v>46149.526412036997</v>
      </c>
      <c r="D1513" s="17" t="s">
        <v>4536</v>
      </c>
      <c r="E1513" t="str">
        <f>IF(COUNTIF($B$2:B1513,B1513)&gt;1,"Duplicado","Único")</f>
        <v>Único</v>
      </c>
    </row>
    <row r="1514" spans="1:5" hidden="1" x14ac:dyDescent="0.25">
      <c r="A1514" s="15">
        <v>14077</v>
      </c>
      <c r="B1514" s="7">
        <v>1082961230</v>
      </c>
      <c r="C1514" s="11">
        <v>46086.667488425897</v>
      </c>
      <c r="D1514" s="17" t="s">
        <v>971</v>
      </c>
      <c r="E1514" t="str">
        <f>IF(COUNTIF($B$2:B1514,B1514)&gt;1,"Duplicado","Único")</f>
        <v>Duplicado</v>
      </c>
    </row>
    <row r="1515" spans="1:5" x14ac:dyDescent="0.25">
      <c r="A1515" s="15">
        <v>16682</v>
      </c>
      <c r="B1515" s="7">
        <v>1082967936</v>
      </c>
      <c r="C1515" s="11">
        <v>46121.505335648202</v>
      </c>
      <c r="D1515" s="17" t="s">
        <v>4405</v>
      </c>
      <c r="E1515" t="str">
        <f>IF(COUNTIF($B$2:B1515,B1515)&gt;1,"Duplicado","Único")</f>
        <v>Único</v>
      </c>
    </row>
    <row r="1516" spans="1:5" hidden="1" x14ac:dyDescent="0.25">
      <c r="A1516" s="15">
        <v>16682</v>
      </c>
      <c r="B1516" s="7">
        <v>1082967936</v>
      </c>
      <c r="C1516" s="11">
        <v>46101.847071759301</v>
      </c>
      <c r="D1516" s="17" t="s">
        <v>4171</v>
      </c>
      <c r="E1516" t="str">
        <f>IF(COUNTIF($B$2:B1516,B1516)&gt;1,"Duplicado","Único")</f>
        <v>Duplicado</v>
      </c>
    </row>
    <row r="1517" spans="1:5" x14ac:dyDescent="0.25">
      <c r="A1517" s="15">
        <v>51947</v>
      </c>
      <c r="B1517" s="7">
        <v>1082968171</v>
      </c>
      <c r="C1517" s="11">
        <v>46051.496851851902</v>
      </c>
      <c r="D1517" s="17" t="s">
        <v>3505</v>
      </c>
      <c r="E1517" t="str">
        <f>IF(COUNTIF($B$2:B1517,B1517)&gt;1,"Duplicado","Único")</f>
        <v>Único</v>
      </c>
    </row>
    <row r="1518" spans="1:5" hidden="1" x14ac:dyDescent="0.25">
      <c r="A1518" s="15">
        <v>51947</v>
      </c>
      <c r="B1518" s="7">
        <v>1082968171</v>
      </c>
      <c r="C1518" s="11">
        <v>46003.669513888897</v>
      </c>
      <c r="D1518" s="17" t="s">
        <v>2918</v>
      </c>
      <c r="E1518" t="str">
        <f>IF(COUNTIF($B$2:B1518,B1518)&gt;1,"Duplicado","Único")</f>
        <v>Duplicado</v>
      </c>
    </row>
    <row r="1519" spans="1:5" x14ac:dyDescent="0.25">
      <c r="A1519" s="15">
        <v>20340</v>
      </c>
      <c r="B1519" s="7">
        <v>1082971961</v>
      </c>
      <c r="C1519" s="11">
        <v>45820.4384027778</v>
      </c>
      <c r="D1519" s="17" t="s">
        <v>880</v>
      </c>
      <c r="E1519" t="str">
        <f>IF(COUNTIF($B$2:B1519,B1519)&gt;1,"Duplicado","Único")</f>
        <v>Único</v>
      </c>
    </row>
    <row r="1520" spans="1:5" x14ac:dyDescent="0.25">
      <c r="A1520" s="15">
        <v>24450</v>
      </c>
      <c r="B1520" s="7">
        <v>1082979622</v>
      </c>
      <c r="C1520" s="11">
        <v>45856.483842592599</v>
      </c>
      <c r="D1520" s="17" t="s">
        <v>1080</v>
      </c>
      <c r="E1520" t="str">
        <f>IF(COUNTIF($B$2:B1520,B1520)&gt;1,"Duplicado","Único")</f>
        <v>Único</v>
      </c>
    </row>
    <row r="1521" spans="1:5" x14ac:dyDescent="0.25">
      <c r="A1521" s="15">
        <v>44300</v>
      </c>
      <c r="B1521" s="7">
        <v>1082985719</v>
      </c>
      <c r="C1521" s="11">
        <v>45958.430879629603</v>
      </c>
      <c r="D1521" s="17" t="s">
        <v>2122</v>
      </c>
      <c r="E1521" t="str">
        <f>IF(COUNTIF($B$2:B1521,B1521)&gt;1,"Duplicado","Único")</f>
        <v>Único</v>
      </c>
    </row>
    <row r="1522" spans="1:5" x14ac:dyDescent="0.25">
      <c r="A1522" s="15">
        <v>25943</v>
      </c>
      <c r="B1522" s="7">
        <v>1082989522</v>
      </c>
      <c r="C1522" s="11">
        <v>45866.624374999999</v>
      </c>
      <c r="D1522" s="17" t="s">
        <v>1157</v>
      </c>
      <c r="E1522" t="str">
        <f>IF(COUNTIF($B$2:B1522,B1522)&gt;1,"Duplicado","Único")</f>
        <v>Único</v>
      </c>
    </row>
    <row r="1523" spans="1:5" x14ac:dyDescent="0.25">
      <c r="A1523" s="15">
        <v>44807</v>
      </c>
      <c r="B1523" s="7">
        <v>1082992079</v>
      </c>
      <c r="C1523" s="11">
        <v>45958.638726851903</v>
      </c>
      <c r="D1523" s="17" t="s">
        <v>2167</v>
      </c>
      <c r="E1523" t="str">
        <f>IF(COUNTIF($B$2:B1523,B1523)&gt;1,"Duplicado","Único")</f>
        <v>Único</v>
      </c>
    </row>
    <row r="1524" spans="1:5" x14ac:dyDescent="0.25">
      <c r="A1524" s="15">
        <v>1804</v>
      </c>
      <c r="B1524" s="7">
        <v>1082993395</v>
      </c>
      <c r="C1524" s="11">
        <v>46086.710092592599</v>
      </c>
      <c r="D1524" s="17" t="s">
        <v>3894</v>
      </c>
      <c r="E1524" t="str">
        <f>IF(COUNTIF($B$2:B1524,B1524)&gt;1,"Duplicado","Único")</f>
        <v>Único</v>
      </c>
    </row>
    <row r="1525" spans="1:5" hidden="1" x14ac:dyDescent="0.25">
      <c r="A1525" s="15">
        <v>1804</v>
      </c>
      <c r="B1525" s="7">
        <v>1082993395</v>
      </c>
      <c r="C1525" s="11">
        <v>46048.458726851903</v>
      </c>
      <c r="D1525" s="17" t="s">
        <v>3195</v>
      </c>
      <c r="E1525" t="str">
        <f>IF(COUNTIF($B$2:B1525,B1525)&gt;1,"Duplicado","Único")</f>
        <v>Duplicado</v>
      </c>
    </row>
    <row r="1526" spans="1:5" x14ac:dyDescent="0.25">
      <c r="A1526" s="15">
        <v>33531</v>
      </c>
      <c r="B1526" s="7">
        <v>1082994669</v>
      </c>
      <c r="C1526" s="11">
        <v>45915.409965277802</v>
      </c>
      <c r="D1526" s="17" t="s">
        <v>1700</v>
      </c>
      <c r="E1526" t="str">
        <f>IF(COUNTIF($B$2:B1526,B1526)&gt;1,"Duplicado","Único")</f>
        <v>Único</v>
      </c>
    </row>
    <row r="1527" spans="1:5" x14ac:dyDescent="0.25">
      <c r="A1527" s="15">
        <v>3165</v>
      </c>
      <c r="B1527" s="7">
        <v>1082997011</v>
      </c>
      <c r="C1527" s="11">
        <v>46086.789375</v>
      </c>
      <c r="D1527" s="17" t="s">
        <v>3983</v>
      </c>
      <c r="E1527" t="str">
        <f>IF(COUNTIF($B$2:B1527,B1527)&gt;1,"Duplicado","Único")</f>
        <v>Único</v>
      </c>
    </row>
    <row r="1528" spans="1:5" hidden="1" x14ac:dyDescent="0.25">
      <c r="A1528" s="15">
        <v>3165</v>
      </c>
      <c r="B1528" s="7">
        <v>1082997011</v>
      </c>
      <c r="C1528" s="11">
        <v>46055.408310185201</v>
      </c>
      <c r="D1528" s="17" t="s">
        <v>3585</v>
      </c>
      <c r="E1528" t="str">
        <f>IF(COUNTIF($B$2:B1528,B1528)&gt;1,"Duplicado","Único")</f>
        <v>Duplicado</v>
      </c>
    </row>
    <row r="1529" spans="1:5" x14ac:dyDescent="0.25">
      <c r="A1529" s="15">
        <v>15666</v>
      </c>
      <c r="B1529" s="7">
        <v>1082998533</v>
      </c>
      <c r="C1529" s="11">
        <v>46121.505983796298</v>
      </c>
      <c r="D1529" s="17" t="s">
        <v>4406</v>
      </c>
      <c r="E1529" t="str">
        <f>IF(COUNTIF($B$2:B1529,B1529)&gt;1,"Duplicado","Único")</f>
        <v>Único</v>
      </c>
    </row>
    <row r="1530" spans="1:5" hidden="1" x14ac:dyDescent="0.25">
      <c r="A1530" s="15">
        <v>15666</v>
      </c>
      <c r="B1530" s="7">
        <v>1082998533</v>
      </c>
      <c r="C1530" s="11">
        <v>46101.673842592601</v>
      </c>
      <c r="D1530" s="17" t="s">
        <v>4108</v>
      </c>
      <c r="E1530" t="str">
        <f>IF(COUNTIF($B$2:B1530,B1530)&gt;1,"Duplicado","Único")</f>
        <v>Duplicado</v>
      </c>
    </row>
    <row r="1531" spans="1:5" x14ac:dyDescent="0.25">
      <c r="A1531" s="15">
        <v>32937</v>
      </c>
      <c r="B1531" s="7">
        <v>1083002422</v>
      </c>
      <c r="C1531" s="11">
        <v>45911.381249999999</v>
      </c>
      <c r="D1531" s="17" t="s">
        <v>1657</v>
      </c>
      <c r="E1531" t="str">
        <f>IF(COUNTIF($B$2:B1531,B1531)&gt;1,"Duplicado","Único")</f>
        <v>Único</v>
      </c>
    </row>
    <row r="1532" spans="1:5" x14ac:dyDescent="0.25">
      <c r="A1532" s="15">
        <v>38071</v>
      </c>
      <c r="B1532" s="7">
        <v>1083023567</v>
      </c>
      <c r="C1532" s="11">
        <v>45924.429108796299</v>
      </c>
      <c r="D1532" s="17" t="s">
        <v>1808</v>
      </c>
      <c r="E1532" t="str">
        <f>IF(COUNTIF($B$2:B1532,B1532)&gt;1,"Duplicado","Único")</f>
        <v>Único</v>
      </c>
    </row>
    <row r="1533" spans="1:5" x14ac:dyDescent="0.25">
      <c r="A1533" s="15">
        <v>2356</v>
      </c>
      <c r="B1533" s="7">
        <v>1083024956</v>
      </c>
      <c r="C1533" s="11">
        <v>46086.725324074097</v>
      </c>
      <c r="D1533" s="17" t="s">
        <v>3907</v>
      </c>
      <c r="E1533" t="str">
        <f>IF(COUNTIF($B$2:B1533,B1533)&gt;1,"Duplicado","Único")</f>
        <v>Único</v>
      </c>
    </row>
    <row r="1534" spans="1:5" hidden="1" x14ac:dyDescent="0.25">
      <c r="A1534" s="15">
        <v>2356</v>
      </c>
      <c r="B1534" s="7">
        <v>1083024956</v>
      </c>
      <c r="C1534" s="11">
        <v>46049.488692129598</v>
      </c>
      <c r="D1534" s="17" t="s">
        <v>3219</v>
      </c>
      <c r="E1534" t="str">
        <f>IF(COUNTIF($B$2:B1534,B1534)&gt;1,"Duplicado","Único")</f>
        <v>Duplicado</v>
      </c>
    </row>
    <row r="1535" spans="1:5" x14ac:dyDescent="0.25">
      <c r="A1535" s="15">
        <v>24836</v>
      </c>
      <c r="B1535" s="7">
        <v>1083026647</v>
      </c>
      <c r="C1535" s="11">
        <v>45859.431863425903</v>
      </c>
      <c r="D1535" s="17" t="s">
        <v>1097</v>
      </c>
      <c r="E1535" t="str">
        <f>IF(COUNTIF($B$2:B1535,B1535)&gt;1,"Duplicado","Único")</f>
        <v>Único</v>
      </c>
    </row>
    <row r="1536" spans="1:5" x14ac:dyDescent="0.25">
      <c r="A1536" s="15">
        <v>39925</v>
      </c>
      <c r="B1536" s="7">
        <v>1083029861</v>
      </c>
      <c r="C1536" s="11">
        <v>45936.358599537001</v>
      </c>
      <c r="D1536" s="17" t="s">
        <v>1932</v>
      </c>
      <c r="E1536" t="str">
        <f>IF(COUNTIF($B$2:B1536,B1536)&gt;1,"Duplicado","Único")</f>
        <v>Único</v>
      </c>
    </row>
    <row r="1537" spans="1:5" hidden="1" x14ac:dyDescent="0.25">
      <c r="A1537" s="15">
        <v>39925</v>
      </c>
      <c r="B1537" s="7">
        <v>1083029861</v>
      </c>
      <c r="C1537" s="11">
        <v>45931.465555555602</v>
      </c>
      <c r="D1537" s="17" t="s">
        <v>1912</v>
      </c>
      <c r="E1537" t="str">
        <f>IF(COUNTIF($B$2:B1537,B1537)&gt;1,"Duplicado","Único")</f>
        <v>Duplicado</v>
      </c>
    </row>
    <row r="1538" spans="1:5" x14ac:dyDescent="0.25">
      <c r="A1538" s="15">
        <v>44230</v>
      </c>
      <c r="B1538" s="7">
        <v>1083030307</v>
      </c>
      <c r="C1538" s="11">
        <v>45958.4160416667</v>
      </c>
      <c r="D1538" s="17" t="s">
        <v>2113</v>
      </c>
      <c r="E1538" t="str">
        <f>IF(COUNTIF($B$2:B1538,B1538)&gt;1,"Duplicado","Único")</f>
        <v>Único</v>
      </c>
    </row>
    <row r="1539" spans="1:5" x14ac:dyDescent="0.25">
      <c r="A1539" s="15">
        <v>23269</v>
      </c>
      <c r="B1539" s="7">
        <v>1083031638</v>
      </c>
      <c r="C1539" s="11">
        <v>45842.437314814801</v>
      </c>
      <c r="D1539" s="17" t="s">
        <v>1043</v>
      </c>
      <c r="E1539" t="str">
        <f>IF(COUNTIF($B$2:B1539,B1539)&gt;1,"Duplicado","Único")</f>
        <v>Único</v>
      </c>
    </row>
    <row r="1540" spans="1:5" x14ac:dyDescent="0.25">
      <c r="A1540" s="15">
        <v>53895</v>
      </c>
      <c r="B1540" s="7">
        <v>1083041543</v>
      </c>
      <c r="C1540" s="11">
        <v>46057.424467592602</v>
      </c>
      <c r="D1540" s="17" t="s">
        <v>3700</v>
      </c>
      <c r="E1540" t="str">
        <f>IF(COUNTIF($B$2:B1540,B1540)&gt;1,"Duplicado","Único")</f>
        <v>Único</v>
      </c>
    </row>
    <row r="1541" spans="1:5" hidden="1" x14ac:dyDescent="0.25">
      <c r="A1541" s="15">
        <v>53895</v>
      </c>
      <c r="B1541" s="7">
        <v>1083041543</v>
      </c>
      <c r="C1541" s="11">
        <v>46013.644722222198</v>
      </c>
      <c r="D1541" s="17" t="s">
        <v>3059</v>
      </c>
      <c r="E1541" t="str">
        <f>IF(COUNTIF($B$2:B1541,B1541)&gt;1,"Duplicado","Único")</f>
        <v>Duplicado</v>
      </c>
    </row>
    <row r="1542" spans="1:5" x14ac:dyDescent="0.25">
      <c r="A1542" s="15">
        <v>19830</v>
      </c>
      <c r="B1542" s="7">
        <v>1083434536</v>
      </c>
      <c r="C1542" s="11">
        <v>45819.398402777799</v>
      </c>
      <c r="D1542" s="17" t="s">
        <v>846</v>
      </c>
      <c r="E1542" t="str">
        <f>IF(COUNTIF($B$2:B1542,B1542)&gt;1,"Duplicado","Único")</f>
        <v>Único</v>
      </c>
    </row>
    <row r="1543" spans="1:5" x14ac:dyDescent="0.25">
      <c r="A1543" s="15">
        <v>5307</v>
      </c>
      <c r="B1543" s="7">
        <v>1083454947</v>
      </c>
      <c r="C1543" s="11">
        <v>46118.478055555599</v>
      </c>
      <c r="D1543" s="17" t="s">
        <v>4252</v>
      </c>
      <c r="E1543" t="str">
        <f>IF(COUNTIF($B$2:B1543,B1543)&gt;1,"Duplicado","Único")</f>
        <v>Único</v>
      </c>
    </row>
    <row r="1544" spans="1:5" hidden="1" x14ac:dyDescent="0.25">
      <c r="A1544" s="15">
        <v>5307</v>
      </c>
      <c r="B1544" s="7">
        <v>1083454947</v>
      </c>
      <c r="C1544" s="11">
        <v>46058.732743055603</v>
      </c>
      <c r="D1544" s="17" t="s">
        <v>3740</v>
      </c>
      <c r="E1544" t="str">
        <f>IF(COUNTIF($B$2:B1544,B1544)&gt;1,"Duplicado","Único")</f>
        <v>Duplicado</v>
      </c>
    </row>
    <row r="1545" spans="1:5" x14ac:dyDescent="0.25">
      <c r="A1545" s="15">
        <v>16540</v>
      </c>
      <c r="B1545" s="7">
        <v>1083876945</v>
      </c>
      <c r="C1545" s="11">
        <v>46121.506446759297</v>
      </c>
      <c r="D1545" s="17" t="s">
        <v>4407</v>
      </c>
      <c r="E1545" t="str">
        <f>IF(COUNTIF($B$2:B1545,B1545)&gt;1,"Duplicado","Único")</f>
        <v>Único</v>
      </c>
    </row>
    <row r="1546" spans="1:5" hidden="1" x14ac:dyDescent="0.25">
      <c r="A1546" s="15">
        <v>16540</v>
      </c>
      <c r="B1546" s="7">
        <v>1083876945</v>
      </c>
      <c r="C1546" s="11">
        <v>46101.8282175926</v>
      </c>
      <c r="D1546" s="17" t="s">
        <v>4162</v>
      </c>
      <c r="E1546" t="str">
        <f>IF(COUNTIF($B$2:B1546,B1546)&gt;1,"Duplicado","Único")</f>
        <v>Duplicado</v>
      </c>
    </row>
    <row r="1547" spans="1:5" x14ac:dyDescent="0.25">
      <c r="A1547" s="15">
        <v>16519</v>
      </c>
      <c r="B1547" s="7">
        <v>1083879224</v>
      </c>
      <c r="C1547" s="11">
        <v>46121.508784722202</v>
      </c>
      <c r="D1547" s="17" t="s">
        <v>4408</v>
      </c>
      <c r="E1547" t="str">
        <f>IF(COUNTIF($B$2:B1547,B1547)&gt;1,"Duplicado","Único")</f>
        <v>Único</v>
      </c>
    </row>
    <row r="1548" spans="1:5" hidden="1" x14ac:dyDescent="0.25">
      <c r="A1548" s="15">
        <v>16519</v>
      </c>
      <c r="B1548" s="7">
        <v>1083879224</v>
      </c>
      <c r="C1548" s="11">
        <v>46101.826608796298</v>
      </c>
      <c r="D1548" s="17" t="s">
        <v>4160</v>
      </c>
      <c r="E1548" t="str">
        <f>IF(COUNTIF($B$2:B1548,B1548)&gt;1,"Duplicado","Único")</f>
        <v>Duplicado</v>
      </c>
    </row>
    <row r="1549" spans="1:5" x14ac:dyDescent="0.25">
      <c r="A1549" s="15">
        <v>15663</v>
      </c>
      <c r="B1549" s="7">
        <v>1083881300</v>
      </c>
      <c r="C1549" s="11">
        <v>46121.5092939815</v>
      </c>
      <c r="D1549" s="17" t="s">
        <v>4409</v>
      </c>
      <c r="E1549" t="str">
        <f>IF(COUNTIF($B$2:B1549,B1549)&gt;1,"Duplicado","Único")</f>
        <v>Único</v>
      </c>
    </row>
    <row r="1550" spans="1:5" hidden="1" x14ac:dyDescent="0.25">
      <c r="A1550" s="15">
        <v>15663</v>
      </c>
      <c r="B1550" s="7">
        <v>1083881300</v>
      </c>
      <c r="C1550" s="11">
        <v>46101.671886574099</v>
      </c>
      <c r="D1550" s="17" t="s">
        <v>4106</v>
      </c>
      <c r="E1550" t="str">
        <f>IF(COUNTIF($B$2:B1550,B1550)&gt;1,"Duplicado","Único")</f>
        <v>Duplicado</v>
      </c>
    </row>
    <row r="1551" spans="1:5" x14ac:dyDescent="0.25">
      <c r="A1551" s="15">
        <v>29615</v>
      </c>
      <c r="B1551" s="7">
        <v>1083923011</v>
      </c>
      <c r="C1551" s="11">
        <v>45894.707627314798</v>
      </c>
      <c r="D1551" s="17" t="s">
        <v>1416</v>
      </c>
      <c r="E1551" t="str">
        <f>IF(COUNTIF($B$2:B1551,B1551)&gt;1,"Duplicado","Único")</f>
        <v>Único</v>
      </c>
    </row>
    <row r="1552" spans="1:5" x14ac:dyDescent="0.25">
      <c r="A1552" s="15">
        <v>25426</v>
      </c>
      <c r="B1552" s="7">
        <v>1083929523</v>
      </c>
      <c r="C1552" s="11">
        <v>45860.455891203703</v>
      </c>
      <c r="D1552" s="17" t="s">
        <v>1126</v>
      </c>
      <c r="E1552" t="str">
        <f>IF(COUNTIF($B$2:B1552,B1552)&gt;1,"Duplicado","Único")</f>
        <v>Único</v>
      </c>
    </row>
    <row r="1553" spans="1:5" x14ac:dyDescent="0.25">
      <c r="A1553" s="15">
        <v>41709</v>
      </c>
      <c r="B1553" s="7">
        <v>1084228629</v>
      </c>
      <c r="C1553" s="11">
        <v>45950.463206018503</v>
      </c>
      <c r="D1553" s="17" t="s">
        <v>2000</v>
      </c>
      <c r="E1553" t="str">
        <f>IF(COUNTIF($B$2:B1553,B1553)&gt;1,"Duplicado","Único")</f>
        <v>Único</v>
      </c>
    </row>
    <row r="1554" spans="1:5" x14ac:dyDescent="0.25">
      <c r="A1554" s="15">
        <v>48273</v>
      </c>
      <c r="B1554" s="7">
        <v>1085101925</v>
      </c>
      <c r="C1554" s="11">
        <v>46003.527245370402</v>
      </c>
      <c r="D1554" s="17" t="s">
        <v>2914</v>
      </c>
      <c r="E1554" t="str">
        <f>IF(COUNTIF($B$2:B1554,B1554)&gt;1,"Duplicado","Único")</f>
        <v>Único</v>
      </c>
    </row>
    <row r="1555" spans="1:5" hidden="1" x14ac:dyDescent="0.25">
      <c r="A1555" s="15">
        <v>48273</v>
      </c>
      <c r="B1555" s="7">
        <v>1085101925</v>
      </c>
      <c r="C1555" s="11">
        <v>45975.666655092602</v>
      </c>
      <c r="D1555" s="17" t="s">
        <v>2524</v>
      </c>
      <c r="E1555" t="str">
        <f>IF(COUNTIF($B$2:B1555,B1555)&gt;1,"Duplicado","Único")</f>
        <v>Duplicado</v>
      </c>
    </row>
    <row r="1556" spans="1:5" x14ac:dyDescent="0.25">
      <c r="A1556" s="15">
        <v>15149</v>
      </c>
      <c r="B1556" s="7">
        <v>1085244589</v>
      </c>
      <c r="C1556" s="11">
        <v>46120.649490740703</v>
      </c>
      <c r="D1556" s="17" t="s">
        <v>4326</v>
      </c>
      <c r="E1556" t="str">
        <f>IF(COUNTIF($B$2:B1556,B1556)&gt;1,"Duplicado","Único")</f>
        <v>Único</v>
      </c>
    </row>
    <row r="1557" spans="1:5" hidden="1" x14ac:dyDescent="0.25">
      <c r="A1557" s="15">
        <v>15149</v>
      </c>
      <c r="B1557" s="7">
        <v>1085244589</v>
      </c>
      <c r="C1557" s="11">
        <v>46094.5053819444</v>
      </c>
      <c r="D1557" s="17" t="s">
        <v>4068</v>
      </c>
      <c r="E1557" t="str">
        <f>IF(COUNTIF($B$2:B1557,B1557)&gt;1,"Duplicado","Único")</f>
        <v>Duplicado</v>
      </c>
    </row>
    <row r="1558" spans="1:5" x14ac:dyDescent="0.25">
      <c r="A1558" s="15">
        <v>35089</v>
      </c>
      <c r="B1558" s="7">
        <v>1085249701</v>
      </c>
      <c r="C1558" s="11">
        <v>45917.394629629598</v>
      </c>
      <c r="D1558" s="17" t="s">
        <v>1725</v>
      </c>
      <c r="E1558" t="str">
        <f>IF(COUNTIF($B$2:B1558,B1558)&gt;1,"Duplicado","Único")</f>
        <v>Único</v>
      </c>
    </row>
    <row r="1559" spans="1:5" x14ac:dyDescent="0.25">
      <c r="A1559" s="15">
        <v>38556</v>
      </c>
      <c r="B1559" s="7">
        <v>1085250329</v>
      </c>
      <c r="C1559" s="11">
        <v>45926.4070601852</v>
      </c>
      <c r="D1559" s="17" t="s">
        <v>1837</v>
      </c>
      <c r="E1559" t="str">
        <f>IF(COUNTIF($B$2:B1559,B1559)&gt;1,"Duplicado","Único")</f>
        <v>Único</v>
      </c>
    </row>
    <row r="1560" spans="1:5" x14ac:dyDescent="0.25">
      <c r="A1560" s="15">
        <v>31119</v>
      </c>
      <c r="B1560" s="7">
        <v>1085252716</v>
      </c>
      <c r="C1560" s="11">
        <v>45903.668842592597</v>
      </c>
      <c r="D1560" s="17" t="s">
        <v>1509</v>
      </c>
      <c r="E1560" t="str">
        <f>IF(COUNTIF($B$2:B1560,B1560)&gt;1,"Duplicado","Único")</f>
        <v>Único</v>
      </c>
    </row>
    <row r="1561" spans="1:5" x14ac:dyDescent="0.25">
      <c r="A1561" s="15">
        <v>39508</v>
      </c>
      <c r="B1561" s="7">
        <v>1085256295</v>
      </c>
      <c r="C1561" s="11">
        <v>45930.401944444398</v>
      </c>
      <c r="D1561" s="17" t="s">
        <v>1881</v>
      </c>
      <c r="E1561" t="str">
        <f>IF(COUNTIF($B$2:B1561,B1561)&gt;1,"Duplicado","Único")</f>
        <v>Único</v>
      </c>
    </row>
    <row r="1562" spans="1:5" x14ac:dyDescent="0.25">
      <c r="A1562" s="15">
        <v>30006</v>
      </c>
      <c r="B1562" s="7">
        <v>1085260917</v>
      </c>
      <c r="C1562" s="11">
        <v>45898.499479166698</v>
      </c>
      <c r="D1562" s="17" t="s">
        <v>1465</v>
      </c>
      <c r="E1562" t="str">
        <f>IF(COUNTIF($B$2:B1562,B1562)&gt;1,"Duplicado","Único")</f>
        <v>Único</v>
      </c>
    </row>
    <row r="1563" spans="1:5" x14ac:dyDescent="0.25">
      <c r="A1563" s="15">
        <v>51370</v>
      </c>
      <c r="B1563" s="7">
        <v>1085270258</v>
      </c>
      <c r="C1563" s="11">
        <v>46051.468495370398</v>
      </c>
      <c r="D1563" s="17" t="s">
        <v>3488</v>
      </c>
      <c r="E1563" t="str">
        <f>IF(COUNTIF($B$2:B1563,B1563)&gt;1,"Duplicado","Único")</f>
        <v>Único</v>
      </c>
    </row>
    <row r="1564" spans="1:5" hidden="1" x14ac:dyDescent="0.25">
      <c r="A1564" s="15">
        <v>51370</v>
      </c>
      <c r="B1564" s="7">
        <v>1085270258</v>
      </c>
      <c r="C1564" s="11">
        <v>46002.5964930556</v>
      </c>
      <c r="D1564" s="17" t="s">
        <v>2884</v>
      </c>
      <c r="E1564" t="str">
        <f>IF(COUNTIF($B$2:B1564,B1564)&gt;1,"Duplicado","Único")</f>
        <v>Duplicado</v>
      </c>
    </row>
    <row r="1565" spans="1:5" x14ac:dyDescent="0.25">
      <c r="A1565" s="15">
        <v>29787</v>
      </c>
      <c r="B1565" s="7">
        <v>1085274651</v>
      </c>
      <c r="C1565" s="11">
        <v>45895.5402777778</v>
      </c>
      <c r="D1565" s="17" t="s">
        <v>1430</v>
      </c>
      <c r="E1565" t="str">
        <f>IF(COUNTIF($B$2:B1565,B1565)&gt;1,"Duplicado","Único")</f>
        <v>Único</v>
      </c>
    </row>
    <row r="1566" spans="1:5" x14ac:dyDescent="0.25">
      <c r="A1566" s="15">
        <v>25286</v>
      </c>
      <c r="B1566" s="7">
        <v>1085275362</v>
      </c>
      <c r="C1566" s="11">
        <v>45860.420439814799</v>
      </c>
      <c r="D1566" s="17" t="s">
        <v>1120</v>
      </c>
      <c r="E1566" t="str">
        <f>IF(COUNTIF($B$2:B1566,B1566)&gt;1,"Duplicado","Único")</f>
        <v>Único</v>
      </c>
    </row>
    <row r="1567" spans="1:5" x14ac:dyDescent="0.25">
      <c r="A1567" s="15">
        <v>24314</v>
      </c>
      <c r="B1567" s="7">
        <v>1085275782</v>
      </c>
      <c r="C1567" s="11">
        <v>45856.440868055601</v>
      </c>
      <c r="D1567" s="17" t="s">
        <v>1075</v>
      </c>
      <c r="E1567" t="str">
        <f>IF(COUNTIF($B$2:B1567,B1567)&gt;1,"Duplicado","Único")</f>
        <v>Único</v>
      </c>
    </row>
    <row r="1568" spans="1:5" x14ac:dyDescent="0.25">
      <c r="A1568" s="15">
        <v>2847</v>
      </c>
      <c r="B1568" s="7">
        <v>1085281285</v>
      </c>
      <c r="C1568" s="11">
        <v>46086.734803240703</v>
      </c>
      <c r="D1568" s="17" t="s">
        <v>3921</v>
      </c>
      <c r="E1568" t="str">
        <f>IF(COUNTIF($B$2:B1568,B1568)&gt;1,"Duplicado","Único")</f>
        <v>Único</v>
      </c>
    </row>
    <row r="1569" spans="1:5" hidden="1" x14ac:dyDescent="0.25">
      <c r="A1569" s="15">
        <v>2847</v>
      </c>
      <c r="B1569" s="7">
        <v>1085281285</v>
      </c>
      <c r="C1569" s="11">
        <v>46050.480937499997</v>
      </c>
      <c r="D1569" s="17" t="s">
        <v>3265</v>
      </c>
      <c r="E1569" t="str">
        <f>IF(COUNTIF($B$2:B1569,B1569)&gt;1,"Duplicado","Único")</f>
        <v>Duplicado</v>
      </c>
    </row>
    <row r="1570" spans="1:5" x14ac:dyDescent="0.25">
      <c r="A1570" s="15">
        <v>45806</v>
      </c>
      <c r="B1570" s="7">
        <v>1085287014</v>
      </c>
      <c r="C1570" s="11">
        <v>45960.644004629597</v>
      </c>
      <c r="D1570" s="17" t="s">
        <v>2261</v>
      </c>
      <c r="E1570" t="str">
        <f>IF(COUNTIF($B$2:B1570,B1570)&gt;1,"Duplicado","Único")</f>
        <v>Único</v>
      </c>
    </row>
    <row r="1571" spans="1:5" x14ac:dyDescent="0.25">
      <c r="A1571" s="15">
        <v>27096</v>
      </c>
      <c r="B1571" s="7">
        <v>1085288897</v>
      </c>
      <c r="C1571" s="11">
        <v>45874.4149189815</v>
      </c>
      <c r="D1571" s="17" t="s">
        <v>1244</v>
      </c>
      <c r="E1571" t="str">
        <f>IF(COUNTIF($B$2:B1571,B1571)&gt;1,"Duplicado","Único")</f>
        <v>Único</v>
      </c>
    </row>
    <row r="1572" spans="1:5" x14ac:dyDescent="0.25">
      <c r="A1572" s="15">
        <v>22887</v>
      </c>
      <c r="B1572" s="7">
        <v>1085301036</v>
      </c>
      <c r="C1572" s="11">
        <v>45842.347685185203</v>
      </c>
      <c r="D1572" s="17" t="s">
        <v>1031</v>
      </c>
      <c r="E1572" t="str">
        <f>IF(COUNTIF($B$2:B1572,B1572)&gt;1,"Duplicado","Único")</f>
        <v>Único</v>
      </c>
    </row>
    <row r="1573" spans="1:5" x14ac:dyDescent="0.25">
      <c r="A1573" s="15">
        <v>50920</v>
      </c>
      <c r="B1573" s="7">
        <v>1085304524</v>
      </c>
      <c r="C1573" s="11">
        <v>46050.674687500003</v>
      </c>
      <c r="D1573" s="17" t="s">
        <v>3391</v>
      </c>
      <c r="E1573" t="str">
        <f>IF(COUNTIF($B$2:B1573,B1573)&gt;1,"Duplicado","Único")</f>
        <v>Único</v>
      </c>
    </row>
    <row r="1574" spans="1:5" hidden="1" x14ac:dyDescent="0.25">
      <c r="A1574" s="15">
        <v>50920</v>
      </c>
      <c r="B1574" s="7">
        <v>1085304524</v>
      </c>
      <c r="C1574" s="11">
        <v>45992.641990740703</v>
      </c>
      <c r="D1574" s="17" t="s">
        <v>2826</v>
      </c>
      <c r="E1574" t="str">
        <f>IF(COUNTIF($B$2:B1574,B1574)&gt;1,"Duplicado","Único")</f>
        <v>Duplicado</v>
      </c>
    </row>
    <row r="1575" spans="1:5" x14ac:dyDescent="0.25">
      <c r="A1575" s="15">
        <v>15256</v>
      </c>
      <c r="B1575" s="7">
        <v>1085306143</v>
      </c>
      <c r="C1575" s="11">
        <v>46120.650034722203</v>
      </c>
      <c r="D1575" s="17" t="s">
        <v>4327</v>
      </c>
      <c r="E1575" t="str">
        <f>IF(COUNTIF($B$2:B1575,B1575)&gt;1,"Duplicado","Único")</f>
        <v>Único</v>
      </c>
    </row>
    <row r="1576" spans="1:5" hidden="1" x14ac:dyDescent="0.25">
      <c r="A1576" s="15">
        <v>15256</v>
      </c>
      <c r="B1576" s="7">
        <v>1085306143</v>
      </c>
      <c r="C1576" s="11">
        <v>46094.510972222197</v>
      </c>
      <c r="D1576" s="17" t="s">
        <v>4075</v>
      </c>
      <c r="E1576" t="str">
        <f>IF(COUNTIF($B$2:B1576,B1576)&gt;1,"Duplicado","Único")</f>
        <v>Duplicado</v>
      </c>
    </row>
    <row r="1577" spans="1:5" x14ac:dyDescent="0.25">
      <c r="A1577" s="15">
        <v>12411</v>
      </c>
      <c r="B1577" s="7">
        <v>1085306444</v>
      </c>
      <c r="C1577" s="11">
        <v>46080.496412036999</v>
      </c>
      <c r="D1577" s="17" t="s">
        <v>3771</v>
      </c>
      <c r="E1577" t="str">
        <f>IF(COUNTIF($B$2:B1577,B1577)&gt;1,"Duplicado","Único")</f>
        <v>Único</v>
      </c>
    </row>
    <row r="1578" spans="1:5" hidden="1" x14ac:dyDescent="0.25">
      <c r="A1578" s="15">
        <v>12411</v>
      </c>
      <c r="B1578" s="7">
        <v>1085306444</v>
      </c>
      <c r="C1578" s="11">
        <v>46079.512465277803</v>
      </c>
      <c r="D1578" s="17" t="s">
        <v>3764</v>
      </c>
      <c r="E1578" t="str">
        <f>IF(COUNTIF($B$2:B1578,B1578)&gt;1,"Duplicado","Único")</f>
        <v>Duplicado</v>
      </c>
    </row>
    <row r="1579" spans="1:5" x14ac:dyDescent="0.25">
      <c r="A1579" s="15">
        <v>47062</v>
      </c>
      <c r="B1579" s="7">
        <v>1085316189</v>
      </c>
      <c r="C1579" s="11">
        <v>45968.413113425901</v>
      </c>
      <c r="D1579" s="17" t="s">
        <v>2386</v>
      </c>
      <c r="E1579" t="str">
        <f>IF(COUNTIF($B$2:B1579,B1579)&gt;1,"Duplicado","Único")</f>
        <v>Único</v>
      </c>
    </row>
    <row r="1580" spans="1:5" x14ac:dyDescent="0.25">
      <c r="A1580" s="15">
        <v>21045</v>
      </c>
      <c r="B1580" s="7">
        <v>1085319708</v>
      </c>
      <c r="C1580" s="11">
        <v>45824.355949074103</v>
      </c>
      <c r="D1580" s="17" t="s">
        <v>920</v>
      </c>
      <c r="E1580" t="str">
        <f>IF(COUNTIF($B$2:B1580,B1580)&gt;1,"Duplicado","Único")</f>
        <v>Único</v>
      </c>
    </row>
    <row r="1581" spans="1:5" x14ac:dyDescent="0.25">
      <c r="A1581" s="15">
        <v>20343</v>
      </c>
      <c r="B1581" s="7">
        <v>1085319766</v>
      </c>
      <c r="C1581" s="11">
        <v>45820.439340277801</v>
      </c>
      <c r="D1581" s="17" t="s">
        <v>881</v>
      </c>
      <c r="E1581" t="str">
        <f>IF(COUNTIF($B$2:B1581,B1581)&gt;1,"Duplicado","Único")</f>
        <v>Único</v>
      </c>
    </row>
    <row r="1582" spans="1:5" x14ac:dyDescent="0.25">
      <c r="A1582" s="15">
        <v>52063</v>
      </c>
      <c r="B1582" s="7">
        <v>1085321526</v>
      </c>
      <c r="C1582" s="11">
        <v>46051.519236111097</v>
      </c>
      <c r="D1582" s="17" t="s">
        <v>3518</v>
      </c>
      <c r="E1582" t="str">
        <f>IF(COUNTIF($B$2:B1582,B1582)&gt;1,"Duplicado","Único")</f>
        <v>Único</v>
      </c>
    </row>
    <row r="1583" spans="1:5" hidden="1" x14ac:dyDescent="0.25">
      <c r="A1583" s="15">
        <v>52063</v>
      </c>
      <c r="B1583" s="7">
        <v>1085321526</v>
      </c>
      <c r="C1583" s="11">
        <v>46007.432569444398</v>
      </c>
      <c r="D1583" s="17" t="s">
        <v>2934</v>
      </c>
      <c r="E1583" t="str">
        <f>IF(COUNTIF($B$2:B1583,B1583)&gt;1,"Duplicado","Único")</f>
        <v>Duplicado</v>
      </c>
    </row>
    <row r="1584" spans="1:5" x14ac:dyDescent="0.25">
      <c r="A1584" s="15">
        <v>20266</v>
      </c>
      <c r="B1584" s="7">
        <v>1085322539</v>
      </c>
      <c r="C1584" s="11">
        <v>45820.3620717593</v>
      </c>
      <c r="D1584" s="17" t="s">
        <v>872</v>
      </c>
      <c r="E1584" t="str">
        <f>IF(COUNTIF($B$2:B1584,B1584)&gt;1,"Duplicado","Único")</f>
        <v>Único</v>
      </c>
    </row>
    <row r="1585" spans="1:5" x14ac:dyDescent="0.25">
      <c r="A1585" s="15">
        <v>50148</v>
      </c>
      <c r="B1585" s="7">
        <v>1085325761</v>
      </c>
      <c r="C1585" s="11">
        <v>46050.604791666701</v>
      </c>
      <c r="D1585" s="17" t="s">
        <v>3304</v>
      </c>
      <c r="E1585" t="str">
        <f>IF(COUNTIF($B$2:B1585,B1585)&gt;1,"Duplicado","Único")</f>
        <v>Único</v>
      </c>
    </row>
    <row r="1586" spans="1:5" hidden="1" x14ac:dyDescent="0.25">
      <c r="A1586" s="15">
        <v>50148</v>
      </c>
      <c r="B1586" s="7">
        <v>1085325761</v>
      </c>
      <c r="C1586" s="11">
        <v>45987.432349536997</v>
      </c>
      <c r="D1586" s="17" t="s">
        <v>2729</v>
      </c>
      <c r="E1586" t="str">
        <f>IF(COUNTIF($B$2:B1586,B1586)&gt;1,"Duplicado","Único")</f>
        <v>Duplicado</v>
      </c>
    </row>
    <row r="1587" spans="1:5" x14ac:dyDescent="0.25">
      <c r="A1587" s="15">
        <v>49468</v>
      </c>
      <c r="B1587" s="7">
        <v>1085327679</v>
      </c>
      <c r="C1587" s="11">
        <v>45982.352847222202</v>
      </c>
      <c r="D1587" s="17" t="s">
        <v>2657</v>
      </c>
      <c r="E1587" t="str">
        <f>IF(COUNTIF($B$2:B1587,B1587)&gt;1,"Duplicado","Único")</f>
        <v>Único</v>
      </c>
    </row>
    <row r="1588" spans="1:5" x14ac:dyDescent="0.25">
      <c r="A1588" s="15">
        <v>55449</v>
      </c>
      <c r="B1588" s="7">
        <v>1085332806</v>
      </c>
      <c r="C1588" s="11">
        <v>46086.466226851902</v>
      </c>
      <c r="D1588" s="17" t="s">
        <v>3803</v>
      </c>
      <c r="E1588" t="str">
        <f>IF(COUNTIF($B$2:B1588,B1588)&gt;1,"Duplicado","Único")</f>
        <v>Único</v>
      </c>
    </row>
    <row r="1589" spans="1:5" hidden="1" x14ac:dyDescent="0.25">
      <c r="A1589" s="15">
        <v>55449</v>
      </c>
      <c r="B1589" s="7">
        <v>1085332806</v>
      </c>
      <c r="C1589" s="11">
        <v>46022.380717592598</v>
      </c>
      <c r="D1589" s="17" t="s">
        <v>3110</v>
      </c>
      <c r="E1589" t="str">
        <f>IF(COUNTIF($B$2:B1589,B1589)&gt;1,"Duplicado","Único")</f>
        <v>Duplicado</v>
      </c>
    </row>
    <row r="1590" spans="1:5" x14ac:dyDescent="0.25">
      <c r="A1590" s="15">
        <v>50535</v>
      </c>
      <c r="B1590" s="7">
        <v>1085336006</v>
      </c>
      <c r="C1590" s="11">
        <v>46050.6505092593</v>
      </c>
      <c r="D1590" s="17" t="s">
        <v>3361</v>
      </c>
      <c r="E1590" t="str">
        <f>IF(COUNTIF($B$2:B1590,B1590)&gt;1,"Duplicado","Único")</f>
        <v>Único</v>
      </c>
    </row>
    <row r="1591" spans="1:5" hidden="1" x14ac:dyDescent="0.25">
      <c r="A1591" s="15">
        <v>50535</v>
      </c>
      <c r="B1591" s="7">
        <v>1085336006</v>
      </c>
      <c r="C1591" s="11">
        <v>45989.341527777797</v>
      </c>
      <c r="D1591" s="17" t="s">
        <v>2774</v>
      </c>
      <c r="E1591" t="str">
        <f>IF(COUNTIF($B$2:B1591,B1591)&gt;1,"Duplicado","Único")</f>
        <v>Duplicado</v>
      </c>
    </row>
    <row r="1592" spans="1:5" x14ac:dyDescent="0.25">
      <c r="A1592" s="15">
        <v>18111</v>
      </c>
      <c r="B1592" s="7">
        <v>1085337229</v>
      </c>
      <c r="C1592" s="11">
        <v>45827.687337962998</v>
      </c>
      <c r="D1592" s="17" t="s">
        <v>960</v>
      </c>
      <c r="E1592" t="str">
        <f>IF(COUNTIF($B$2:B1592,B1592)&gt;1,"Duplicado","Único")</f>
        <v>Único</v>
      </c>
    </row>
    <row r="1593" spans="1:5" hidden="1" x14ac:dyDescent="0.25">
      <c r="A1593" s="15">
        <v>18111</v>
      </c>
      <c r="B1593" s="7">
        <v>1085337229</v>
      </c>
      <c r="C1593" s="11">
        <v>45820.677002314798</v>
      </c>
      <c r="D1593" s="17" t="s">
        <v>896</v>
      </c>
      <c r="E1593" t="str">
        <f>IF(COUNTIF($B$2:B1593,B1593)&gt;1,"Duplicado","Único")</f>
        <v>Duplicado</v>
      </c>
    </row>
    <row r="1594" spans="1:5" hidden="1" x14ac:dyDescent="0.25">
      <c r="A1594" s="15">
        <v>18111</v>
      </c>
      <c r="B1594" s="7">
        <v>1085337229</v>
      </c>
      <c r="C1594" s="11">
        <v>45813.442685185197</v>
      </c>
      <c r="D1594" s="17" t="s">
        <v>801</v>
      </c>
      <c r="E1594" t="str">
        <f>IF(COUNTIF($B$2:B1594,B1594)&gt;1,"Duplicado","Único")</f>
        <v>Duplicado</v>
      </c>
    </row>
    <row r="1595" spans="1:5" hidden="1" x14ac:dyDescent="0.25">
      <c r="A1595" s="15">
        <v>18111</v>
      </c>
      <c r="B1595" s="7">
        <v>1085337229</v>
      </c>
      <c r="C1595" s="11">
        <v>45798.443414351903</v>
      </c>
      <c r="D1595" s="17" t="s">
        <v>749</v>
      </c>
      <c r="E1595" t="str">
        <f>IF(COUNTIF($B$2:B1595,B1595)&gt;1,"Duplicado","Único")</f>
        <v>Duplicado</v>
      </c>
    </row>
    <row r="1596" spans="1:5" x14ac:dyDescent="0.25">
      <c r="A1596" s="15">
        <v>25880</v>
      </c>
      <c r="B1596" s="7">
        <v>1085343784</v>
      </c>
      <c r="C1596" s="11">
        <v>45866.609178240702</v>
      </c>
      <c r="D1596" s="17" t="s">
        <v>1149</v>
      </c>
      <c r="E1596" t="str">
        <f>IF(COUNTIF($B$2:B1596,B1596)&gt;1,"Duplicado","Único")</f>
        <v>Único</v>
      </c>
    </row>
    <row r="1597" spans="1:5" x14ac:dyDescent="0.25">
      <c r="A1597" s="15">
        <v>43014</v>
      </c>
      <c r="B1597" s="7">
        <v>1085345813</v>
      </c>
      <c r="C1597" s="11">
        <v>45953.383680555598</v>
      </c>
      <c r="D1597" s="17" t="s">
        <v>2039</v>
      </c>
      <c r="E1597" t="str">
        <f>IF(COUNTIF($B$2:B1597,B1597)&gt;1,"Duplicado","Único")</f>
        <v>Único</v>
      </c>
    </row>
    <row r="1598" spans="1:5" x14ac:dyDescent="0.25">
      <c r="A1598" s="15">
        <v>44499</v>
      </c>
      <c r="B1598" s="7">
        <v>1085347491</v>
      </c>
      <c r="C1598" s="11">
        <v>45958.481157407397</v>
      </c>
      <c r="D1598" s="17" t="s">
        <v>2131</v>
      </c>
      <c r="E1598" t="str">
        <f>IF(COUNTIF($B$2:B1598,B1598)&gt;1,"Duplicado","Único")</f>
        <v>Único</v>
      </c>
    </row>
    <row r="1599" spans="1:5" x14ac:dyDescent="0.25">
      <c r="A1599" s="15">
        <v>53076</v>
      </c>
      <c r="B1599" s="7">
        <v>1085662783</v>
      </c>
      <c r="C1599" s="11">
        <v>46057.378912036998</v>
      </c>
      <c r="D1599" s="17" t="s">
        <v>3663</v>
      </c>
      <c r="E1599" t="str">
        <f>IF(COUNTIF($B$2:B1599,B1599)&gt;1,"Duplicado","Único")</f>
        <v>Único</v>
      </c>
    </row>
    <row r="1600" spans="1:5" hidden="1" x14ac:dyDescent="0.25">
      <c r="A1600" s="15">
        <v>53076</v>
      </c>
      <c r="B1600" s="7">
        <v>1085662783</v>
      </c>
      <c r="C1600" s="11">
        <v>46013.376377314802</v>
      </c>
      <c r="D1600" s="17" t="s">
        <v>2997</v>
      </c>
      <c r="E1600" t="str">
        <f>IF(COUNTIF($B$2:B1600,B1600)&gt;1,"Duplicado","Único")</f>
        <v>Duplicado</v>
      </c>
    </row>
    <row r="1601" spans="1:5" x14ac:dyDescent="0.25">
      <c r="A1601" s="15">
        <v>48802</v>
      </c>
      <c r="B1601" s="7">
        <v>1085688568</v>
      </c>
      <c r="C1601" s="11">
        <v>45980.3693055556</v>
      </c>
      <c r="D1601" s="17" t="s">
        <v>2584</v>
      </c>
      <c r="E1601" t="str">
        <f>IF(COUNTIF($B$2:B1601,B1601)&gt;1,"Duplicado","Único")</f>
        <v>Único</v>
      </c>
    </row>
    <row r="1602" spans="1:5" x14ac:dyDescent="0.25">
      <c r="A1602" s="15">
        <v>50097</v>
      </c>
      <c r="B1602" s="7">
        <v>1085906233</v>
      </c>
      <c r="C1602" s="11">
        <v>46057.352719907401</v>
      </c>
      <c r="D1602" s="17" t="s">
        <v>3636</v>
      </c>
      <c r="E1602" t="str">
        <f>IF(COUNTIF($B$2:B1602,B1602)&gt;1,"Duplicado","Único")</f>
        <v>Único</v>
      </c>
    </row>
    <row r="1603" spans="1:5" hidden="1" x14ac:dyDescent="0.25">
      <c r="A1603" s="15">
        <v>50097</v>
      </c>
      <c r="B1603" s="7">
        <v>1085906233</v>
      </c>
      <c r="C1603" s="11">
        <v>46010.461828703701</v>
      </c>
      <c r="D1603" s="17" t="s">
        <v>2991</v>
      </c>
      <c r="E1603" t="str">
        <f>IF(COUNTIF($B$2:B1603,B1603)&gt;1,"Duplicado","Único")</f>
        <v>Duplicado</v>
      </c>
    </row>
    <row r="1604" spans="1:5" hidden="1" x14ac:dyDescent="0.25">
      <c r="A1604" s="15">
        <v>50097</v>
      </c>
      <c r="B1604" s="7">
        <v>1085906233</v>
      </c>
      <c r="C1604" s="11">
        <v>45989.920520833301</v>
      </c>
      <c r="D1604" s="17" t="s">
        <v>2801</v>
      </c>
      <c r="E1604" t="str">
        <f>IF(COUNTIF($B$2:B1604,B1604)&gt;1,"Duplicado","Único")</f>
        <v>Duplicado</v>
      </c>
    </row>
    <row r="1605" spans="1:5" hidden="1" x14ac:dyDescent="0.25">
      <c r="A1605" s="15">
        <v>50097</v>
      </c>
      <c r="B1605" s="7">
        <v>1085906233</v>
      </c>
      <c r="C1605" s="11">
        <v>45987.459664351903</v>
      </c>
      <c r="D1605" s="17" t="s">
        <v>2740</v>
      </c>
      <c r="E1605" t="str">
        <f>IF(COUNTIF($B$2:B1605,B1605)&gt;1,"Duplicado","Único")</f>
        <v>Duplicado</v>
      </c>
    </row>
    <row r="1606" spans="1:5" x14ac:dyDescent="0.25">
      <c r="A1606" s="15">
        <v>28650</v>
      </c>
      <c r="B1606" s="7">
        <v>1085928451</v>
      </c>
      <c r="C1606" s="11">
        <v>45888.622199074103</v>
      </c>
      <c r="D1606" s="17" t="s">
        <v>1348</v>
      </c>
      <c r="E1606" t="str">
        <f>IF(COUNTIF($B$2:B1606,B1606)&gt;1,"Duplicado","Único")</f>
        <v>Único</v>
      </c>
    </row>
    <row r="1607" spans="1:5" x14ac:dyDescent="0.25">
      <c r="A1607" s="15">
        <v>20987</v>
      </c>
      <c r="B1607" s="7">
        <v>1085942369</v>
      </c>
      <c r="C1607" s="11">
        <v>45824.346064814803</v>
      </c>
      <c r="D1607" s="17" t="s">
        <v>917</v>
      </c>
      <c r="E1607" t="str">
        <f>IF(COUNTIF($B$2:B1607,B1607)&gt;1,"Duplicado","Único")</f>
        <v>Único</v>
      </c>
    </row>
    <row r="1608" spans="1:5" x14ac:dyDescent="0.25">
      <c r="A1608" s="15">
        <v>36835</v>
      </c>
      <c r="B1608" s="7">
        <v>1085943331</v>
      </c>
      <c r="C1608" s="11">
        <v>45922.395555555602</v>
      </c>
      <c r="D1608" s="17" t="s">
        <v>1776</v>
      </c>
      <c r="E1608" t="str">
        <f>IF(COUNTIF($B$2:B1608,B1608)&gt;1,"Duplicado","Único")</f>
        <v>Único</v>
      </c>
    </row>
    <row r="1609" spans="1:5" x14ac:dyDescent="0.25">
      <c r="A1609" s="15">
        <v>26488</v>
      </c>
      <c r="B1609" s="7">
        <v>1085946144</v>
      </c>
      <c r="C1609" s="11">
        <v>45867.505023148202</v>
      </c>
      <c r="D1609" s="17" t="s">
        <v>1208</v>
      </c>
      <c r="E1609" t="str">
        <f>IF(COUNTIF($B$2:B1609,B1609)&gt;1,"Duplicado","Único")</f>
        <v>Único</v>
      </c>
    </row>
    <row r="1610" spans="1:5" x14ac:dyDescent="0.25">
      <c r="A1610" s="15">
        <v>49459</v>
      </c>
      <c r="B1610" s="7">
        <v>1087204250</v>
      </c>
      <c r="C1610" s="11">
        <v>45981.684918981497</v>
      </c>
      <c r="D1610" s="17" t="s">
        <v>2656</v>
      </c>
      <c r="E1610" t="str">
        <f>IF(COUNTIF($B$2:B1610,B1610)&gt;1,"Duplicado","Único")</f>
        <v>Único</v>
      </c>
    </row>
    <row r="1611" spans="1:5" x14ac:dyDescent="0.25">
      <c r="A1611" s="15">
        <v>4275</v>
      </c>
      <c r="B1611" s="7">
        <v>1087417279</v>
      </c>
      <c r="C1611" s="11">
        <v>46059.517986111103</v>
      </c>
      <c r="D1611" s="17" t="s">
        <v>3747</v>
      </c>
      <c r="E1611" t="str">
        <f>IF(COUNTIF($B$2:B1611,B1611)&gt;1,"Duplicado","Único")</f>
        <v>Único</v>
      </c>
    </row>
    <row r="1612" spans="1:5" hidden="1" x14ac:dyDescent="0.25">
      <c r="A1612" s="15">
        <v>4275</v>
      </c>
      <c r="B1612" s="7">
        <v>1087417279</v>
      </c>
      <c r="C1612" s="11">
        <v>46056.591840277797</v>
      </c>
      <c r="D1612" s="17" t="s">
        <v>3620</v>
      </c>
      <c r="E1612" t="str">
        <f>IF(COUNTIF($B$2:B1612,B1612)&gt;1,"Duplicado","Único")</f>
        <v>Duplicado</v>
      </c>
    </row>
    <row r="1613" spans="1:5" x14ac:dyDescent="0.25">
      <c r="A1613" s="15">
        <v>21221</v>
      </c>
      <c r="B1613" s="7">
        <v>1087419796</v>
      </c>
      <c r="C1613" s="11">
        <v>45824.401562500003</v>
      </c>
      <c r="D1613" s="17" t="s">
        <v>931</v>
      </c>
      <c r="E1613" t="str">
        <f>IF(COUNTIF($B$2:B1613,B1613)&gt;1,"Duplicado","Único")</f>
        <v>Único</v>
      </c>
    </row>
    <row r="1614" spans="1:5" x14ac:dyDescent="0.25">
      <c r="A1614" s="15">
        <v>17940</v>
      </c>
      <c r="B1614" s="7">
        <v>1088003555</v>
      </c>
      <c r="C1614" s="11">
        <v>46149.421759259298</v>
      </c>
      <c r="D1614" s="17" t="s">
        <v>4457</v>
      </c>
      <c r="E1614" t="str">
        <f>IF(COUNTIF($B$2:B1614,B1614)&gt;1,"Duplicado","Único")</f>
        <v>Único</v>
      </c>
    </row>
    <row r="1615" spans="1:5" hidden="1" x14ac:dyDescent="0.25">
      <c r="A1615" s="15">
        <v>17940</v>
      </c>
      <c r="B1615" s="7">
        <v>1088003555</v>
      </c>
      <c r="C1615" s="11">
        <v>46118.327210648102</v>
      </c>
      <c r="D1615" s="17" t="s">
        <v>4239</v>
      </c>
      <c r="E1615" t="str">
        <f>IF(COUNTIF($B$2:B1615,B1615)&gt;1,"Duplicado","Único")</f>
        <v>Duplicado</v>
      </c>
    </row>
    <row r="1616" spans="1:5" x14ac:dyDescent="0.25">
      <c r="A1616" s="15">
        <v>4020</v>
      </c>
      <c r="B1616" s="7">
        <v>1088018145</v>
      </c>
      <c r="C1616" s="11">
        <v>46086.790381944404</v>
      </c>
      <c r="D1616" s="17" t="s">
        <v>3984</v>
      </c>
      <c r="E1616" t="str">
        <f>IF(COUNTIF($B$2:B1616,B1616)&gt;1,"Duplicado","Único")</f>
        <v>Único</v>
      </c>
    </row>
    <row r="1617" spans="1:5" hidden="1" x14ac:dyDescent="0.25">
      <c r="A1617" s="15">
        <v>4020</v>
      </c>
      <c r="B1617" s="7">
        <v>1088018145</v>
      </c>
      <c r="C1617" s="11">
        <v>46055.484895833302</v>
      </c>
      <c r="D1617" s="17" t="s">
        <v>3613</v>
      </c>
      <c r="E1617" t="str">
        <f>IF(COUNTIF($B$2:B1617,B1617)&gt;1,"Duplicado","Único")</f>
        <v>Duplicado</v>
      </c>
    </row>
    <row r="1618" spans="1:5" x14ac:dyDescent="0.25">
      <c r="A1618" s="15">
        <v>364</v>
      </c>
      <c r="B1618" s="7">
        <v>1088031358</v>
      </c>
      <c r="C1618" s="11">
        <v>46086.491168981498</v>
      </c>
      <c r="D1618" s="17" t="s">
        <v>3812</v>
      </c>
      <c r="E1618" t="str">
        <f>IF(COUNTIF($B$2:B1618,B1618)&gt;1,"Duplicado","Único")</f>
        <v>Único</v>
      </c>
    </row>
    <row r="1619" spans="1:5" hidden="1" x14ac:dyDescent="0.25">
      <c r="A1619" s="15">
        <v>364</v>
      </c>
      <c r="B1619" s="7">
        <v>1088031358</v>
      </c>
      <c r="C1619" s="11">
        <v>46031.6491550926</v>
      </c>
      <c r="D1619" s="17" t="s">
        <v>3127</v>
      </c>
      <c r="E1619" t="str">
        <f>IF(COUNTIF($B$2:B1619,B1619)&gt;1,"Duplicado","Único")</f>
        <v>Duplicado</v>
      </c>
    </row>
    <row r="1620" spans="1:5" x14ac:dyDescent="0.25">
      <c r="A1620" s="15">
        <v>45383</v>
      </c>
      <c r="B1620" s="7">
        <v>1088261034</v>
      </c>
      <c r="C1620" s="11">
        <v>45959.401319444398</v>
      </c>
      <c r="D1620" s="17" t="s">
        <v>2216</v>
      </c>
      <c r="E1620" t="str">
        <f>IF(COUNTIF($B$2:B1620,B1620)&gt;1,"Duplicado","Único")</f>
        <v>Único</v>
      </c>
    </row>
    <row r="1621" spans="1:5" x14ac:dyDescent="0.25">
      <c r="A1621" s="15">
        <v>47142</v>
      </c>
      <c r="B1621" s="7">
        <v>1088274027</v>
      </c>
      <c r="C1621" s="11">
        <v>45968.421319444402</v>
      </c>
      <c r="D1621" s="17" t="s">
        <v>2391</v>
      </c>
      <c r="E1621" t="str">
        <f>IF(COUNTIF($B$2:B1621,B1621)&gt;1,"Duplicado","Único")</f>
        <v>Único</v>
      </c>
    </row>
    <row r="1622" spans="1:5" x14ac:dyDescent="0.25">
      <c r="A1622" s="15">
        <v>18973</v>
      </c>
      <c r="B1622" s="7">
        <v>1088301782</v>
      </c>
      <c r="C1622" s="11">
        <v>45805.6885763889</v>
      </c>
      <c r="D1622" s="17" t="s">
        <v>800</v>
      </c>
      <c r="E1622" t="str">
        <f>IF(COUNTIF($B$2:B1622,B1622)&gt;1,"Duplicado","Único")</f>
        <v>Único</v>
      </c>
    </row>
    <row r="1623" spans="1:5" x14ac:dyDescent="0.25">
      <c r="A1623" s="15">
        <v>16831</v>
      </c>
      <c r="B1623" s="7">
        <v>1088306138</v>
      </c>
      <c r="C1623" s="11">
        <v>46149.477939814802</v>
      </c>
      <c r="D1623" s="17" t="s">
        <v>1394</v>
      </c>
      <c r="E1623" t="str">
        <f>IF(COUNTIF($B$2:B1623,B1623)&gt;1,"Duplicado","Único")</f>
        <v>Único</v>
      </c>
    </row>
    <row r="1624" spans="1:5" hidden="1" x14ac:dyDescent="0.25">
      <c r="A1624" s="15">
        <v>16831</v>
      </c>
      <c r="B1624" s="7">
        <v>1088306138</v>
      </c>
      <c r="C1624" s="11">
        <v>46108.4934953704</v>
      </c>
      <c r="D1624" s="17" t="s">
        <v>4194</v>
      </c>
      <c r="E1624" t="str">
        <f>IF(COUNTIF($B$2:B1624,B1624)&gt;1,"Duplicado","Único")</f>
        <v>Duplicado</v>
      </c>
    </row>
    <row r="1625" spans="1:5" x14ac:dyDescent="0.25">
      <c r="A1625" s="15">
        <v>14296</v>
      </c>
      <c r="B1625" s="7">
        <v>1088316121</v>
      </c>
      <c r="C1625" s="11">
        <v>46149.514699074098</v>
      </c>
      <c r="D1625" s="17" t="s">
        <v>4522</v>
      </c>
      <c r="E1625" t="str">
        <f>IF(COUNTIF($B$2:B1625,B1625)&gt;1,"Duplicado","Único")</f>
        <v>Único</v>
      </c>
    </row>
    <row r="1626" spans="1:5" hidden="1" x14ac:dyDescent="0.25">
      <c r="A1626" s="15">
        <v>14296</v>
      </c>
      <c r="B1626" s="7">
        <v>1088316121</v>
      </c>
      <c r="C1626" s="11">
        <v>46090.655497685198</v>
      </c>
      <c r="D1626" s="17" t="s">
        <v>4014</v>
      </c>
      <c r="E1626" t="str">
        <f>IF(COUNTIF($B$2:B1626,B1626)&gt;1,"Duplicado","Único")</f>
        <v>Duplicado</v>
      </c>
    </row>
    <row r="1627" spans="1:5" x14ac:dyDescent="0.25">
      <c r="A1627" s="15">
        <v>55203</v>
      </c>
      <c r="B1627" s="7">
        <v>1088319331</v>
      </c>
      <c r="C1627" s="11">
        <v>46086.460208333301</v>
      </c>
      <c r="D1627" s="17" t="s">
        <v>3797</v>
      </c>
      <c r="E1627" t="str">
        <f>IF(COUNTIF($B$2:B1627,B1627)&gt;1,"Duplicado","Único")</f>
        <v>Único</v>
      </c>
    </row>
    <row r="1628" spans="1:5" hidden="1" x14ac:dyDescent="0.25">
      <c r="A1628" s="15">
        <v>55203</v>
      </c>
      <c r="B1628" s="7">
        <v>1088319331</v>
      </c>
      <c r="C1628" s="11">
        <v>46021.408657407403</v>
      </c>
      <c r="D1628" s="17" t="s">
        <v>3105</v>
      </c>
      <c r="E1628" t="str">
        <f>IF(COUNTIF($B$2:B1628,B1628)&gt;1,"Duplicado","Único")</f>
        <v>Duplicado</v>
      </c>
    </row>
    <row r="1629" spans="1:5" x14ac:dyDescent="0.25">
      <c r="A1629" s="15">
        <v>52342</v>
      </c>
      <c r="B1629" s="7">
        <v>1088326024</v>
      </c>
      <c r="C1629" s="11">
        <v>46087.638587963003</v>
      </c>
      <c r="D1629" s="17" t="s">
        <v>4003</v>
      </c>
      <c r="E1629" t="str">
        <f>IF(COUNTIF($B$2:B1629,B1629)&gt;1,"Duplicado","Único")</f>
        <v>Único</v>
      </c>
    </row>
    <row r="1630" spans="1:5" hidden="1" x14ac:dyDescent="0.25">
      <c r="A1630" s="15">
        <v>52342</v>
      </c>
      <c r="B1630" s="7">
        <v>1088326024</v>
      </c>
      <c r="C1630" s="11">
        <v>46057.348229166702</v>
      </c>
      <c r="D1630" s="17" t="s">
        <v>3630</v>
      </c>
      <c r="E1630" t="str">
        <f>IF(COUNTIF($B$2:B1630,B1630)&gt;1,"Duplicado","Único")</f>
        <v>Duplicado</v>
      </c>
    </row>
    <row r="1631" spans="1:5" hidden="1" x14ac:dyDescent="0.25">
      <c r="A1631" s="15">
        <v>52342</v>
      </c>
      <c r="B1631" s="7">
        <v>1088326024</v>
      </c>
      <c r="C1631" s="11">
        <v>46009.633425925902</v>
      </c>
      <c r="D1631" s="17" t="s">
        <v>2988</v>
      </c>
      <c r="E1631" t="str">
        <f>IF(COUNTIF($B$2:B1631,B1631)&gt;1,"Duplicado","Único")</f>
        <v>Duplicado</v>
      </c>
    </row>
    <row r="1632" spans="1:5" x14ac:dyDescent="0.25">
      <c r="A1632" s="15">
        <v>17949</v>
      </c>
      <c r="B1632" s="7">
        <v>1088331351</v>
      </c>
      <c r="C1632" s="11">
        <v>45833.666608796302</v>
      </c>
      <c r="D1632" s="17" t="s">
        <v>963</v>
      </c>
      <c r="E1632" t="str">
        <f>IF(COUNTIF($B$2:B1632,B1632)&gt;1,"Duplicado","Único")</f>
        <v>Único</v>
      </c>
    </row>
    <row r="1633" spans="1:5" hidden="1" x14ac:dyDescent="0.25">
      <c r="A1633" s="15">
        <v>17949</v>
      </c>
      <c r="B1633" s="7">
        <v>1088331351</v>
      </c>
      <c r="C1633" s="11">
        <v>45797.766331018502</v>
      </c>
      <c r="D1633" s="17" t="s">
        <v>737</v>
      </c>
      <c r="E1633" t="str">
        <f>IF(COUNTIF($B$2:B1633,B1633)&gt;1,"Duplicado","Único")</f>
        <v>Duplicado</v>
      </c>
    </row>
    <row r="1634" spans="1:5" x14ac:dyDescent="0.25">
      <c r="A1634" s="15">
        <v>35549</v>
      </c>
      <c r="B1634" s="7">
        <v>1088334423</v>
      </c>
      <c r="C1634" s="11">
        <v>45917.448715277802</v>
      </c>
      <c r="D1634" s="17" t="s">
        <v>1732</v>
      </c>
      <c r="E1634" t="str">
        <f>IF(COUNTIF($B$2:B1634,B1634)&gt;1,"Duplicado","Único")</f>
        <v>Único</v>
      </c>
    </row>
    <row r="1635" spans="1:5" x14ac:dyDescent="0.25">
      <c r="A1635" s="15">
        <v>41798</v>
      </c>
      <c r="B1635" s="7">
        <v>1088338942</v>
      </c>
      <c r="C1635" s="11">
        <v>45950.609502314801</v>
      </c>
      <c r="D1635" s="17" t="s">
        <v>2005</v>
      </c>
      <c r="E1635" t="str">
        <f>IF(COUNTIF($B$2:B1635,B1635)&gt;1,"Duplicado","Único")</f>
        <v>Único</v>
      </c>
    </row>
    <row r="1636" spans="1:5" x14ac:dyDescent="0.25">
      <c r="A1636" s="15">
        <v>18068</v>
      </c>
      <c r="B1636" s="7">
        <v>1088339062</v>
      </c>
      <c r="C1636" s="11">
        <v>45798.433344907397</v>
      </c>
      <c r="D1636" s="17" t="s">
        <v>746</v>
      </c>
      <c r="E1636" t="str">
        <f>IF(COUNTIF($B$2:B1636,B1636)&gt;1,"Duplicado","Único")</f>
        <v>Único</v>
      </c>
    </row>
    <row r="1637" spans="1:5" x14ac:dyDescent="0.25">
      <c r="A1637" s="15">
        <v>18422</v>
      </c>
      <c r="B1637" s="7">
        <v>1088339421</v>
      </c>
      <c r="C1637" s="11">
        <v>45803.360324074099</v>
      </c>
      <c r="D1637" s="17" t="s">
        <v>766</v>
      </c>
      <c r="E1637" t="str">
        <f>IF(COUNTIF($B$2:B1637,B1637)&gt;1,"Duplicado","Único")</f>
        <v>Único</v>
      </c>
    </row>
    <row r="1638" spans="1:5" x14ac:dyDescent="0.25">
      <c r="A1638" s="15">
        <v>16549</v>
      </c>
      <c r="B1638" s="7">
        <v>1088339948</v>
      </c>
      <c r="C1638" s="11">
        <v>46121.5098842593</v>
      </c>
      <c r="D1638" s="17" t="s">
        <v>4410</v>
      </c>
      <c r="E1638" t="str">
        <f>IF(COUNTIF($B$2:B1638,B1638)&gt;1,"Duplicado","Único")</f>
        <v>Único</v>
      </c>
    </row>
    <row r="1639" spans="1:5" hidden="1" x14ac:dyDescent="0.25">
      <c r="A1639" s="15">
        <v>16549</v>
      </c>
      <c r="B1639" s="7">
        <v>1088339948</v>
      </c>
      <c r="C1639" s="11">
        <v>46101.828854166699</v>
      </c>
      <c r="D1639" s="17" t="s">
        <v>4163</v>
      </c>
      <c r="E1639" t="str">
        <f>IF(COUNTIF($B$2:B1639,B1639)&gt;1,"Duplicado","Único")</f>
        <v>Duplicado</v>
      </c>
    </row>
    <row r="1640" spans="1:5" x14ac:dyDescent="0.25">
      <c r="A1640" s="15">
        <v>22817</v>
      </c>
      <c r="B1640" s="7">
        <v>1088341558</v>
      </c>
      <c r="C1640" s="11">
        <v>45841.696099537003</v>
      </c>
      <c r="D1640" s="17" t="s">
        <v>1017</v>
      </c>
      <c r="E1640" t="str">
        <f>IF(COUNTIF($B$2:B1640,B1640)&gt;1,"Duplicado","Único")</f>
        <v>Único</v>
      </c>
    </row>
    <row r="1641" spans="1:5" x14ac:dyDescent="0.25">
      <c r="A1641" s="15">
        <v>38922</v>
      </c>
      <c r="B1641" s="7">
        <v>1088344440</v>
      </c>
      <c r="C1641" s="11">
        <v>45929.503784722197</v>
      </c>
      <c r="D1641" s="17" t="s">
        <v>1861</v>
      </c>
      <c r="E1641" t="str">
        <f>IF(COUNTIF($B$2:B1641,B1641)&gt;1,"Duplicado","Único")</f>
        <v>Único</v>
      </c>
    </row>
    <row r="1642" spans="1:5" x14ac:dyDescent="0.25">
      <c r="A1642" s="15">
        <v>14392</v>
      </c>
      <c r="B1642" s="7">
        <v>1088347594</v>
      </c>
      <c r="C1642" s="11">
        <v>46120.481701388897</v>
      </c>
      <c r="D1642" s="17" t="s">
        <v>4270</v>
      </c>
      <c r="E1642" t="str">
        <f>IF(COUNTIF($B$2:B1642,B1642)&gt;1,"Duplicado","Único")</f>
        <v>Único</v>
      </c>
    </row>
    <row r="1643" spans="1:5" hidden="1" x14ac:dyDescent="0.25">
      <c r="A1643" s="15">
        <v>14392</v>
      </c>
      <c r="B1643" s="7">
        <v>1088347594</v>
      </c>
      <c r="C1643" s="11">
        <v>46090.665706018503</v>
      </c>
      <c r="D1643" s="17" t="s">
        <v>1015</v>
      </c>
      <c r="E1643" t="str">
        <f>IF(COUNTIF($B$2:B1643,B1643)&gt;1,"Duplicado","Único")</f>
        <v>Duplicado</v>
      </c>
    </row>
    <row r="1644" spans="1:5" x14ac:dyDescent="0.25">
      <c r="A1644" s="15">
        <v>51542</v>
      </c>
      <c r="B1644" s="7">
        <v>1088352255</v>
      </c>
      <c r="C1644" s="11">
        <v>46051.469027777799</v>
      </c>
      <c r="D1644" s="17" t="s">
        <v>3489</v>
      </c>
      <c r="E1644" t="str">
        <f>IF(COUNTIF($B$2:B1644,B1644)&gt;1,"Duplicado","Único")</f>
        <v>Único</v>
      </c>
    </row>
    <row r="1645" spans="1:5" hidden="1" x14ac:dyDescent="0.25">
      <c r="A1645" s="15">
        <v>51542</v>
      </c>
      <c r="B1645" s="7">
        <v>1088352255</v>
      </c>
      <c r="C1645" s="11">
        <v>46002.512129629598</v>
      </c>
      <c r="D1645" s="17" t="s">
        <v>2881</v>
      </c>
      <c r="E1645" t="str">
        <f>IF(COUNTIF($B$2:B1645,B1645)&gt;1,"Duplicado","Único")</f>
        <v>Duplicado</v>
      </c>
    </row>
    <row r="1646" spans="1:5" x14ac:dyDescent="0.25">
      <c r="A1646" s="15">
        <v>3633</v>
      </c>
      <c r="B1646" s="7">
        <v>1088357658</v>
      </c>
      <c r="C1646" s="11">
        <v>46086.766539351898</v>
      </c>
      <c r="D1646" s="17" t="s">
        <v>1002</v>
      </c>
      <c r="E1646" t="str">
        <f>IF(COUNTIF($B$2:B1646,B1646)&gt;1,"Duplicado","Único")</f>
        <v>Único</v>
      </c>
    </row>
    <row r="1647" spans="1:5" hidden="1" x14ac:dyDescent="0.25">
      <c r="A1647" s="15">
        <v>3633</v>
      </c>
      <c r="B1647" s="7">
        <v>1088357658</v>
      </c>
      <c r="C1647" s="11">
        <v>46052.510601851798</v>
      </c>
      <c r="D1647" s="17" t="s">
        <v>3569</v>
      </c>
      <c r="E1647" t="str">
        <f>IF(COUNTIF($B$2:B1647,B1647)&gt;1,"Duplicado","Único")</f>
        <v>Duplicado</v>
      </c>
    </row>
    <row r="1648" spans="1:5" x14ac:dyDescent="0.25">
      <c r="A1648" s="15">
        <v>47582</v>
      </c>
      <c r="B1648" s="7">
        <v>1088358489</v>
      </c>
      <c r="C1648" s="11">
        <v>45972.439108796301</v>
      </c>
      <c r="D1648" s="17" t="s">
        <v>2428</v>
      </c>
      <c r="E1648" t="str">
        <f>IF(COUNTIF($B$2:B1648,B1648)&gt;1,"Duplicado","Único")</f>
        <v>Único</v>
      </c>
    </row>
    <row r="1649" spans="1:5" x14ac:dyDescent="0.25">
      <c r="A1649" s="15">
        <v>51782</v>
      </c>
      <c r="B1649" s="7">
        <v>1088651174</v>
      </c>
      <c r="C1649" s="11">
        <v>46051.469699074099</v>
      </c>
      <c r="D1649" s="17" t="s">
        <v>3490</v>
      </c>
      <c r="E1649" t="str">
        <f>IF(COUNTIF($B$2:B1649,B1649)&gt;1,"Duplicado","Único")</f>
        <v>Único</v>
      </c>
    </row>
    <row r="1650" spans="1:5" hidden="1" x14ac:dyDescent="0.25">
      <c r="A1650" s="15">
        <v>51782</v>
      </c>
      <c r="B1650" s="7">
        <v>1088651174</v>
      </c>
      <c r="C1650" s="11">
        <v>46002.650752314803</v>
      </c>
      <c r="D1650" s="17" t="s">
        <v>2898</v>
      </c>
      <c r="E1650" t="str">
        <f>IF(COUNTIF($B$2:B1650,B1650)&gt;1,"Duplicado","Único")</f>
        <v>Duplicado</v>
      </c>
    </row>
    <row r="1651" spans="1:5" x14ac:dyDescent="0.25">
      <c r="A1651" s="15">
        <v>50915</v>
      </c>
      <c r="B1651" s="7">
        <v>1088653597</v>
      </c>
      <c r="C1651" s="11">
        <v>46050.675324074102</v>
      </c>
      <c r="D1651" s="17" t="s">
        <v>3392</v>
      </c>
      <c r="E1651" t="str">
        <f>IF(COUNTIF($B$2:B1651,B1651)&gt;1,"Duplicado","Único")</f>
        <v>Único</v>
      </c>
    </row>
    <row r="1652" spans="1:5" hidden="1" x14ac:dyDescent="0.25">
      <c r="A1652" s="15">
        <v>50915</v>
      </c>
      <c r="B1652" s="7">
        <v>1088653597</v>
      </c>
      <c r="C1652" s="11">
        <v>45992.636747685203</v>
      </c>
      <c r="D1652" s="17" t="s">
        <v>2825</v>
      </c>
      <c r="E1652" t="str">
        <f>IF(COUNTIF($B$2:B1652,B1652)&gt;1,"Duplicado","Único")</f>
        <v>Duplicado</v>
      </c>
    </row>
    <row r="1653" spans="1:5" x14ac:dyDescent="0.25">
      <c r="A1653" s="15">
        <v>45416</v>
      </c>
      <c r="B1653" s="7">
        <v>1089483333</v>
      </c>
      <c r="C1653" s="11">
        <v>45959.4051736111</v>
      </c>
      <c r="D1653" s="17" t="s">
        <v>2219</v>
      </c>
      <c r="E1653" t="str">
        <f>IF(COUNTIF($B$2:B1653,B1653)&gt;1,"Duplicado","Único")</f>
        <v>Único</v>
      </c>
    </row>
    <row r="1654" spans="1:5" x14ac:dyDescent="0.25">
      <c r="A1654" s="15">
        <v>51240</v>
      </c>
      <c r="B1654" s="7">
        <v>1089485967</v>
      </c>
      <c r="C1654" s="11">
        <v>46051.337719907402</v>
      </c>
      <c r="D1654" s="17" t="s">
        <v>3427</v>
      </c>
      <c r="E1654" t="str">
        <f>IF(COUNTIF($B$2:B1654,B1654)&gt;1,"Duplicado","Único")</f>
        <v>Único</v>
      </c>
    </row>
    <row r="1655" spans="1:5" hidden="1" x14ac:dyDescent="0.25">
      <c r="A1655" s="15">
        <v>51240</v>
      </c>
      <c r="B1655" s="7">
        <v>1089485967</v>
      </c>
      <c r="C1655" s="11">
        <v>46001.494918981502</v>
      </c>
      <c r="D1655" s="17" t="s">
        <v>2861</v>
      </c>
      <c r="E1655" t="str">
        <f>IF(COUNTIF($B$2:B1655,B1655)&gt;1,"Duplicado","Único")</f>
        <v>Duplicado</v>
      </c>
    </row>
    <row r="1656" spans="1:5" x14ac:dyDescent="0.25">
      <c r="A1656" s="15">
        <v>45554</v>
      </c>
      <c r="B1656" s="7">
        <v>1090338749</v>
      </c>
      <c r="C1656" s="11">
        <v>45959.415937500002</v>
      </c>
      <c r="D1656" s="17" t="s">
        <v>2226</v>
      </c>
      <c r="E1656" t="str">
        <f>IF(COUNTIF($B$2:B1656,B1656)&gt;1,"Duplicado","Único")</f>
        <v>Único</v>
      </c>
    </row>
    <row r="1657" spans="1:5" x14ac:dyDescent="0.25">
      <c r="A1657" s="15">
        <v>46356</v>
      </c>
      <c r="B1657" s="7">
        <v>1090371152</v>
      </c>
      <c r="C1657" s="11">
        <v>45965.505034722199</v>
      </c>
      <c r="D1657" s="17" t="s">
        <v>2315</v>
      </c>
      <c r="E1657" t="str">
        <f>IF(COUNTIF($B$2:B1657,B1657)&gt;1,"Duplicado","Único")</f>
        <v>Único</v>
      </c>
    </row>
    <row r="1658" spans="1:5" x14ac:dyDescent="0.25">
      <c r="A1658" s="15">
        <v>47926</v>
      </c>
      <c r="B1658" s="7">
        <v>1090373159</v>
      </c>
      <c r="C1658" s="11">
        <v>45973.6766319444</v>
      </c>
      <c r="D1658" s="17" t="s">
        <v>2479</v>
      </c>
      <c r="E1658" t="str">
        <f>IF(COUNTIF($B$2:B1658,B1658)&gt;1,"Duplicado","Único")</f>
        <v>Único</v>
      </c>
    </row>
    <row r="1659" spans="1:5" x14ac:dyDescent="0.25">
      <c r="A1659" s="15">
        <v>43943</v>
      </c>
      <c r="B1659" s="7">
        <v>1090406897</v>
      </c>
      <c r="C1659" s="11">
        <v>45957.718946759298</v>
      </c>
      <c r="D1659" s="17" t="s">
        <v>2101</v>
      </c>
      <c r="E1659" t="str">
        <f>IF(COUNTIF($B$2:B1659,B1659)&gt;1,"Duplicado","Único")</f>
        <v>Único</v>
      </c>
    </row>
    <row r="1660" spans="1:5" x14ac:dyDescent="0.25">
      <c r="A1660" s="15">
        <v>27688</v>
      </c>
      <c r="B1660" s="7">
        <v>1090408469</v>
      </c>
      <c r="C1660" s="11">
        <v>45877.4445949074</v>
      </c>
      <c r="D1660" s="17" t="s">
        <v>1288</v>
      </c>
      <c r="E1660" t="str">
        <f>IF(COUNTIF($B$2:B1660,B1660)&gt;1,"Duplicado","Único")</f>
        <v>Único</v>
      </c>
    </row>
    <row r="1661" spans="1:5" x14ac:dyDescent="0.25">
      <c r="A1661" s="15">
        <v>46692</v>
      </c>
      <c r="B1661" s="7">
        <v>1090414322</v>
      </c>
      <c r="C1661" s="11">
        <v>45967.666921296302</v>
      </c>
      <c r="D1661" s="17" t="s">
        <v>2349</v>
      </c>
      <c r="E1661" t="str">
        <f>IF(COUNTIF($B$2:B1661,B1661)&gt;1,"Duplicado","Único")</f>
        <v>Único</v>
      </c>
    </row>
    <row r="1662" spans="1:5" x14ac:dyDescent="0.25">
      <c r="A1662" s="15">
        <v>17049</v>
      </c>
      <c r="B1662" s="7">
        <v>1090416951</v>
      </c>
      <c r="C1662" s="11">
        <v>46149.479085648098</v>
      </c>
      <c r="D1662" s="17" t="s">
        <v>1395</v>
      </c>
      <c r="E1662" t="str">
        <f>IF(COUNTIF($B$2:B1662,B1662)&gt;1,"Duplicado","Único")</f>
        <v>Único</v>
      </c>
    </row>
    <row r="1663" spans="1:5" hidden="1" x14ac:dyDescent="0.25">
      <c r="A1663" s="15">
        <v>17049</v>
      </c>
      <c r="B1663" s="7">
        <v>1090416951</v>
      </c>
      <c r="C1663" s="11">
        <v>46108.502337963</v>
      </c>
      <c r="D1663" s="17" t="s">
        <v>4204</v>
      </c>
      <c r="E1663" t="str">
        <f>IF(COUNTIF($B$2:B1663,B1663)&gt;1,"Duplicado","Único")</f>
        <v>Duplicado</v>
      </c>
    </row>
    <row r="1664" spans="1:5" x14ac:dyDescent="0.25">
      <c r="A1664" s="15">
        <v>2282</v>
      </c>
      <c r="B1664" s="7">
        <v>1090433467</v>
      </c>
      <c r="C1664" s="11">
        <v>46086.725868055597</v>
      </c>
      <c r="D1664" s="17" t="s">
        <v>3908</v>
      </c>
      <c r="E1664" t="str">
        <f>IF(COUNTIF($B$2:B1664,B1664)&gt;1,"Duplicado","Único")</f>
        <v>Único</v>
      </c>
    </row>
    <row r="1665" spans="1:5" hidden="1" x14ac:dyDescent="0.25">
      <c r="A1665" s="15">
        <v>2282</v>
      </c>
      <c r="B1665" s="7">
        <v>1090433467</v>
      </c>
      <c r="C1665" s="11">
        <v>46049.638726851903</v>
      </c>
      <c r="D1665" s="17" t="s">
        <v>3224</v>
      </c>
      <c r="E1665" t="str">
        <f>IF(COUNTIF($B$2:B1665,B1665)&gt;1,"Duplicado","Único")</f>
        <v>Duplicado</v>
      </c>
    </row>
    <row r="1666" spans="1:5" x14ac:dyDescent="0.25">
      <c r="A1666" s="15">
        <v>18061</v>
      </c>
      <c r="B1666" s="7">
        <v>1090447993</v>
      </c>
      <c r="C1666" s="11">
        <v>45798.431111111102</v>
      </c>
      <c r="D1666" s="17" t="s">
        <v>745</v>
      </c>
      <c r="E1666" t="str">
        <f>IF(COUNTIF($B$2:B1666,B1666)&gt;1,"Duplicado","Único")</f>
        <v>Único</v>
      </c>
    </row>
    <row r="1667" spans="1:5" x14ac:dyDescent="0.25">
      <c r="A1667" s="15">
        <v>508</v>
      </c>
      <c r="B1667" s="7">
        <v>1090449216</v>
      </c>
      <c r="C1667" s="11">
        <v>46086.518553240698</v>
      </c>
      <c r="D1667" s="17" t="s">
        <v>3835</v>
      </c>
      <c r="E1667" t="str">
        <f>IF(COUNTIF($B$2:B1667,B1667)&gt;1,"Duplicado","Único")</f>
        <v>Único</v>
      </c>
    </row>
    <row r="1668" spans="1:5" hidden="1" x14ac:dyDescent="0.25">
      <c r="A1668" s="15">
        <v>508</v>
      </c>
      <c r="B1668" s="7">
        <v>1090449216</v>
      </c>
      <c r="C1668" s="11">
        <v>46035.400254629603</v>
      </c>
      <c r="D1668" s="17" t="s">
        <v>3134</v>
      </c>
      <c r="E1668" t="str">
        <f>IF(COUNTIF($B$2:B1668,B1668)&gt;1,"Duplicado","Único")</f>
        <v>Duplicado</v>
      </c>
    </row>
    <row r="1669" spans="1:5" x14ac:dyDescent="0.25">
      <c r="A1669" s="15">
        <v>25347</v>
      </c>
      <c r="B1669" s="7">
        <v>1090450629</v>
      </c>
      <c r="C1669" s="11">
        <v>45860.433506944399</v>
      </c>
      <c r="D1669" s="17" t="s">
        <v>1122</v>
      </c>
      <c r="E1669" t="str">
        <f>IF(COUNTIF($B$2:B1669,B1669)&gt;1,"Duplicado","Único")</f>
        <v>Único</v>
      </c>
    </row>
    <row r="1670" spans="1:5" x14ac:dyDescent="0.25">
      <c r="A1670" s="15">
        <v>38996</v>
      </c>
      <c r="B1670" s="7">
        <v>1090453263</v>
      </c>
      <c r="C1670" s="11">
        <v>45929.530046296299</v>
      </c>
      <c r="D1670" s="17" t="s">
        <v>1864</v>
      </c>
      <c r="E1670" t="str">
        <f>IF(COUNTIF($B$2:B1670,B1670)&gt;1,"Duplicado","Único")</f>
        <v>Único</v>
      </c>
    </row>
    <row r="1671" spans="1:5" x14ac:dyDescent="0.25">
      <c r="A1671" s="15">
        <v>50440</v>
      </c>
      <c r="B1671" s="7">
        <v>1090468005</v>
      </c>
      <c r="C1671" s="11">
        <v>46050.622129629599</v>
      </c>
      <c r="D1671" s="17" t="s">
        <v>3332</v>
      </c>
      <c r="E1671" t="str">
        <f>IF(COUNTIF($B$2:B1671,B1671)&gt;1,"Duplicado","Único")</f>
        <v>Único</v>
      </c>
    </row>
    <row r="1672" spans="1:5" hidden="1" x14ac:dyDescent="0.25">
      <c r="A1672" s="15">
        <v>50440</v>
      </c>
      <c r="B1672" s="7">
        <v>1090468005</v>
      </c>
      <c r="C1672" s="11">
        <v>45988.3965046296</v>
      </c>
      <c r="D1672" s="17" t="s">
        <v>2761</v>
      </c>
      <c r="E1672" t="str">
        <f>IF(COUNTIF($B$2:B1672,B1672)&gt;1,"Duplicado","Único")</f>
        <v>Duplicado</v>
      </c>
    </row>
    <row r="1673" spans="1:5" x14ac:dyDescent="0.25">
      <c r="A1673" s="15">
        <v>30375</v>
      </c>
      <c r="B1673" s="7">
        <v>1090468263</v>
      </c>
      <c r="C1673" s="11">
        <v>45901.721250000002</v>
      </c>
      <c r="D1673" s="17" t="s">
        <v>1499</v>
      </c>
      <c r="E1673" t="str">
        <f>IF(COUNTIF($B$2:B1673,B1673)&gt;1,"Duplicado","Único")</f>
        <v>Único</v>
      </c>
    </row>
    <row r="1674" spans="1:5" x14ac:dyDescent="0.25">
      <c r="A1674" s="15">
        <v>15664</v>
      </c>
      <c r="B1674" s="7">
        <v>1090472444</v>
      </c>
      <c r="C1674" s="11">
        <v>46121.510358796302</v>
      </c>
      <c r="D1674" s="17" t="s">
        <v>4411</v>
      </c>
      <c r="E1674" t="str">
        <f>IF(COUNTIF($B$2:B1674,B1674)&gt;1,"Duplicado","Único")</f>
        <v>Único</v>
      </c>
    </row>
    <row r="1675" spans="1:5" hidden="1" x14ac:dyDescent="0.25">
      <c r="A1675" s="15">
        <v>15664</v>
      </c>
      <c r="B1675" s="7">
        <v>1090472444</v>
      </c>
      <c r="C1675" s="11">
        <v>46101.673298611102</v>
      </c>
      <c r="D1675" s="17" t="s">
        <v>4107</v>
      </c>
      <c r="E1675" t="str">
        <f>IF(COUNTIF($B$2:B1675,B1675)&gt;1,"Duplicado","Único")</f>
        <v>Duplicado</v>
      </c>
    </row>
    <row r="1676" spans="1:5" x14ac:dyDescent="0.25">
      <c r="A1676" s="15">
        <v>24341</v>
      </c>
      <c r="B1676" s="7">
        <v>1090476647</v>
      </c>
      <c r="C1676" s="11">
        <v>45856.4503819444</v>
      </c>
      <c r="D1676" s="17" t="s">
        <v>1077</v>
      </c>
      <c r="E1676" t="str">
        <f>IF(COUNTIF($B$2:B1676,B1676)&gt;1,"Duplicado","Único")</f>
        <v>Único</v>
      </c>
    </row>
    <row r="1677" spans="1:5" x14ac:dyDescent="0.25">
      <c r="A1677" s="15">
        <v>18881</v>
      </c>
      <c r="B1677" s="7">
        <v>1090479590</v>
      </c>
      <c r="C1677" s="11">
        <v>45805.667048611103</v>
      </c>
      <c r="D1677" s="17" t="s">
        <v>796</v>
      </c>
      <c r="E1677" t="str">
        <f>IF(COUNTIF($B$2:B1677,B1677)&gt;1,"Duplicado","Único")</f>
        <v>Único</v>
      </c>
    </row>
    <row r="1678" spans="1:5" x14ac:dyDescent="0.25">
      <c r="A1678" s="15">
        <v>42303</v>
      </c>
      <c r="B1678" s="7">
        <v>1090480041</v>
      </c>
      <c r="C1678" s="11">
        <v>45951.604328703703</v>
      </c>
      <c r="D1678" s="17" t="s">
        <v>2019</v>
      </c>
      <c r="E1678" t="str">
        <f>IF(COUNTIF($B$2:B1678,B1678)&gt;1,"Duplicado","Único")</f>
        <v>Único</v>
      </c>
    </row>
    <row r="1679" spans="1:5" x14ac:dyDescent="0.25">
      <c r="A1679" s="15">
        <v>32518</v>
      </c>
      <c r="B1679" s="7">
        <v>1090487994</v>
      </c>
      <c r="C1679" s="11">
        <v>45909.661655092597</v>
      </c>
      <c r="D1679" s="17" t="s">
        <v>1623</v>
      </c>
      <c r="E1679" t="str">
        <f>IF(COUNTIF($B$2:B1679,B1679)&gt;1,"Duplicado","Único")</f>
        <v>Único</v>
      </c>
    </row>
    <row r="1680" spans="1:5" x14ac:dyDescent="0.25">
      <c r="A1680" s="15">
        <v>29511</v>
      </c>
      <c r="B1680" s="7">
        <v>1090497686</v>
      </c>
      <c r="C1680" s="11">
        <v>45894.628483796303</v>
      </c>
      <c r="D1680" s="17" t="s">
        <v>1414</v>
      </c>
      <c r="E1680" t="str">
        <f>IF(COUNTIF($B$2:B1680,B1680)&gt;1,"Duplicado","Único")</f>
        <v>Único</v>
      </c>
    </row>
    <row r="1681" spans="1:5" x14ac:dyDescent="0.25">
      <c r="A1681" s="15">
        <v>49357</v>
      </c>
      <c r="B1681" s="7">
        <v>1090504356</v>
      </c>
      <c r="C1681" s="11">
        <v>45981.667974536998</v>
      </c>
      <c r="D1681" s="17" t="s">
        <v>2646</v>
      </c>
      <c r="E1681" t="str">
        <f>IF(COUNTIF($B$2:B1681,B1681)&gt;1,"Duplicado","Único")</f>
        <v>Único</v>
      </c>
    </row>
    <row r="1682" spans="1:5" x14ac:dyDescent="0.25">
      <c r="A1682" s="15">
        <v>48927</v>
      </c>
      <c r="B1682" s="7">
        <v>1090506519</v>
      </c>
      <c r="C1682" s="11">
        <v>45980.391180555598</v>
      </c>
      <c r="D1682" s="17" t="s">
        <v>2591</v>
      </c>
      <c r="E1682" t="str">
        <f>IF(COUNTIF($B$2:B1682,B1682)&gt;1,"Duplicado","Único")</f>
        <v>Único</v>
      </c>
    </row>
    <row r="1683" spans="1:5" x14ac:dyDescent="0.25">
      <c r="A1683" s="15">
        <v>2102</v>
      </c>
      <c r="B1683" s="7">
        <v>1090510239</v>
      </c>
      <c r="C1683" s="11">
        <v>46086.710879629602</v>
      </c>
      <c r="D1683" s="17" t="s">
        <v>3895</v>
      </c>
      <c r="E1683" t="str">
        <f>IF(COUNTIF($B$2:B1683,B1683)&gt;1,"Duplicado","Único")</f>
        <v>Único</v>
      </c>
    </row>
    <row r="1684" spans="1:5" hidden="1" x14ac:dyDescent="0.25">
      <c r="A1684" s="15">
        <v>2102</v>
      </c>
      <c r="B1684" s="7">
        <v>1090510239</v>
      </c>
      <c r="C1684" s="11">
        <v>46048.6390046296</v>
      </c>
      <c r="D1684" s="17" t="s">
        <v>3210</v>
      </c>
      <c r="E1684" t="str">
        <f>IF(COUNTIF($B$2:B1684,B1684)&gt;1,"Duplicado","Único")</f>
        <v>Duplicado</v>
      </c>
    </row>
    <row r="1685" spans="1:5" x14ac:dyDescent="0.25">
      <c r="A1685" s="15">
        <v>51063</v>
      </c>
      <c r="B1685" s="7">
        <v>1090514739</v>
      </c>
      <c r="C1685" s="11">
        <v>46050.690625000003</v>
      </c>
      <c r="D1685" s="17" t="s">
        <v>3410</v>
      </c>
      <c r="E1685" t="str">
        <f>IF(COUNTIF($B$2:B1685,B1685)&gt;1,"Duplicado","Único")</f>
        <v>Único</v>
      </c>
    </row>
    <row r="1686" spans="1:5" hidden="1" x14ac:dyDescent="0.25">
      <c r="A1686" s="15">
        <v>51063</v>
      </c>
      <c r="B1686" s="7">
        <v>1090514739</v>
      </c>
      <c r="C1686" s="11">
        <v>46000.642789351798</v>
      </c>
      <c r="D1686" s="17" t="s">
        <v>2844</v>
      </c>
      <c r="E1686" t="str">
        <f>IF(COUNTIF($B$2:B1686,B1686)&gt;1,"Duplicado","Único")</f>
        <v>Duplicado</v>
      </c>
    </row>
    <row r="1687" spans="1:5" x14ac:dyDescent="0.25">
      <c r="A1687" s="15">
        <v>52473</v>
      </c>
      <c r="B1687" s="7">
        <v>1091060319</v>
      </c>
      <c r="C1687" s="11">
        <v>46051.601076388899</v>
      </c>
      <c r="D1687" s="17" t="s">
        <v>3531</v>
      </c>
      <c r="E1687" t="str">
        <f>IF(COUNTIF($B$2:B1687,B1687)&gt;1,"Duplicado","Único")</f>
        <v>Único</v>
      </c>
    </row>
    <row r="1688" spans="1:5" hidden="1" x14ac:dyDescent="0.25">
      <c r="A1688" s="15">
        <v>52473</v>
      </c>
      <c r="B1688" s="7">
        <v>1091060319</v>
      </c>
      <c r="C1688" s="11">
        <v>46007.456030092602</v>
      </c>
      <c r="D1688" s="17" t="s">
        <v>2935</v>
      </c>
      <c r="E1688" t="str">
        <f>IF(COUNTIF($B$2:B1688,B1688)&gt;1,"Duplicado","Único")</f>
        <v>Duplicado</v>
      </c>
    </row>
    <row r="1689" spans="1:5" x14ac:dyDescent="0.25">
      <c r="A1689" s="15">
        <v>19206</v>
      </c>
      <c r="B1689" s="7">
        <v>1091272505</v>
      </c>
      <c r="C1689" s="11">
        <v>45813.744780092602</v>
      </c>
      <c r="D1689" s="17" t="s">
        <v>818</v>
      </c>
      <c r="E1689" t="str">
        <f>IF(COUNTIF($B$2:B1689,B1689)&gt;1,"Duplicado","Único")</f>
        <v>Único</v>
      </c>
    </row>
    <row r="1690" spans="1:5" x14ac:dyDescent="0.25">
      <c r="A1690" s="15">
        <v>23687</v>
      </c>
      <c r="B1690" s="7">
        <v>1091381098</v>
      </c>
      <c r="C1690" s="11">
        <v>45842.482939814799</v>
      </c>
      <c r="D1690" s="17" t="s">
        <v>1052</v>
      </c>
      <c r="E1690" t="str">
        <f>IF(COUNTIF($B$2:B1690,B1690)&gt;1,"Duplicado","Único")</f>
        <v>Único</v>
      </c>
    </row>
    <row r="1691" spans="1:5" x14ac:dyDescent="0.25">
      <c r="A1691" s="15">
        <v>33775</v>
      </c>
      <c r="B1691" s="7">
        <v>1091595783</v>
      </c>
      <c r="C1691" s="11">
        <v>45916.339664351799</v>
      </c>
      <c r="D1691" s="17" t="s">
        <v>1712</v>
      </c>
      <c r="E1691" t="str">
        <f>IF(COUNTIF($B$2:B1691,B1691)&gt;1,"Duplicado","Único")</f>
        <v>Único</v>
      </c>
    </row>
    <row r="1692" spans="1:5" x14ac:dyDescent="0.25">
      <c r="A1692" s="15">
        <v>41402</v>
      </c>
      <c r="B1692" s="7">
        <v>1091654887</v>
      </c>
      <c r="C1692" s="11">
        <v>45938.401261574101</v>
      </c>
      <c r="D1692" s="17" t="s">
        <v>1971</v>
      </c>
      <c r="E1692" t="str">
        <f>IF(COUNTIF($B$2:B1692,B1692)&gt;1,"Duplicado","Único")</f>
        <v>Único</v>
      </c>
    </row>
    <row r="1693" spans="1:5" x14ac:dyDescent="0.25">
      <c r="A1693" s="15">
        <v>24825</v>
      </c>
      <c r="B1693" s="7">
        <v>1091662483</v>
      </c>
      <c r="C1693" s="11">
        <v>45859.424525463</v>
      </c>
      <c r="D1693" s="17" t="s">
        <v>1096</v>
      </c>
      <c r="E1693" t="str">
        <f>IF(COUNTIF($B$2:B1693,B1693)&gt;1,"Duplicado","Único")</f>
        <v>Único</v>
      </c>
    </row>
    <row r="1694" spans="1:5" x14ac:dyDescent="0.25">
      <c r="A1694" s="15">
        <v>1851</v>
      </c>
      <c r="B1694" s="7">
        <v>1091663975</v>
      </c>
      <c r="C1694" s="11">
        <v>46086.711493055598</v>
      </c>
      <c r="D1694" s="17" t="s">
        <v>3896</v>
      </c>
      <c r="E1694" t="str">
        <f>IF(COUNTIF($B$2:B1694,B1694)&gt;1,"Duplicado","Único")</f>
        <v>Único</v>
      </c>
    </row>
    <row r="1695" spans="1:5" hidden="1" x14ac:dyDescent="0.25">
      <c r="A1695" s="15">
        <v>1851</v>
      </c>
      <c r="B1695" s="7">
        <v>1091663975</v>
      </c>
      <c r="C1695" s="11">
        <v>46048.485671296301</v>
      </c>
      <c r="D1695" s="17" t="s">
        <v>3198</v>
      </c>
      <c r="E1695" t="str">
        <f>IF(COUNTIF($B$2:B1695,B1695)&gt;1,"Duplicado","Único")</f>
        <v>Duplicado</v>
      </c>
    </row>
    <row r="1696" spans="1:5" x14ac:dyDescent="0.25">
      <c r="A1696" s="15">
        <v>1402</v>
      </c>
      <c r="B1696" s="7">
        <v>1091664205</v>
      </c>
      <c r="C1696" s="11">
        <v>46094.472210648099</v>
      </c>
      <c r="D1696" s="17" t="s">
        <v>4039</v>
      </c>
      <c r="E1696" t="str">
        <f>IF(COUNTIF($B$2:B1696,B1696)&gt;1,"Duplicado","Único")</f>
        <v>Único</v>
      </c>
    </row>
    <row r="1697" spans="1:5" hidden="1" x14ac:dyDescent="0.25">
      <c r="A1697" s="15">
        <v>1402</v>
      </c>
      <c r="B1697" s="7">
        <v>1091664205</v>
      </c>
      <c r="C1697" s="11">
        <v>46086.678391203699</v>
      </c>
      <c r="D1697" s="17" t="s">
        <v>3872</v>
      </c>
      <c r="E1697" t="str">
        <f>IF(COUNTIF($B$2:B1697,B1697)&gt;1,"Duplicado","Único")</f>
        <v>Duplicado</v>
      </c>
    </row>
    <row r="1698" spans="1:5" hidden="1" x14ac:dyDescent="0.25">
      <c r="A1698" s="15">
        <v>1402</v>
      </c>
      <c r="B1698" s="7">
        <v>1091664205</v>
      </c>
      <c r="C1698" s="11">
        <v>46036.5952314815</v>
      </c>
      <c r="D1698" s="17" t="s">
        <v>3176</v>
      </c>
      <c r="E1698" t="str">
        <f>IF(COUNTIF($B$2:B1698,B1698)&gt;1,"Duplicado","Único")</f>
        <v>Duplicado</v>
      </c>
    </row>
    <row r="1699" spans="1:5" x14ac:dyDescent="0.25">
      <c r="A1699" s="15">
        <v>46716</v>
      </c>
      <c r="B1699" s="7">
        <v>1091679998</v>
      </c>
      <c r="C1699" s="11">
        <v>45967.678599537001</v>
      </c>
      <c r="D1699" s="17" t="s">
        <v>2351</v>
      </c>
      <c r="E1699" t="str">
        <f>IF(COUNTIF($B$2:B1699,B1699)&gt;1,"Duplicado","Único")</f>
        <v>Único</v>
      </c>
    </row>
    <row r="1700" spans="1:5" x14ac:dyDescent="0.25">
      <c r="A1700" s="15">
        <v>17325</v>
      </c>
      <c r="B1700" s="7">
        <v>1091682536</v>
      </c>
      <c r="C1700" s="11">
        <v>45791.657743055599</v>
      </c>
      <c r="D1700" s="17" t="s">
        <v>700</v>
      </c>
      <c r="E1700" t="str">
        <f>IF(COUNTIF($B$2:B1700,B1700)&gt;1,"Duplicado","Único")</f>
        <v>Único</v>
      </c>
    </row>
    <row r="1701" spans="1:5" x14ac:dyDescent="0.25">
      <c r="A1701" s="15">
        <v>15004</v>
      </c>
      <c r="B1701" s="7">
        <v>1092362829</v>
      </c>
      <c r="C1701" s="11">
        <v>46120.652662036999</v>
      </c>
      <c r="D1701" s="17" t="s">
        <v>4328</v>
      </c>
      <c r="E1701" t="str">
        <f>IF(COUNTIF($B$2:B1701,B1701)&gt;1,"Duplicado","Único")</f>
        <v>Único</v>
      </c>
    </row>
    <row r="1702" spans="1:5" hidden="1" x14ac:dyDescent="0.25">
      <c r="A1702" s="15">
        <v>15004</v>
      </c>
      <c r="B1702" s="7">
        <v>1092362829</v>
      </c>
      <c r="C1702" s="11">
        <v>46094.421898148103</v>
      </c>
      <c r="D1702" s="17" t="s">
        <v>4028</v>
      </c>
      <c r="E1702" t="str">
        <f>IF(COUNTIF($B$2:B1702,B1702)&gt;1,"Duplicado","Único")</f>
        <v>Duplicado</v>
      </c>
    </row>
    <row r="1703" spans="1:5" x14ac:dyDescent="0.25">
      <c r="A1703" s="15">
        <v>43745</v>
      </c>
      <c r="B1703" s="7">
        <v>1093223754</v>
      </c>
      <c r="C1703" s="11">
        <v>45957.411446759303</v>
      </c>
      <c r="D1703" s="17" t="s">
        <v>2088</v>
      </c>
      <c r="E1703" t="str">
        <f>IF(COUNTIF($B$2:B1703,B1703)&gt;1,"Duplicado","Único")</f>
        <v>Único</v>
      </c>
    </row>
    <row r="1704" spans="1:5" x14ac:dyDescent="0.25">
      <c r="A1704" s="15">
        <v>25845</v>
      </c>
      <c r="B1704" s="7">
        <v>1093225199</v>
      </c>
      <c r="C1704" s="11">
        <v>45873.452499999999</v>
      </c>
      <c r="D1704" s="17" t="s">
        <v>1221</v>
      </c>
      <c r="E1704" t="str">
        <f>IF(COUNTIF($B$2:B1704,B1704)&gt;1,"Duplicado","Único")</f>
        <v>Único</v>
      </c>
    </row>
    <row r="1705" spans="1:5" hidden="1" x14ac:dyDescent="0.25">
      <c r="A1705" s="15">
        <v>25845</v>
      </c>
      <c r="B1705" s="7">
        <v>1093225199</v>
      </c>
      <c r="C1705" s="11">
        <v>45866.6012962963</v>
      </c>
      <c r="D1705" s="17" t="s">
        <v>1147</v>
      </c>
      <c r="E1705" t="str">
        <f>IF(COUNTIF($B$2:B1705,B1705)&gt;1,"Duplicado","Único")</f>
        <v>Duplicado</v>
      </c>
    </row>
    <row r="1706" spans="1:5" x14ac:dyDescent="0.25">
      <c r="A1706" s="15">
        <v>41549</v>
      </c>
      <c r="B1706" s="7">
        <v>1093230138</v>
      </c>
      <c r="C1706" s="11">
        <v>45938.436249999999</v>
      </c>
      <c r="D1706" s="17" t="s">
        <v>1986</v>
      </c>
      <c r="E1706" t="str">
        <f>IF(COUNTIF($B$2:B1706,B1706)&gt;1,"Duplicado","Único")</f>
        <v>Único</v>
      </c>
    </row>
    <row r="1707" spans="1:5" x14ac:dyDescent="0.25">
      <c r="A1707" s="15">
        <v>49101</v>
      </c>
      <c r="B1707" s="7">
        <v>10933271</v>
      </c>
      <c r="C1707" s="11">
        <v>45980.427314814799</v>
      </c>
      <c r="D1707" s="17" t="s">
        <v>2608</v>
      </c>
      <c r="E1707" t="str">
        <f>IF(COUNTIF($B$2:B1707,B1707)&gt;1,"Duplicado","Único")</f>
        <v>Único</v>
      </c>
    </row>
    <row r="1708" spans="1:5" x14ac:dyDescent="0.25">
      <c r="A1708" s="15">
        <v>53740</v>
      </c>
      <c r="B1708" s="7">
        <v>10933822</v>
      </c>
      <c r="C1708" s="11">
        <v>46057.3980787037</v>
      </c>
      <c r="D1708" s="17" t="s">
        <v>3673</v>
      </c>
      <c r="E1708" t="str">
        <f>IF(COUNTIF($B$2:B1708,B1708)&gt;1,"Duplicado","Único")</f>
        <v>Único</v>
      </c>
    </row>
    <row r="1709" spans="1:5" hidden="1" x14ac:dyDescent="0.25">
      <c r="A1709" s="15">
        <v>53740</v>
      </c>
      <c r="B1709" s="7">
        <v>10933822</v>
      </c>
      <c r="C1709" s="11">
        <v>46013.5151736111</v>
      </c>
      <c r="D1709" s="17" t="s">
        <v>3038</v>
      </c>
      <c r="E1709" t="str">
        <f>IF(COUNTIF($B$2:B1709,B1709)&gt;1,"Duplicado","Único")</f>
        <v>Duplicado</v>
      </c>
    </row>
    <row r="1710" spans="1:5" x14ac:dyDescent="0.25">
      <c r="A1710" s="15">
        <v>14750</v>
      </c>
      <c r="B1710" s="7">
        <v>1093736635</v>
      </c>
      <c r="C1710" s="11">
        <v>46136.668252314797</v>
      </c>
      <c r="D1710" s="17" t="s">
        <v>4430</v>
      </c>
      <c r="E1710" t="str">
        <f>IF(COUNTIF($B$2:B1710,B1710)&gt;1,"Duplicado","Único")</f>
        <v>Único</v>
      </c>
    </row>
    <row r="1711" spans="1:5" hidden="1" x14ac:dyDescent="0.25">
      <c r="A1711" s="15">
        <v>14750</v>
      </c>
      <c r="B1711" s="7">
        <v>1093736635</v>
      </c>
      <c r="C1711" s="11">
        <v>46120.653159722198</v>
      </c>
      <c r="D1711" s="17" t="s">
        <v>4329</v>
      </c>
      <c r="E1711" t="str">
        <f>IF(COUNTIF($B$2:B1711,B1711)&gt;1,"Duplicado","Único")</f>
        <v>Duplicado</v>
      </c>
    </row>
    <row r="1712" spans="1:5" hidden="1" x14ac:dyDescent="0.25">
      <c r="A1712" s="15">
        <v>14750</v>
      </c>
      <c r="B1712" s="7">
        <v>1093736635</v>
      </c>
      <c r="C1712" s="11">
        <v>46094.485659722202</v>
      </c>
      <c r="D1712" s="17" t="s">
        <v>4041</v>
      </c>
      <c r="E1712" t="str">
        <f>IF(COUNTIF($B$2:B1712,B1712)&gt;1,"Duplicado","Único")</f>
        <v>Duplicado</v>
      </c>
    </row>
    <row r="1713" spans="1:5" x14ac:dyDescent="0.25">
      <c r="A1713" s="15">
        <v>53624</v>
      </c>
      <c r="B1713" s="7">
        <v>1093738309</v>
      </c>
      <c r="C1713" s="11">
        <v>46057.379490740699</v>
      </c>
      <c r="D1713" s="17" t="s">
        <v>3664</v>
      </c>
      <c r="E1713" t="str">
        <f>IF(COUNTIF($B$2:B1713,B1713)&gt;1,"Duplicado","Único")</f>
        <v>Único</v>
      </c>
    </row>
    <row r="1714" spans="1:5" hidden="1" x14ac:dyDescent="0.25">
      <c r="A1714" s="15">
        <v>53624</v>
      </c>
      <c r="B1714" s="7">
        <v>1093738309</v>
      </c>
      <c r="C1714" s="11">
        <v>46013.491134259297</v>
      </c>
      <c r="D1714" s="17" t="s">
        <v>3027</v>
      </c>
      <c r="E1714" t="str">
        <f>IF(COUNTIF($B$2:B1714,B1714)&gt;1,"Duplicado","Único")</f>
        <v>Duplicado</v>
      </c>
    </row>
    <row r="1715" spans="1:5" x14ac:dyDescent="0.25">
      <c r="A1715" s="15">
        <v>48729</v>
      </c>
      <c r="B1715" s="7">
        <v>1093766218</v>
      </c>
      <c r="C1715" s="11">
        <v>45979.601215277798</v>
      </c>
      <c r="D1715" s="17" t="s">
        <v>2564</v>
      </c>
      <c r="E1715" t="str">
        <f>IF(COUNTIF($B$2:B1715,B1715)&gt;1,"Duplicado","Único")</f>
        <v>Único</v>
      </c>
    </row>
    <row r="1716" spans="1:5" x14ac:dyDescent="0.25">
      <c r="A1716" s="15">
        <v>32685</v>
      </c>
      <c r="B1716" s="7">
        <v>1093792420</v>
      </c>
      <c r="C1716" s="11">
        <v>45910.401851851799</v>
      </c>
      <c r="D1716" s="17" t="s">
        <v>1636</v>
      </c>
      <c r="E1716" t="str">
        <f>IF(COUNTIF($B$2:B1716,B1716)&gt;1,"Duplicado","Único")</f>
        <v>Único</v>
      </c>
    </row>
    <row r="1717" spans="1:5" x14ac:dyDescent="0.25">
      <c r="A1717" s="15">
        <v>20334</v>
      </c>
      <c r="B1717" s="7">
        <v>1093797098</v>
      </c>
      <c r="C1717" s="11">
        <v>45820.432581018496</v>
      </c>
      <c r="D1717" s="17" t="s">
        <v>879</v>
      </c>
      <c r="E1717" t="str">
        <f>IF(COUNTIF($B$2:B1717,B1717)&gt;1,"Duplicado","Único")</f>
        <v>Único</v>
      </c>
    </row>
    <row r="1718" spans="1:5" x14ac:dyDescent="0.25">
      <c r="A1718" s="15">
        <v>14674</v>
      </c>
      <c r="B1718" s="7">
        <v>1094247892</v>
      </c>
      <c r="C1718" s="11">
        <v>46120.482604166697</v>
      </c>
      <c r="D1718" s="17" t="s">
        <v>4271</v>
      </c>
      <c r="E1718" t="str">
        <f>IF(COUNTIF($B$2:B1718,B1718)&gt;1,"Duplicado","Único")</f>
        <v>Único</v>
      </c>
    </row>
    <row r="1719" spans="1:5" hidden="1" x14ac:dyDescent="0.25">
      <c r="A1719" s="15">
        <v>14674</v>
      </c>
      <c r="B1719" s="7">
        <v>1094247892</v>
      </c>
      <c r="C1719" s="11">
        <v>46090.689108796301</v>
      </c>
      <c r="D1719" s="17" t="s">
        <v>1033</v>
      </c>
      <c r="E1719" t="str">
        <f>IF(COUNTIF($B$2:B1719,B1719)&gt;1,"Duplicado","Único")</f>
        <v>Duplicado</v>
      </c>
    </row>
    <row r="1720" spans="1:5" x14ac:dyDescent="0.25">
      <c r="A1720" s="15">
        <v>19017</v>
      </c>
      <c r="B1720" s="7">
        <v>1094248743</v>
      </c>
      <c r="C1720" s="11">
        <v>45813.705729166701</v>
      </c>
      <c r="D1720" s="17" t="s">
        <v>807</v>
      </c>
      <c r="E1720" t="str">
        <f>IF(COUNTIF($B$2:B1720,B1720)&gt;1,"Duplicado","Único")</f>
        <v>Único</v>
      </c>
    </row>
    <row r="1721" spans="1:5" x14ac:dyDescent="0.25">
      <c r="A1721" s="15">
        <v>17840</v>
      </c>
      <c r="B1721" s="7">
        <v>1094265795</v>
      </c>
      <c r="C1721" s="11">
        <v>46149.422222222202</v>
      </c>
      <c r="D1721" s="17" t="s">
        <v>4458</v>
      </c>
      <c r="E1721" t="str">
        <f>IF(COUNTIF($B$2:B1721,B1721)&gt;1,"Duplicado","Único")</f>
        <v>Único</v>
      </c>
    </row>
    <row r="1722" spans="1:5" hidden="1" x14ac:dyDescent="0.25">
      <c r="A1722" s="15">
        <v>17840</v>
      </c>
      <c r="B1722" s="7">
        <v>1094265795</v>
      </c>
      <c r="C1722" s="11">
        <v>46118.457326388903</v>
      </c>
      <c r="D1722" s="17" t="s">
        <v>4249</v>
      </c>
      <c r="E1722" t="str">
        <f>IF(COUNTIF($B$2:B1722,B1722)&gt;1,"Duplicado","Único")</f>
        <v>Duplicado</v>
      </c>
    </row>
    <row r="1723" spans="1:5" x14ac:dyDescent="0.25">
      <c r="A1723" s="15">
        <v>45049</v>
      </c>
      <c r="B1723" s="7">
        <v>1094269475</v>
      </c>
      <c r="C1723" s="11">
        <v>45958.692719907398</v>
      </c>
      <c r="D1723" s="17" t="s">
        <v>2188</v>
      </c>
      <c r="E1723" t="str">
        <f>IF(COUNTIF($B$2:B1723,B1723)&gt;1,"Duplicado","Único")</f>
        <v>Único</v>
      </c>
    </row>
    <row r="1724" spans="1:5" x14ac:dyDescent="0.25">
      <c r="A1724" s="15">
        <v>26917</v>
      </c>
      <c r="B1724" s="7">
        <v>1094276897</v>
      </c>
      <c r="C1724" s="11">
        <v>45873.642372685201</v>
      </c>
      <c r="D1724" s="17" t="s">
        <v>1229</v>
      </c>
      <c r="E1724" t="str">
        <f>IF(COUNTIF($B$2:B1724,B1724)&gt;1,"Duplicado","Único")</f>
        <v>Único</v>
      </c>
    </row>
    <row r="1725" spans="1:5" x14ac:dyDescent="0.25">
      <c r="A1725" s="15">
        <v>32385</v>
      </c>
      <c r="B1725" s="7">
        <v>1094285087</v>
      </c>
      <c r="C1725" s="11">
        <v>45908.521631944401</v>
      </c>
      <c r="D1725" s="17" t="s">
        <v>1611</v>
      </c>
      <c r="E1725" t="str">
        <f>IF(COUNTIF($B$2:B1725,B1725)&gt;1,"Duplicado","Único")</f>
        <v>Único</v>
      </c>
    </row>
    <row r="1726" spans="1:5" x14ac:dyDescent="0.25">
      <c r="A1726" s="15">
        <v>45581</v>
      </c>
      <c r="B1726" s="7">
        <v>1094285610</v>
      </c>
      <c r="C1726" s="11">
        <v>45959.427905092598</v>
      </c>
      <c r="D1726" s="17" t="s">
        <v>2228</v>
      </c>
      <c r="E1726" t="str">
        <f>IF(COUNTIF($B$2:B1726,B1726)&gt;1,"Duplicado","Único")</f>
        <v>Único</v>
      </c>
    </row>
    <row r="1727" spans="1:5" x14ac:dyDescent="0.25">
      <c r="A1727" s="15">
        <v>49181</v>
      </c>
      <c r="B1727" s="7">
        <v>1094893166</v>
      </c>
      <c r="C1727" s="11">
        <v>45981.375995370399</v>
      </c>
      <c r="D1727" s="17" t="s">
        <v>2627</v>
      </c>
      <c r="E1727" t="str">
        <f>IF(COUNTIF($B$2:B1727,B1727)&gt;1,"Duplicado","Único")</f>
        <v>Único</v>
      </c>
    </row>
    <row r="1728" spans="1:5" x14ac:dyDescent="0.25">
      <c r="A1728" s="15">
        <v>3799</v>
      </c>
      <c r="B1728" s="7">
        <v>1094893321</v>
      </c>
      <c r="C1728" s="11">
        <v>46086.790868055599</v>
      </c>
      <c r="D1728" s="17" t="s">
        <v>3985</v>
      </c>
      <c r="E1728" t="str">
        <f>IF(COUNTIF($B$2:B1728,B1728)&gt;1,"Duplicado","Único")</f>
        <v>Único</v>
      </c>
    </row>
    <row r="1729" spans="1:5" hidden="1" x14ac:dyDescent="0.25">
      <c r="A1729" s="15">
        <v>3799</v>
      </c>
      <c r="B1729" s="7">
        <v>1094893321</v>
      </c>
      <c r="C1729" s="11">
        <v>46055.401875000003</v>
      </c>
      <c r="D1729" s="17" t="s">
        <v>3581</v>
      </c>
      <c r="E1729" t="str">
        <f>IF(COUNTIF($B$2:B1729,B1729)&gt;1,"Duplicado","Único")</f>
        <v>Duplicado</v>
      </c>
    </row>
    <row r="1730" spans="1:5" x14ac:dyDescent="0.25">
      <c r="A1730" s="15">
        <v>50347</v>
      </c>
      <c r="B1730" s="7">
        <v>1094897467</v>
      </c>
      <c r="C1730" s="11">
        <v>46050.622870370396</v>
      </c>
      <c r="D1730" s="17" t="s">
        <v>3333</v>
      </c>
      <c r="E1730" t="str">
        <f>IF(COUNTIF($B$2:B1730,B1730)&gt;1,"Duplicado","Único")</f>
        <v>Único</v>
      </c>
    </row>
    <row r="1731" spans="1:5" hidden="1" x14ac:dyDescent="0.25">
      <c r="A1731" s="15">
        <v>50347</v>
      </c>
      <c r="B1731" s="7">
        <v>1094897467</v>
      </c>
      <c r="C1731" s="11">
        <v>45988.368460648097</v>
      </c>
      <c r="D1731" s="17" t="s">
        <v>2752</v>
      </c>
      <c r="E1731" t="str">
        <f>IF(COUNTIF($B$2:B1731,B1731)&gt;1,"Duplicado","Único")</f>
        <v>Duplicado</v>
      </c>
    </row>
    <row r="1732" spans="1:5" x14ac:dyDescent="0.25">
      <c r="A1732" s="15">
        <v>49873</v>
      </c>
      <c r="B1732" s="7">
        <v>1094900470</v>
      </c>
      <c r="C1732" s="11">
        <v>46050.4940740741</v>
      </c>
      <c r="D1732" s="17" t="s">
        <v>3274</v>
      </c>
      <c r="E1732" t="str">
        <f>IF(COUNTIF($B$2:B1732,B1732)&gt;1,"Duplicado","Único")</f>
        <v>Único</v>
      </c>
    </row>
    <row r="1733" spans="1:5" hidden="1" x14ac:dyDescent="0.25">
      <c r="A1733" s="15">
        <v>49873</v>
      </c>
      <c r="B1733" s="7">
        <v>1094900470</v>
      </c>
      <c r="C1733" s="11">
        <v>45986.361608796302</v>
      </c>
      <c r="D1733" s="17" t="s">
        <v>2704</v>
      </c>
      <c r="E1733" t="str">
        <f>IF(COUNTIF($B$2:B1733,B1733)&gt;1,"Duplicado","Único")</f>
        <v>Duplicado</v>
      </c>
    </row>
    <row r="1734" spans="1:5" x14ac:dyDescent="0.25">
      <c r="A1734" s="15">
        <v>37057</v>
      </c>
      <c r="B1734" s="7">
        <v>1094923635</v>
      </c>
      <c r="C1734" s="11">
        <v>45922.436215277798</v>
      </c>
      <c r="D1734" s="17" t="s">
        <v>1781</v>
      </c>
      <c r="E1734" t="str">
        <f>IF(COUNTIF($B$2:B1734,B1734)&gt;1,"Duplicado","Único")</f>
        <v>Único</v>
      </c>
    </row>
    <row r="1735" spans="1:5" x14ac:dyDescent="0.25">
      <c r="A1735" s="15">
        <v>50142</v>
      </c>
      <c r="B1735" s="7">
        <v>1094938362</v>
      </c>
      <c r="C1735" s="11">
        <v>46050.605428240699</v>
      </c>
      <c r="D1735" s="17" t="s">
        <v>3306</v>
      </c>
      <c r="E1735" t="str">
        <f>IF(COUNTIF($B$2:B1735,B1735)&gt;1,"Duplicado","Único")</f>
        <v>Único</v>
      </c>
    </row>
    <row r="1736" spans="1:5" hidden="1" x14ac:dyDescent="0.25">
      <c r="A1736" s="15">
        <v>50142</v>
      </c>
      <c r="B1736" s="7">
        <v>1094938362</v>
      </c>
      <c r="C1736" s="11">
        <v>45987.478391203702</v>
      </c>
      <c r="D1736" s="17" t="s">
        <v>2742</v>
      </c>
      <c r="E1736" t="str">
        <f>IF(COUNTIF($B$2:B1736,B1736)&gt;1,"Duplicado","Único")</f>
        <v>Duplicado</v>
      </c>
    </row>
    <row r="1737" spans="1:5" x14ac:dyDescent="0.25">
      <c r="A1737" s="15">
        <v>3693</v>
      </c>
      <c r="B1737" s="7">
        <v>1094947050</v>
      </c>
      <c r="C1737" s="11">
        <v>46086.767060185201</v>
      </c>
      <c r="D1737" s="17" t="s">
        <v>1003</v>
      </c>
      <c r="E1737" t="str">
        <f>IF(COUNTIF($B$2:B1737,B1737)&gt;1,"Duplicado","Único")</f>
        <v>Único</v>
      </c>
    </row>
    <row r="1738" spans="1:5" hidden="1" x14ac:dyDescent="0.25">
      <c r="A1738" s="15">
        <v>3693</v>
      </c>
      <c r="B1738" s="7">
        <v>1094947050</v>
      </c>
      <c r="C1738" s="11">
        <v>46052.5145486111</v>
      </c>
      <c r="D1738" s="17" t="s">
        <v>3571</v>
      </c>
      <c r="E1738" t="str">
        <f>IF(COUNTIF($B$2:B1738,B1738)&gt;1,"Duplicado","Único")</f>
        <v>Duplicado</v>
      </c>
    </row>
    <row r="1739" spans="1:5" x14ac:dyDescent="0.25">
      <c r="A1739" s="15">
        <v>18095</v>
      </c>
      <c r="B1739" s="7">
        <v>1094955428</v>
      </c>
      <c r="C1739" s="11">
        <v>45798.437800925902</v>
      </c>
      <c r="D1739" s="17" t="s">
        <v>748</v>
      </c>
      <c r="E1739" t="str">
        <f>IF(COUNTIF($B$2:B1739,B1739)&gt;1,"Duplicado","Único")</f>
        <v>Único</v>
      </c>
    </row>
    <row r="1740" spans="1:5" x14ac:dyDescent="0.25">
      <c r="A1740" s="15">
        <v>31233</v>
      </c>
      <c r="B1740" s="7">
        <v>1094957985</v>
      </c>
      <c r="C1740" s="11">
        <v>45904.513761574097</v>
      </c>
      <c r="D1740" s="17" t="s">
        <v>1519</v>
      </c>
      <c r="E1740" t="str">
        <f>IF(COUNTIF($B$2:B1740,B1740)&gt;1,"Duplicado","Único")</f>
        <v>Único</v>
      </c>
    </row>
    <row r="1741" spans="1:5" x14ac:dyDescent="0.25">
      <c r="A1741" s="15">
        <v>45381</v>
      </c>
      <c r="B1741" s="7">
        <v>1094973375</v>
      </c>
      <c r="C1741" s="11">
        <v>45959.4003703704</v>
      </c>
      <c r="D1741" s="17" t="s">
        <v>2215</v>
      </c>
      <c r="E1741" t="str">
        <f>IF(COUNTIF($B$2:B1741,B1741)&gt;1,"Duplicado","Único")</f>
        <v>Único</v>
      </c>
    </row>
    <row r="1742" spans="1:5" x14ac:dyDescent="0.25">
      <c r="A1742" s="15">
        <v>19484</v>
      </c>
      <c r="B1742" s="7">
        <v>1095797973</v>
      </c>
      <c r="C1742" s="11">
        <v>45814.298078703701</v>
      </c>
      <c r="D1742" s="17" t="s">
        <v>831</v>
      </c>
      <c r="E1742" t="str">
        <f>IF(COUNTIF($B$2:B1742,B1742)&gt;1,"Duplicado","Único")</f>
        <v>Único</v>
      </c>
    </row>
    <row r="1743" spans="1:5" x14ac:dyDescent="0.25">
      <c r="A1743" s="15">
        <v>46442</v>
      </c>
      <c r="B1743" s="7">
        <v>1095802293</v>
      </c>
      <c r="C1743" s="11">
        <v>46050.679375</v>
      </c>
      <c r="D1743" s="17" t="s">
        <v>3397</v>
      </c>
      <c r="E1743" t="str">
        <f>IF(COUNTIF($B$2:B1743,B1743)&gt;1,"Duplicado","Único")</f>
        <v>Único</v>
      </c>
    </row>
    <row r="1744" spans="1:5" hidden="1" x14ac:dyDescent="0.25">
      <c r="A1744" s="15">
        <v>46442</v>
      </c>
      <c r="B1744" s="7">
        <v>1095802293</v>
      </c>
      <c r="C1744" s="11">
        <v>45996.4930439815</v>
      </c>
      <c r="D1744" s="17" t="s">
        <v>2829</v>
      </c>
      <c r="E1744" t="str">
        <f>IF(COUNTIF($B$2:B1744,B1744)&gt;1,"Duplicado","Único")</f>
        <v>Duplicado</v>
      </c>
    </row>
    <row r="1745" spans="1:5" hidden="1" x14ac:dyDescent="0.25">
      <c r="A1745" s="15">
        <v>46442</v>
      </c>
      <c r="B1745" s="7">
        <v>1095802293</v>
      </c>
      <c r="C1745" s="11">
        <v>45966.638981481497</v>
      </c>
      <c r="D1745" s="17" t="s">
        <v>2331</v>
      </c>
      <c r="E1745" t="str">
        <f>IF(COUNTIF($B$2:B1745,B1745)&gt;1,"Duplicado","Único")</f>
        <v>Duplicado</v>
      </c>
    </row>
    <row r="1746" spans="1:5" x14ac:dyDescent="0.25">
      <c r="A1746" s="15">
        <v>24667</v>
      </c>
      <c r="B1746" s="7">
        <v>1095802398</v>
      </c>
      <c r="C1746" s="11">
        <v>45859.371249999997</v>
      </c>
      <c r="D1746" s="17" t="s">
        <v>1087</v>
      </c>
      <c r="E1746" t="str">
        <f>IF(COUNTIF($B$2:B1746,B1746)&gt;1,"Duplicado","Único")</f>
        <v>Único</v>
      </c>
    </row>
    <row r="1747" spans="1:5" x14ac:dyDescent="0.25">
      <c r="A1747" s="15">
        <v>16717</v>
      </c>
      <c r="B1747" s="7">
        <v>1095806358</v>
      </c>
      <c r="C1747" s="11">
        <v>46121.510752314804</v>
      </c>
      <c r="D1747" s="17" t="s">
        <v>4412</v>
      </c>
      <c r="E1747" t="str">
        <f>IF(COUNTIF($B$2:B1747,B1747)&gt;1,"Duplicado","Único")</f>
        <v>Único</v>
      </c>
    </row>
    <row r="1748" spans="1:5" hidden="1" x14ac:dyDescent="0.25">
      <c r="A1748" s="15">
        <v>16717</v>
      </c>
      <c r="B1748" s="7">
        <v>1095806358</v>
      </c>
      <c r="C1748" s="11">
        <v>46101.848449074103</v>
      </c>
      <c r="D1748" s="17" t="s">
        <v>4174</v>
      </c>
      <c r="E1748" t="str">
        <f>IF(COUNTIF($B$2:B1748,B1748)&gt;1,"Duplicado","Único")</f>
        <v>Duplicado</v>
      </c>
    </row>
    <row r="1749" spans="1:5" x14ac:dyDescent="0.25">
      <c r="A1749" s="15">
        <v>17441</v>
      </c>
      <c r="B1749" s="7">
        <v>1095825631</v>
      </c>
      <c r="C1749" s="11">
        <v>46149.479548611103</v>
      </c>
      <c r="D1749" s="17" t="s">
        <v>4504</v>
      </c>
      <c r="E1749" t="str">
        <f>IF(COUNTIF($B$2:B1749,B1749)&gt;1,"Duplicado","Único")</f>
        <v>Único</v>
      </c>
    </row>
    <row r="1750" spans="1:5" hidden="1" x14ac:dyDescent="0.25">
      <c r="A1750" s="15">
        <v>17441</v>
      </c>
      <c r="B1750" s="7">
        <v>1095825631</v>
      </c>
      <c r="C1750" s="11">
        <v>46108.563750000001</v>
      </c>
      <c r="D1750" s="17" t="s">
        <v>4222</v>
      </c>
      <c r="E1750" t="str">
        <f>IF(COUNTIF($B$2:B1750,B1750)&gt;1,"Duplicado","Único")</f>
        <v>Duplicado</v>
      </c>
    </row>
    <row r="1751" spans="1:5" x14ac:dyDescent="0.25">
      <c r="A1751" s="15">
        <v>50866</v>
      </c>
      <c r="B1751" s="7">
        <v>1095826476</v>
      </c>
      <c r="C1751" s="11">
        <v>46050.675914351901</v>
      </c>
      <c r="D1751" s="17" t="s">
        <v>3393</v>
      </c>
      <c r="E1751" t="str">
        <f>IF(COUNTIF($B$2:B1751,B1751)&gt;1,"Duplicado","Único")</f>
        <v>Único</v>
      </c>
    </row>
    <row r="1752" spans="1:5" hidden="1" x14ac:dyDescent="0.25">
      <c r="A1752" s="15">
        <v>50866</v>
      </c>
      <c r="B1752" s="7">
        <v>1095826476</v>
      </c>
      <c r="C1752" s="11">
        <v>45992.594027777799</v>
      </c>
      <c r="D1752" s="17" t="s">
        <v>2820</v>
      </c>
      <c r="E1752" t="str">
        <f>IF(COUNTIF($B$2:B1752,B1752)&gt;1,"Duplicado","Único")</f>
        <v>Duplicado</v>
      </c>
    </row>
    <row r="1753" spans="1:5" x14ac:dyDescent="0.25">
      <c r="A1753" s="15">
        <v>15674</v>
      </c>
      <c r="B1753" s="7">
        <v>1095828660</v>
      </c>
      <c r="C1753" s="11">
        <v>46121.511597222197</v>
      </c>
      <c r="D1753" s="17" t="s">
        <v>4413</v>
      </c>
      <c r="E1753" t="str">
        <f>IF(COUNTIF($B$2:B1753,B1753)&gt;1,"Duplicado","Único")</f>
        <v>Único</v>
      </c>
    </row>
    <row r="1754" spans="1:5" hidden="1" x14ac:dyDescent="0.25">
      <c r="A1754" s="15">
        <v>15674</v>
      </c>
      <c r="B1754" s="7">
        <v>1095828660</v>
      </c>
      <c r="C1754" s="11">
        <v>46101.675844907397</v>
      </c>
      <c r="D1754" s="17" t="s">
        <v>4109</v>
      </c>
      <c r="E1754" t="str">
        <f>IF(COUNTIF($B$2:B1754,B1754)&gt;1,"Duplicado","Único")</f>
        <v>Duplicado</v>
      </c>
    </row>
    <row r="1755" spans="1:5" x14ac:dyDescent="0.25">
      <c r="A1755" s="15">
        <v>45290</v>
      </c>
      <c r="B1755" s="7">
        <v>1095835754</v>
      </c>
      <c r="C1755" s="11">
        <v>45959.35125</v>
      </c>
      <c r="D1755" s="17" t="s">
        <v>2207</v>
      </c>
      <c r="E1755" t="str">
        <f>IF(COUNTIF($B$2:B1755,B1755)&gt;1,"Duplicado","Único")</f>
        <v>Único</v>
      </c>
    </row>
    <row r="1756" spans="1:5" x14ac:dyDescent="0.25">
      <c r="A1756" s="15">
        <v>17848</v>
      </c>
      <c r="B1756" s="7">
        <v>1095840842</v>
      </c>
      <c r="C1756" s="11">
        <v>46149.423032407401</v>
      </c>
      <c r="D1756" s="17" t="s">
        <v>4459</v>
      </c>
      <c r="E1756" t="str">
        <f>IF(COUNTIF($B$2:B1756,B1756)&gt;1,"Duplicado","Único")</f>
        <v>Único</v>
      </c>
    </row>
    <row r="1757" spans="1:5" hidden="1" x14ac:dyDescent="0.25">
      <c r="A1757" s="15">
        <v>17848</v>
      </c>
      <c r="B1757" s="7">
        <v>1095840842</v>
      </c>
      <c r="C1757" s="11">
        <v>46118.303194444401</v>
      </c>
      <c r="D1757" s="17" t="s">
        <v>1170</v>
      </c>
      <c r="E1757" t="str">
        <f>IF(COUNTIF($B$2:B1757,B1757)&gt;1,"Duplicado","Único")</f>
        <v>Duplicado</v>
      </c>
    </row>
    <row r="1758" spans="1:5" x14ac:dyDescent="0.25">
      <c r="A1758" s="15">
        <v>44818</v>
      </c>
      <c r="B1758" s="7">
        <v>1095842241</v>
      </c>
      <c r="C1758" s="11">
        <v>45958.6425115741</v>
      </c>
      <c r="D1758" s="17" t="s">
        <v>2170</v>
      </c>
      <c r="E1758" t="str">
        <f>IF(COUNTIF($B$2:B1758,B1758)&gt;1,"Duplicado","Único")</f>
        <v>Único</v>
      </c>
    </row>
    <row r="1759" spans="1:5" x14ac:dyDescent="0.25">
      <c r="A1759" s="15">
        <v>32540</v>
      </c>
      <c r="B1759" s="7">
        <v>1095843005</v>
      </c>
      <c r="C1759" s="11">
        <v>45909.665937500002</v>
      </c>
      <c r="D1759" s="17" t="s">
        <v>1626</v>
      </c>
      <c r="E1759" t="str">
        <f>IF(COUNTIF($B$2:B1759,B1759)&gt;1,"Duplicado","Único")</f>
        <v>Único</v>
      </c>
    </row>
    <row r="1760" spans="1:5" x14ac:dyDescent="0.25">
      <c r="A1760" s="15">
        <v>13934</v>
      </c>
      <c r="B1760" s="7">
        <v>1095943565</v>
      </c>
      <c r="C1760" s="11">
        <v>46149.649085648103</v>
      </c>
      <c r="D1760" s="17" t="s">
        <v>4546</v>
      </c>
      <c r="E1760" t="str">
        <f>IF(COUNTIF($B$2:B1760,B1760)&gt;1,"Duplicado","Único")</f>
        <v>Único</v>
      </c>
    </row>
    <row r="1761" spans="1:5" hidden="1" x14ac:dyDescent="0.25">
      <c r="A1761" s="15">
        <v>13934</v>
      </c>
      <c r="B1761" s="7">
        <v>1095943565</v>
      </c>
      <c r="C1761" s="11">
        <v>46085.500925925902</v>
      </c>
      <c r="D1761" s="17" t="s">
        <v>3787</v>
      </c>
      <c r="E1761" t="str">
        <f>IF(COUNTIF($B$2:B1761,B1761)&gt;1,"Duplicado","Único")</f>
        <v>Duplicado</v>
      </c>
    </row>
    <row r="1762" spans="1:5" x14ac:dyDescent="0.25">
      <c r="A1762" s="15">
        <v>26034</v>
      </c>
      <c r="B1762" s="7">
        <v>1095945090</v>
      </c>
      <c r="C1762" s="11">
        <v>45866.642708333296</v>
      </c>
      <c r="D1762" s="17" t="s">
        <v>1166</v>
      </c>
      <c r="E1762" t="str">
        <f>IF(COUNTIF($B$2:B1762,B1762)&gt;1,"Duplicado","Único")</f>
        <v>Único</v>
      </c>
    </row>
    <row r="1763" spans="1:5" x14ac:dyDescent="0.25">
      <c r="A1763" s="15">
        <v>50629</v>
      </c>
      <c r="B1763" s="7">
        <v>1096184826</v>
      </c>
      <c r="C1763" s="11">
        <v>46050.651122685202</v>
      </c>
      <c r="D1763" s="17" t="s">
        <v>3362</v>
      </c>
      <c r="E1763" t="str">
        <f>IF(COUNTIF($B$2:B1763,B1763)&gt;1,"Duplicado","Único")</f>
        <v>Único</v>
      </c>
    </row>
    <row r="1764" spans="1:5" hidden="1" x14ac:dyDescent="0.25">
      <c r="A1764" s="15">
        <v>50629</v>
      </c>
      <c r="B1764" s="7">
        <v>1096184826</v>
      </c>
      <c r="C1764" s="11">
        <v>45989.432303240697</v>
      </c>
      <c r="D1764" s="17" t="s">
        <v>2787</v>
      </c>
      <c r="E1764" t="str">
        <f>IF(COUNTIF($B$2:B1764,B1764)&gt;1,"Duplicado","Único")</f>
        <v>Duplicado</v>
      </c>
    </row>
    <row r="1765" spans="1:5" x14ac:dyDescent="0.25">
      <c r="A1765" s="15">
        <v>46450</v>
      </c>
      <c r="B1765" s="7">
        <v>1096196536</v>
      </c>
      <c r="C1765" s="11">
        <v>45966.639803240701</v>
      </c>
      <c r="D1765" s="17" t="s">
        <v>2332</v>
      </c>
      <c r="E1765" t="str">
        <f>IF(COUNTIF($B$2:B1765,B1765)&gt;1,"Duplicado","Único")</f>
        <v>Único</v>
      </c>
    </row>
    <row r="1766" spans="1:5" x14ac:dyDescent="0.25">
      <c r="A1766" s="15">
        <v>25156</v>
      </c>
      <c r="B1766" s="7">
        <v>1096210213</v>
      </c>
      <c r="C1766" s="11">
        <v>45860.404386574097</v>
      </c>
      <c r="D1766" s="17" t="s">
        <v>1113</v>
      </c>
      <c r="E1766" t="str">
        <f>IF(COUNTIF($B$2:B1766,B1766)&gt;1,"Duplicado","Único")</f>
        <v>Único</v>
      </c>
    </row>
    <row r="1767" spans="1:5" x14ac:dyDescent="0.25">
      <c r="A1767" s="15">
        <v>14643</v>
      </c>
      <c r="B1767" s="7">
        <v>1096213927</v>
      </c>
      <c r="C1767" s="11">
        <v>46120.483136574097</v>
      </c>
      <c r="D1767" s="17" t="s">
        <v>4272</v>
      </c>
      <c r="E1767" t="str">
        <f>IF(COUNTIF($B$2:B1767,B1767)&gt;1,"Duplicado","Único")</f>
        <v>Único</v>
      </c>
    </row>
    <row r="1768" spans="1:5" hidden="1" x14ac:dyDescent="0.25">
      <c r="A1768" s="15">
        <v>14643</v>
      </c>
      <c r="B1768" s="7">
        <v>1096213927</v>
      </c>
      <c r="C1768" s="11">
        <v>46090.687037037002</v>
      </c>
      <c r="D1768" s="17" t="s">
        <v>1030</v>
      </c>
      <c r="E1768" t="str">
        <f>IF(COUNTIF($B$2:B1768,B1768)&gt;1,"Duplicado","Único")</f>
        <v>Duplicado</v>
      </c>
    </row>
    <row r="1769" spans="1:5" x14ac:dyDescent="0.25">
      <c r="A1769" s="15">
        <v>39177</v>
      </c>
      <c r="B1769" s="7">
        <v>1096216902</v>
      </c>
      <c r="C1769" s="11">
        <v>45929.612974536998</v>
      </c>
      <c r="D1769" s="17" t="s">
        <v>1868</v>
      </c>
      <c r="E1769" t="str">
        <f>IF(COUNTIF($B$2:B1769,B1769)&gt;1,"Duplicado","Único")</f>
        <v>Único</v>
      </c>
    </row>
    <row r="1770" spans="1:5" x14ac:dyDescent="0.25">
      <c r="A1770" s="15">
        <v>54468</v>
      </c>
      <c r="B1770" s="7">
        <v>1096228614</v>
      </c>
      <c r="C1770" s="11">
        <v>46057.446597222202</v>
      </c>
      <c r="D1770" s="17" t="s">
        <v>3718</v>
      </c>
      <c r="E1770" t="str">
        <f>IF(COUNTIF($B$2:B1770,B1770)&gt;1,"Duplicado","Único")</f>
        <v>Único</v>
      </c>
    </row>
    <row r="1771" spans="1:5" hidden="1" x14ac:dyDescent="0.25">
      <c r="A1771" s="15">
        <v>54468</v>
      </c>
      <c r="B1771" s="7">
        <v>1096228614</v>
      </c>
      <c r="C1771" s="11">
        <v>46015.476284722201</v>
      </c>
      <c r="D1771" s="17" t="s">
        <v>3081</v>
      </c>
      <c r="E1771" t="str">
        <f>IF(COUNTIF($B$2:B1771,B1771)&gt;1,"Duplicado","Único")</f>
        <v>Duplicado</v>
      </c>
    </row>
    <row r="1772" spans="1:5" x14ac:dyDescent="0.25">
      <c r="A1772" s="15">
        <v>15282</v>
      </c>
      <c r="B1772" s="7">
        <v>1096241811</v>
      </c>
      <c r="C1772" s="11">
        <v>46120.653854166703</v>
      </c>
      <c r="D1772" s="17" t="s">
        <v>4330</v>
      </c>
      <c r="E1772" t="str">
        <f>IF(COUNTIF($B$2:B1772,B1772)&gt;1,"Duplicado","Único")</f>
        <v>Único</v>
      </c>
    </row>
    <row r="1773" spans="1:5" hidden="1" x14ac:dyDescent="0.25">
      <c r="A1773" s="15">
        <v>15282</v>
      </c>
      <c r="B1773" s="7">
        <v>1096241811</v>
      </c>
      <c r="C1773" s="11">
        <v>46094.512002314797</v>
      </c>
      <c r="D1773" s="17" t="s">
        <v>4076</v>
      </c>
      <c r="E1773" t="str">
        <f>IF(COUNTIF($B$2:B1773,B1773)&gt;1,"Duplicado","Único")</f>
        <v>Duplicado</v>
      </c>
    </row>
    <row r="1774" spans="1:5" x14ac:dyDescent="0.25">
      <c r="A1774" s="15">
        <v>48397</v>
      </c>
      <c r="B1774" s="7">
        <v>1096950396</v>
      </c>
      <c r="C1774" s="11">
        <v>45975.685821759304</v>
      </c>
      <c r="D1774" s="17" t="s">
        <v>2534</v>
      </c>
      <c r="E1774" t="str">
        <f>IF(COUNTIF($B$2:B1774,B1774)&gt;1,"Duplicado","Único")</f>
        <v>Único</v>
      </c>
    </row>
    <row r="1775" spans="1:5" x14ac:dyDescent="0.25">
      <c r="A1775" s="15">
        <v>46194</v>
      </c>
      <c r="B1775" s="7">
        <v>1097389488</v>
      </c>
      <c r="C1775" s="11">
        <v>45965.468877314801</v>
      </c>
      <c r="D1775" s="17" t="s">
        <v>2300</v>
      </c>
      <c r="E1775" t="str">
        <f>IF(COUNTIF($B$2:B1775,B1775)&gt;1,"Duplicado","Único")</f>
        <v>Único</v>
      </c>
    </row>
    <row r="1776" spans="1:5" x14ac:dyDescent="0.25">
      <c r="A1776" s="15">
        <v>49036</v>
      </c>
      <c r="B1776" s="7">
        <v>1097394420</v>
      </c>
      <c r="C1776" s="11">
        <v>45980.425729166702</v>
      </c>
      <c r="D1776" s="17" t="s">
        <v>2606</v>
      </c>
      <c r="E1776" t="str">
        <f>IF(COUNTIF($B$2:B1776,B1776)&gt;1,"Duplicado","Único")</f>
        <v>Único</v>
      </c>
    </row>
    <row r="1777" spans="1:5" x14ac:dyDescent="0.25">
      <c r="A1777" s="15">
        <v>41594</v>
      </c>
      <c r="B1777" s="7">
        <v>1097400880</v>
      </c>
      <c r="C1777" s="11">
        <v>45938.442280092597</v>
      </c>
      <c r="D1777" s="17" t="s">
        <v>1991</v>
      </c>
      <c r="E1777" t="str">
        <f>IF(COUNTIF($B$2:B1777,B1777)&gt;1,"Duplicado","Único")</f>
        <v>Único</v>
      </c>
    </row>
    <row r="1778" spans="1:5" x14ac:dyDescent="0.25">
      <c r="A1778" s="15">
        <v>16025</v>
      </c>
      <c r="B1778" s="7">
        <v>1098101526</v>
      </c>
      <c r="C1778" s="11">
        <v>46121.512523148202</v>
      </c>
      <c r="D1778" s="17" t="s">
        <v>4414</v>
      </c>
      <c r="E1778" t="str">
        <f>IF(COUNTIF($B$2:B1778,B1778)&gt;1,"Duplicado","Único")</f>
        <v>Único</v>
      </c>
    </row>
    <row r="1779" spans="1:5" hidden="1" x14ac:dyDescent="0.25">
      <c r="A1779" s="15">
        <v>16025</v>
      </c>
      <c r="B1779" s="7">
        <v>1098101526</v>
      </c>
      <c r="C1779" s="11">
        <v>46101.711284722202</v>
      </c>
      <c r="D1779" s="17" t="s">
        <v>4125</v>
      </c>
      <c r="E1779" t="str">
        <f>IF(COUNTIF($B$2:B1779,B1779)&gt;1,"Duplicado","Único")</f>
        <v>Duplicado</v>
      </c>
    </row>
    <row r="1780" spans="1:5" x14ac:dyDescent="0.25">
      <c r="A1780" s="15">
        <v>30395</v>
      </c>
      <c r="B1780" s="7">
        <v>1098407405</v>
      </c>
      <c r="C1780" s="11">
        <v>45901.723321759302</v>
      </c>
      <c r="D1780" s="17" t="s">
        <v>1500</v>
      </c>
      <c r="E1780" t="str">
        <f>IF(COUNTIF($B$2:B1780,B1780)&gt;1,"Duplicado","Único")</f>
        <v>Único</v>
      </c>
    </row>
    <row r="1781" spans="1:5" x14ac:dyDescent="0.25">
      <c r="A1781" s="15">
        <v>53730</v>
      </c>
      <c r="B1781" s="7">
        <v>1098603841</v>
      </c>
      <c r="C1781" s="11">
        <v>46057.4617013889</v>
      </c>
      <c r="D1781" s="17" t="s">
        <v>3734</v>
      </c>
      <c r="E1781" t="str">
        <f>IF(COUNTIF($B$2:B1781,B1781)&gt;1,"Duplicado","Único")</f>
        <v>Único</v>
      </c>
    </row>
    <row r="1782" spans="1:5" hidden="1" x14ac:dyDescent="0.25">
      <c r="A1782" s="15">
        <v>53730</v>
      </c>
      <c r="B1782" s="7">
        <v>1098603841</v>
      </c>
      <c r="C1782" s="11">
        <v>46017.519872685203</v>
      </c>
      <c r="D1782" s="17" t="s">
        <v>3090</v>
      </c>
      <c r="E1782" t="str">
        <f>IF(COUNTIF($B$2:B1782,B1782)&gt;1,"Duplicado","Único")</f>
        <v>Duplicado</v>
      </c>
    </row>
    <row r="1783" spans="1:5" hidden="1" x14ac:dyDescent="0.25">
      <c r="A1783" s="15">
        <v>53730</v>
      </c>
      <c r="B1783" s="7">
        <v>1098603841</v>
      </c>
      <c r="C1783" s="11">
        <v>46013.5135069444</v>
      </c>
      <c r="D1783" s="17" t="s">
        <v>3036</v>
      </c>
      <c r="E1783" t="str">
        <f>IF(COUNTIF($B$2:B1783,B1783)&gt;1,"Duplicado","Único")</f>
        <v>Duplicado</v>
      </c>
    </row>
    <row r="1784" spans="1:5" x14ac:dyDescent="0.25">
      <c r="A1784" s="15">
        <v>28397</v>
      </c>
      <c r="B1784" s="7">
        <v>1098625517</v>
      </c>
      <c r="C1784" s="11">
        <v>45888.479745370401</v>
      </c>
      <c r="D1784" s="17" t="s">
        <v>1329</v>
      </c>
      <c r="E1784" t="str">
        <f>IF(COUNTIF($B$2:B1784,B1784)&gt;1,"Duplicado","Único")</f>
        <v>Único</v>
      </c>
    </row>
    <row r="1785" spans="1:5" x14ac:dyDescent="0.25">
      <c r="A1785" s="15">
        <v>26265</v>
      </c>
      <c r="B1785" s="7">
        <v>1098644043</v>
      </c>
      <c r="C1785" s="11">
        <v>45867.387303240699</v>
      </c>
      <c r="D1785" s="17" t="s">
        <v>1185</v>
      </c>
      <c r="E1785" t="str">
        <f>IF(COUNTIF($B$2:B1785,B1785)&gt;1,"Duplicado","Único")</f>
        <v>Único</v>
      </c>
    </row>
    <row r="1786" spans="1:5" x14ac:dyDescent="0.25">
      <c r="A1786" s="15">
        <v>869</v>
      </c>
      <c r="B1786" s="7">
        <v>1098646536</v>
      </c>
      <c r="C1786" s="11">
        <v>46086.530740740702</v>
      </c>
      <c r="D1786" s="17" t="s">
        <v>3837</v>
      </c>
      <c r="E1786" t="str">
        <f>IF(COUNTIF($B$2:B1786,B1786)&gt;1,"Duplicado","Único")</f>
        <v>Único</v>
      </c>
    </row>
    <row r="1787" spans="1:5" hidden="1" x14ac:dyDescent="0.25">
      <c r="A1787" s="15">
        <v>869</v>
      </c>
      <c r="B1787" s="7">
        <v>1098646536</v>
      </c>
      <c r="C1787" s="11">
        <v>46035.532025462999</v>
      </c>
      <c r="D1787" s="17" t="s">
        <v>3151</v>
      </c>
      <c r="E1787" t="str">
        <f>IF(COUNTIF($B$2:B1787,B1787)&gt;1,"Duplicado","Único")</f>
        <v>Duplicado</v>
      </c>
    </row>
    <row r="1788" spans="1:5" x14ac:dyDescent="0.25">
      <c r="A1788" s="15">
        <v>18147</v>
      </c>
      <c r="B1788" s="7">
        <v>1098651339</v>
      </c>
      <c r="C1788" s="11">
        <v>45805.331956018497</v>
      </c>
      <c r="D1788" s="17" t="s">
        <v>787</v>
      </c>
      <c r="E1788" t="str">
        <f>IF(COUNTIF($B$2:B1788,B1788)&gt;1,"Duplicado","Único")</f>
        <v>Único</v>
      </c>
    </row>
    <row r="1789" spans="1:5" hidden="1" x14ac:dyDescent="0.25">
      <c r="A1789" s="15">
        <v>18147</v>
      </c>
      <c r="B1789" s="7">
        <v>1098651339</v>
      </c>
      <c r="C1789" s="11">
        <v>45798.453807870399</v>
      </c>
      <c r="D1789" s="17" t="s">
        <v>750</v>
      </c>
      <c r="E1789" t="str">
        <f>IF(COUNTIF($B$2:B1789,B1789)&gt;1,"Duplicado","Único")</f>
        <v>Duplicado</v>
      </c>
    </row>
    <row r="1790" spans="1:5" x14ac:dyDescent="0.25">
      <c r="A1790" s="15">
        <v>16632</v>
      </c>
      <c r="B1790" s="7">
        <v>1098654278</v>
      </c>
      <c r="C1790" s="11">
        <v>46121.513900462996</v>
      </c>
      <c r="D1790" s="17" t="s">
        <v>1221</v>
      </c>
      <c r="E1790" t="str">
        <f>IF(COUNTIF($B$2:B1790,B1790)&gt;1,"Duplicado","Único")</f>
        <v>Único</v>
      </c>
    </row>
    <row r="1791" spans="1:5" hidden="1" x14ac:dyDescent="0.25">
      <c r="A1791" s="15">
        <v>16632</v>
      </c>
      <c r="B1791" s="7">
        <v>1098654278</v>
      </c>
      <c r="C1791" s="11">
        <v>46101.844270833302</v>
      </c>
      <c r="D1791" s="17" t="s">
        <v>4167</v>
      </c>
      <c r="E1791" t="str">
        <f>IF(COUNTIF($B$2:B1791,B1791)&gt;1,"Duplicado","Único")</f>
        <v>Duplicado</v>
      </c>
    </row>
    <row r="1792" spans="1:5" x14ac:dyDescent="0.25">
      <c r="A1792" s="15">
        <v>1048</v>
      </c>
      <c r="B1792" s="7">
        <v>1098656351</v>
      </c>
      <c r="C1792" s="11">
        <v>46086.679178240702</v>
      </c>
      <c r="D1792" s="17" t="s">
        <v>980</v>
      </c>
      <c r="E1792" t="str">
        <f>IF(COUNTIF($B$2:B1792,B1792)&gt;1,"Duplicado","Único")</f>
        <v>Único</v>
      </c>
    </row>
    <row r="1793" spans="1:5" hidden="1" x14ac:dyDescent="0.25">
      <c r="A1793" s="15">
        <v>1048</v>
      </c>
      <c r="B1793" s="7">
        <v>1098656351</v>
      </c>
      <c r="C1793" s="11">
        <v>46036.414432870399</v>
      </c>
      <c r="D1793" s="17" t="s">
        <v>3161</v>
      </c>
      <c r="E1793" t="str">
        <f>IF(COUNTIF($B$2:B1793,B1793)&gt;1,"Duplicado","Único")</f>
        <v>Duplicado</v>
      </c>
    </row>
    <row r="1794" spans="1:5" x14ac:dyDescent="0.25">
      <c r="A1794" s="15">
        <v>14420</v>
      </c>
      <c r="B1794" s="7">
        <v>1098668233</v>
      </c>
      <c r="C1794" s="11">
        <v>46120.483946759297</v>
      </c>
      <c r="D1794" s="17" t="s">
        <v>4273</v>
      </c>
      <c r="E1794" t="str">
        <f>IF(COUNTIF($B$2:B1794,B1794)&gt;1,"Duplicado","Único")</f>
        <v>Único</v>
      </c>
    </row>
    <row r="1795" spans="1:5" hidden="1" x14ac:dyDescent="0.25">
      <c r="A1795" s="15">
        <v>14420</v>
      </c>
      <c r="B1795" s="7">
        <v>1098668233</v>
      </c>
      <c r="C1795" s="11">
        <v>46090.666284722203</v>
      </c>
      <c r="D1795" s="17" t="s">
        <v>4020</v>
      </c>
      <c r="E1795" t="str">
        <f>IF(COUNTIF($B$2:B1795,B1795)&gt;1,"Duplicado","Único")</f>
        <v>Duplicado</v>
      </c>
    </row>
    <row r="1796" spans="1:5" x14ac:dyDescent="0.25">
      <c r="A1796" s="15">
        <v>16152</v>
      </c>
      <c r="B1796" s="7">
        <v>1098674387</v>
      </c>
      <c r="C1796" s="11">
        <v>46121.514398148101</v>
      </c>
      <c r="D1796" s="17" t="s">
        <v>4415</v>
      </c>
      <c r="E1796" t="str">
        <f>IF(COUNTIF($B$2:B1796,B1796)&gt;1,"Duplicado","Único")</f>
        <v>Único</v>
      </c>
    </row>
    <row r="1797" spans="1:5" hidden="1" x14ac:dyDescent="0.25">
      <c r="A1797" s="15">
        <v>16152</v>
      </c>
      <c r="B1797" s="7">
        <v>1098674387</v>
      </c>
      <c r="C1797" s="11">
        <v>46101.636597222197</v>
      </c>
      <c r="D1797" s="17" t="s">
        <v>4096</v>
      </c>
      <c r="E1797" t="str">
        <f>IF(COUNTIF($B$2:B1797,B1797)&gt;1,"Duplicado","Único")</f>
        <v>Duplicado</v>
      </c>
    </row>
    <row r="1798" spans="1:5" x14ac:dyDescent="0.25">
      <c r="A1798" s="15">
        <v>47735</v>
      </c>
      <c r="B1798" s="7">
        <v>1098693344</v>
      </c>
      <c r="C1798" s="11">
        <v>45973.395347222198</v>
      </c>
      <c r="D1798" s="17" t="s">
        <v>2451</v>
      </c>
      <c r="E1798" t="str">
        <f>IF(COUNTIF($B$2:B1798,B1798)&gt;1,"Duplicado","Único")</f>
        <v>Único</v>
      </c>
    </row>
    <row r="1799" spans="1:5" x14ac:dyDescent="0.25">
      <c r="A1799" s="15">
        <v>43314</v>
      </c>
      <c r="B1799" s="7">
        <v>1098702357</v>
      </c>
      <c r="C1799" s="11">
        <v>45954.6621296296</v>
      </c>
      <c r="D1799" s="17" t="s">
        <v>2078</v>
      </c>
      <c r="E1799" t="str">
        <f>IF(COUNTIF($B$2:B1799,B1799)&gt;1,"Duplicado","Único")</f>
        <v>Único</v>
      </c>
    </row>
    <row r="1800" spans="1:5" x14ac:dyDescent="0.25">
      <c r="A1800" s="15">
        <v>384</v>
      </c>
      <c r="B1800" s="7">
        <v>1098708845</v>
      </c>
      <c r="C1800" s="11">
        <v>46086.537696759297</v>
      </c>
      <c r="D1800" s="17" t="s">
        <v>3838</v>
      </c>
      <c r="E1800" t="str">
        <f>IF(COUNTIF($B$2:B1800,B1800)&gt;1,"Duplicado","Único")</f>
        <v>Único</v>
      </c>
    </row>
    <row r="1801" spans="1:5" hidden="1" x14ac:dyDescent="0.25">
      <c r="A1801" s="15">
        <v>384</v>
      </c>
      <c r="B1801" s="7">
        <v>1098708845</v>
      </c>
      <c r="C1801" s="11">
        <v>46035.368055555598</v>
      </c>
      <c r="D1801" s="17" t="s">
        <v>3129</v>
      </c>
      <c r="E1801" t="str">
        <f>IF(COUNTIF($B$2:B1801,B1801)&gt;1,"Duplicado","Único")</f>
        <v>Duplicado</v>
      </c>
    </row>
    <row r="1802" spans="1:5" x14ac:dyDescent="0.25">
      <c r="A1802" s="15">
        <v>50292</v>
      </c>
      <c r="B1802" s="7">
        <v>1098717752</v>
      </c>
      <c r="C1802" s="11">
        <v>46050.623495370397</v>
      </c>
      <c r="D1802" s="17" t="s">
        <v>3334</v>
      </c>
      <c r="E1802" t="str">
        <f>IF(COUNTIF($B$2:B1802,B1802)&gt;1,"Duplicado","Único")</f>
        <v>Único</v>
      </c>
    </row>
    <row r="1803" spans="1:5" hidden="1" x14ac:dyDescent="0.25">
      <c r="A1803" s="15">
        <v>50292</v>
      </c>
      <c r="B1803" s="7">
        <v>1098717752</v>
      </c>
      <c r="C1803" s="11">
        <v>45988.431273148097</v>
      </c>
      <c r="D1803" s="17" t="s">
        <v>2765</v>
      </c>
      <c r="E1803" t="str">
        <f>IF(COUNTIF($B$2:B1803,B1803)&gt;1,"Duplicado","Único")</f>
        <v>Duplicado</v>
      </c>
    </row>
    <row r="1804" spans="1:5" x14ac:dyDescent="0.25">
      <c r="A1804" s="15">
        <v>45728</v>
      </c>
      <c r="B1804" s="7">
        <v>1098720068</v>
      </c>
      <c r="C1804" s="11">
        <v>45960.630405092597</v>
      </c>
      <c r="D1804" s="17" t="s">
        <v>2254</v>
      </c>
      <c r="E1804" t="str">
        <f>IF(COUNTIF($B$2:B1804,B1804)&gt;1,"Duplicado","Único")</f>
        <v>Único</v>
      </c>
    </row>
    <row r="1805" spans="1:5" hidden="1" x14ac:dyDescent="0.25">
      <c r="A1805" s="15">
        <v>29034</v>
      </c>
      <c r="B1805" s="7">
        <v>1098720068</v>
      </c>
      <c r="C1805" s="11">
        <v>45890.691180555601</v>
      </c>
      <c r="D1805" s="17" t="s">
        <v>1374</v>
      </c>
      <c r="E1805" t="str">
        <f>IF(COUNTIF($B$2:B1805,B1805)&gt;1,"Duplicado","Único")</f>
        <v>Duplicado</v>
      </c>
    </row>
    <row r="1806" spans="1:5" x14ac:dyDescent="0.25">
      <c r="A1806" s="15">
        <v>50597</v>
      </c>
      <c r="B1806" s="7">
        <v>1098725643</v>
      </c>
      <c r="C1806" s="11">
        <v>46050.651793981502</v>
      </c>
      <c r="D1806" s="17" t="s">
        <v>3363</v>
      </c>
      <c r="E1806" t="str">
        <f>IF(COUNTIF($B$2:B1806,B1806)&gt;1,"Duplicado","Único")</f>
        <v>Único</v>
      </c>
    </row>
    <row r="1807" spans="1:5" hidden="1" x14ac:dyDescent="0.25">
      <c r="A1807" s="15">
        <v>50597</v>
      </c>
      <c r="B1807" s="7">
        <v>1098725643</v>
      </c>
      <c r="C1807" s="11">
        <v>45989.426446759302</v>
      </c>
      <c r="D1807" s="17" t="s">
        <v>2785</v>
      </c>
      <c r="E1807" t="str">
        <f>IF(COUNTIF($B$2:B1807,B1807)&gt;1,"Duplicado","Único")</f>
        <v>Duplicado</v>
      </c>
    </row>
    <row r="1808" spans="1:5" x14ac:dyDescent="0.25">
      <c r="A1808" s="15">
        <v>37883</v>
      </c>
      <c r="B1808" s="7">
        <v>1098727790</v>
      </c>
      <c r="C1808" s="11">
        <v>45924.465844907398</v>
      </c>
      <c r="D1808" s="17" t="s">
        <v>1814</v>
      </c>
      <c r="E1808" t="str">
        <f>IF(COUNTIF($B$2:B1808,B1808)&gt;1,"Duplicado","Único")</f>
        <v>Único</v>
      </c>
    </row>
    <row r="1809" spans="1:5" x14ac:dyDescent="0.25">
      <c r="A1809" s="15">
        <v>17227</v>
      </c>
      <c r="B1809" s="7">
        <v>1098730126</v>
      </c>
      <c r="C1809" s="11">
        <v>46149.480081018497</v>
      </c>
      <c r="D1809" s="17" t="s">
        <v>1396</v>
      </c>
      <c r="E1809" t="str">
        <f>IF(COUNTIF($B$2:B1809,B1809)&gt;1,"Duplicado","Único")</f>
        <v>Único</v>
      </c>
    </row>
    <row r="1810" spans="1:5" hidden="1" x14ac:dyDescent="0.25">
      <c r="A1810" s="15">
        <v>17227</v>
      </c>
      <c r="B1810" s="7">
        <v>1098730126</v>
      </c>
      <c r="C1810" s="11">
        <v>46108.5092939815</v>
      </c>
      <c r="D1810" s="17" t="s">
        <v>4212</v>
      </c>
      <c r="E1810" t="str">
        <f>IF(COUNTIF($B$2:B1810,B1810)&gt;1,"Duplicado","Único")</f>
        <v>Duplicado</v>
      </c>
    </row>
    <row r="1811" spans="1:5" x14ac:dyDescent="0.25">
      <c r="A1811" s="15">
        <v>27127</v>
      </c>
      <c r="B1811" s="7">
        <v>1098731478</v>
      </c>
      <c r="C1811" s="11">
        <v>45874.425601851799</v>
      </c>
      <c r="D1811" s="17" t="s">
        <v>1245</v>
      </c>
      <c r="E1811" t="str">
        <f>IF(COUNTIF($B$2:B1811,B1811)&gt;1,"Duplicado","Único")</f>
        <v>Único</v>
      </c>
    </row>
    <row r="1812" spans="1:5" x14ac:dyDescent="0.25">
      <c r="A1812" s="15">
        <v>44520</v>
      </c>
      <c r="B1812" s="7">
        <v>1098735910</v>
      </c>
      <c r="C1812" s="11">
        <v>45958.514236111099</v>
      </c>
      <c r="D1812" s="17" t="s">
        <v>2139</v>
      </c>
      <c r="E1812" t="str">
        <f>IF(COUNTIF($B$2:B1812,B1812)&gt;1,"Duplicado","Único")</f>
        <v>Único</v>
      </c>
    </row>
    <row r="1813" spans="1:5" x14ac:dyDescent="0.25">
      <c r="A1813" s="15">
        <v>49854</v>
      </c>
      <c r="B1813" s="7">
        <v>1098737840</v>
      </c>
      <c r="C1813" s="11">
        <v>46050.494953703703</v>
      </c>
      <c r="D1813" s="17" t="s">
        <v>3275</v>
      </c>
      <c r="E1813" t="str">
        <f>IF(COUNTIF($B$2:B1813,B1813)&gt;1,"Duplicado","Único")</f>
        <v>Único</v>
      </c>
    </row>
    <row r="1814" spans="1:5" hidden="1" x14ac:dyDescent="0.25">
      <c r="A1814" s="15">
        <v>49854</v>
      </c>
      <c r="B1814" s="7">
        <v>1098737840</v>
      </c>
      <c r="C1814" s="11">
        <v>45986.354074074101</v>
      </c>
      <c r="D1814" s="17" t="s">
        <v>2701</v>
      </c>
      <c r="E1814" t="str">
        <f>IF(COUNTIF($B$2:B1814,B1814)&gt;1,"Duplicado","Único")</f>
        <v>Duplicado</v>
      </c>
    </row>
    <row r="1815" spans="1:5" x14ac:dyDescent="0.25">
      <c r="A1815" s="15">
        <v>52027</v>
      </c>
      <c r="B1815" s="7">
        <v>1098738363</v>
      </c>
      <c r="C1815" s="11">
        <v>46051.519791666702</v>
      </c>
      <c r="D1815" s="17" t="s">
        <v>3519</v>
      </c>
      <c r="E1815" t="str">
        <f>IF(COUNTIF($B$2:B1815,B1815)&gt;1,"Duplicado","Único")</f>
        <v>Único</v>
      </c>
    </row>
    <row r="1816" spans="1:5" hidden="1" x14ac:dyDescent="0.25">
      <c r="A1816" s="15">
        <v>52027</v>
      </c>
      <c r="B1816" s="7">
        <v>1098738363</v>
      </c>
      <c r="C1816" s="11">
        <v>46007.392847222203</v>
      </c>
      <c r="D1816" s="17" t="s">
        <v>2932</v>
      </c>
      <c r="E1816" t="str">
        <f>IF(COUNTIF($B$2:B1816,B1816)&gt;1,"Duplicado","Único")</f>
        <v>Duplicado</v>
      </c>
    </row>
    <row r="1817" spans="1:5" x14ac:dyDescent="0.25">
      <c r="A1817" s="15">
        <v>43092</v>
      </c>
      <c r="B1817" s="7">
        <v>1098745694</v>
      </c>
      <c r="C1817" s="11">
        <v>45953.4554166667</v>
      </c>
      <c r="D1817" s="17" t="s">
        <v>2047</v>
      </c>
      <c r="E1817" t="str">
        <f>IF(COUNTIF($B$2:B1817,B1817)&gt;1,"Duplicado","Único")</f>
        <v>Único</v>
      </c>
    </row>
    <row r="1818" spans="1:5" x14ac:dyDescent="0.25">
      <c r="A1818" s="15">
        <v>29094</v>
      </c>
      <c r="B1818" s="7">
        <v>1098747515</v>
      </c>
      <c r="C1818" s="11">
        <v>45891.515335648102</v>
      </c>
      <c r="D1818" s="17" t="s">
        <v>1386</v>
      </c>
      <c r="E1818" t="str">
        <f>IF(COUNTIF($B$2:B1818,B1818)&gt;1,"Duplicado","Único")</f>
        <v>Único</v>
      </c>
    </row>
    <row r="1819" spans="1:5" x14ac:dyDescent="0.25">
      <c r="A1819" s="15">
        <v>48843</v>
      </c>
      <c r="B1819" s="7">
        <v>1098763202</v>
      </c>
      <c r="C1819" s="11">
        <v>45980.426053240699</v>
      </c>
      <c r="D1819" s="17" t="s">
        <v>2607</v>
      </c>
      <c r="E1819" t="str">
        <f>IF(COUNTIF($B$2:B1819,B1819)&gt;1,"Duplicado","Único")</f>
        <v>Único</v>
      </c>
    </row>
    <row r="1820" spans="1:5" x14ac:dyDescent="0.25">
      <c r="A1820" s="15">
        <v>17749</v>
      </c>
      <c r="B1820" s="7">
        <v>1098764110</v>
      </c>
      <c r="C1820" s="11">
        <v>45797.655254629601</v>
      </c>
      <c r="D1820" s="17" t="s">
        <v>723</v>
      </c>
      <c r="E1820" t="str">
        <f>IF(COUNTIF($B$2:B1820,B1820)&gt;1,"Duplicado","Único")</f>
        <v>Único</v>
      </c>
    </row>
    <row r="1821" spans="1:5" x14ac:dyDescent="0.25">
      <c r="A1821" s="15">
        <v>29148</v>
      </c>
      <c r="B1821" s="7">
        <v>1098767702</v>
      </c>
      <c r="C1821" s="11">
        <v>45891.665127314802</v>
      </c>
      <c r="D1821" s="17" t="s">
        <v>1391</v>
      </c>
      <c r="E1821" t="str">
        <f>IF(COUNTIF($B$2:B1821,B1821)&gt;1,"Duplicado","Único")</f>
        <v>Único</v>
      </c>
    </row>
    <row r="1822" spans="1:5" x14ac:dyDescent="0.25">
      <c r="A1822" s="15">
        <v>18194</v>
      </c>
      <c r="B1822" s="7">
        <v>1098772113</v>
      </c>
      <c r="C1822" s="11">
        <v>45798.615532407399</v>
      </c>
      <c r="D1822" s="17" t="s">
        <v>751</v>
      </c>
      <c r="E1822" t="str">
        <f>IF(COUNTIF($B$2:B1822,B1822)&gt;1,"Duplicado","Único")</f>
        <v>Único</v>
      </c>
    </row>
    <row r="1823" spans="1:5" x14ac:dyDescent="0.25">
      <c r="A1823" s="15">
        <v>45204</v>
      </c>
      <c r="B1823" s="7">
        <v>1098781156</v>
      </c>
      <c r="C1823" s="11">
        <v>45958.742199074099</v>
      </c>
      <c r="D1823" s="17" t="s">
        <v>2196</v>
      </c>
      <c r="E1823" t="str">
        <f>IF(COUNTIF($B$2:B1823,B1823)&gt;1,"Duplicado","Único")</f>
        <v>Único</v>
      </c>
    </row>
    <row r="1824" spans="1:5" x14ac:dyDescent="0.25">
      <c r="A1824" s="15">
        <v>42138</v>
      </c>
      <c r="B1824" s="7">
        <v>1098782086</v>
      </c>
      <c r="C1824" s="11">
        <v>45950.708622685197</v>
      </c>
      <c r="D1824" s="17" t="s">
        <v>2011</v>
      </c>
      <c r="E1824" t="str">
        <f>IF(COUNTIF($B$2:B1824,B1824)&gt;1,"Duplicado","Único")</f>
        <v>Único</v>
      </c>
    </row>
    <row r="1825" spans="1:5" x14ac:dyDescent="0.25">
      <c r="A1825" s="15">
        <v>44809</v>
      </c>
      <c r="B1825" s="7">
        <v>1098785320</v>
      </c>
      <c r="C1825" s="11">
        <v>45959.4847800926</v>
      </c>
      <c r="D1825" s="17" t="s">
        <v>2231</v>
      </c>
      <c r="E1825" t="str">
        <f>IF(COUNTIF($B$2:B1825,B1825)&gt;1,"Duplicado","Único")</f>
        <v>Único</v>
      </c>
    </row>
    <row r="1826" spans="1:5" x14ac:dyDescent="0.25">
      <c r="A1826" s="15">
        <v>43058</v>
      </c>
      <c r="B1826" s="7">
        <v>1098789490</v>
      </c>
      <c r="C1826" s="11">
        <v>45953.3899074074</v>
      </c>
      <c r="D1826" s="17" t="s">
        <v>2041</v>
      </c>
      <c r="E1826" t="str">
        <f>IF(COUNTIF($B$2:B1826,B1826)&gt;1,"Duplicado","Único")</f>
        <v>Único</v>
      </c>
    </row>
    <row r="1827" spans="1:5" x14ac:dyDescent="0.25">
      <c r="A1827" s="15">
        <v>45973</v>
      </c>
      <c r="B1827" s="7">
        <v>1098789595</v>
      </c>
      <c r="C1827" s="11">
        <v>45961.464270833298</v>
      </c>
      <c r="D1827" s="17" t="s">
        <v>2278</v>
      </c>
      <c r="E1827" t="str">
        <f>IF(COUNTIF($B$2:B1827,B1827)&gt;1,"Duplicado","Único")</f>
        <v>Único</v>
      </c>
    </row>
    <row r="1828" spans="1:5" x14ac:dyDescent="0.25">
      <c r="A1828" s="15">
        <v>18442</v>
      </c>
      <c r="B1828" s="7">
        <v>1098789661</v>
      </c>
      <c r="C1828" s="11">
        <v>46149.423611111102</v>
      </c>
      <c r="D1828" s="17" t="s">
        <v>4460</v>
      </c>
      <c r="E1828" t="str">
        <f>IF(COUNTIF($B$2:B1828,B1828)&gt;1,"Duplicado","Único")</f>
        <v>Único</v>
      </c>
    </row>
    <row r="1829" spans="1:5" hidden="1" x14ac:dyDescent="0.25">
      <c r="A1829" s="15">
        <v>18442</v>
      </c>
      <c r="B1829" s="7">
        <v>1098789661</v>
      </c>
      <c r="C1829" s="11">
        <v>46118.405381944402</v>
      </c>
      <c r="D1829" s="17" t="s">
        <v>4248</v>
      </c>
      <c r="E1829" t="str">
        <f>IF(COUNTIF($B$2:B1829,B1829)&gt;1,"Duplicado","Único")</f>
        <v>Duplicado</v>
      </c>
    </row>
    <row r="1830" spans="1:5" x14ac:dyDescent="0.25">
      <c r="A1830" s="15">
        <v>53340</v>
      </c>
      <c r="B1830" s="7">
        <v>1098799231</v>
      </c>
      <c r="C1830" s="11">
        <v>46057.425358796303</v>
      </c>
      <c r="D1830" s="17" t="s">
        <v>3701</v>
      </c>
      <c r="E1830" t="str">
        <f>IF(COUNTIF($B$2:B1830,B1830)&gt;1,"Duplicado","Único")</f>
        <v>Único</v>
      </c>
    </row>
    <row r="1831" spans="1:5" hidden="1" x14ac:dyDescent="0.25">
      <c r="A1831" s="15">
        <v>53340</v>
      </c>
      <c r="B1831" s="7">
        <v>1098799231</v>
      </c>
      <c r="C1831" s="11">
        <v>46013.461331018501</v>
      </c>
      <c r="D1831" s="17" t="s">
        <v>3011</v>
      </c>
      <c r="E1831" t="str">
        <f>IF(COUNTIF($B$2:B1831,B1831)&gt;1,"Duplicado","Único")</f>
        <v>Duplicado</v>
      </c>
    </row>
    <row r="1832" spans="1:5" x14ac:dyDescent="0.25">
      <c r="A1832" s="15">
        <v>44906</v>
      </c>
      <c r="B1832" s="7">
        <v>1098800007</v>
      </c>
      <c r="C1832" s="11">
        <v>45959.716099537</v>
      </c>
      <c r="D1832" s="17" t="s">
        <v>2236</v>
      </c>
      <c r="E1832" t="str">
        <f>IF(COUNTIF($B$2:B1832,B1832)&gt;1,"Duplicado","Único")</f>
        <v>Único</v>
      </c>
    </row>
    <row r="1833" spans="1:5" x14ac:dyDescent="0.25">
      <c r="A1833" s="15">
        <v>52277</v>
      </c>
      <c r="B1833" s="7">
        <v>1098801925</v>
      </c>
      <c r="C1833" s="11">
        <v>46051.523923611101</v>
      </c>
      <c r="D1833" s="17" t="s">
        <v>3521</v>
      </c>
      <c r="E1833" t="str">
        <f>IF(COUNTIF($B$2:B1833,B1833)&gt;1,"Duplicado","Único")</f>
        <v>Único</v>
      </c>
    </row>
    <row r="1834" spans="1:5" hidden="1" x14ac:dyDescent="0.25">
      <c r="A1834" s="15">
        <v>52277</v>
      </c>
      <c r="B1834" s="7">
        <v>1098801925</v>
      </c>
      <c r="C1834" s="11">
        <v>46007.392465277801</v>
      </c>
      <c r="D1834" s="17" t="s">
        <v>2931</v>
      </c>
      <c r="E1834" t="str">
        <f>IF(COUNTIF($B$2:B1834,B1834)&gt;1,"Duplicado","Único")</f>
        <v>Duplicado</v>
      </c>
    </row>
    <row r="1835" spans="1:5" x14ac:dyDescent="0.25">
      <c r="A1835" s="15">
        <v>27767</v>
      </c>
      <c r="B1835" s="7">
        <v>1098802082</v>
      </c>
      <c r="C1835" s="11">
        <v>45881.424016203702</v>
      </c>
      <c r="D1835" s="17" t="s">
        <v>1299</v>
      </c>
      <c r="E1835" t="str">
        <f>IF(COUNTIF($B$2:B1835,B1835)&gt;1,"Duplicado","Único")</f>
        <v>Único</v>
      </c>
    </row>
    <row r="1836" spans="1:5" x14ac:dyDescent="0.25">
      <c r="A1836" s="15">
        <v>44741</v>
      </c>
      <c r="B1836" s="7">
        <v>1098805768</v>
      </c>
      <c r="C1836" s="11">
        <v>45958.6109953704</v>
      </c>
      <c r="D1836" s="17" t="s">
        <v>2162</v>
      </c>
      <c r="E1836" t="str">
        <f>IF(COUNTIF($B$2:B1836,B1836)&gt;1,"Duplicado","Único")</f>
        <v>Único</v>
      </c>
    </row>
    <row r="1837" spans="1:5" x14ac:dyDescent="0.25">
      <c r="A1837" s="15">
        <v>37859</v>
      </c>
      <c r="B1837" s="7">
        <v>1098807242</v>
      </c>
      <c r="C1837" s="11">
        <v>45924.386724536998</v>
      </c>
      <c r="D1837" s="17" t="s">
        <v>1801</v>
      </c>
      <c r="E1837" t="str">
        <f>IF(COUNTIF($B$2:B1837,B1837)&gt;1,"Duplicado","Único")</f>
        <v>Único</v>
      </c>
    </row>
    <row r="1838" spans="1:5" x14ac:dyDescent="0.25">
      <c r="A1838" s="15">
        <v>52722</v>
      </c>
      <c r="B1838" s="7">
        <v>1098808818</v>
      </c>
      <c r="C1838" s="11">
        <v>46059.604652777802</v>
      </c>
      <c r="D1838" s="17" t="s">
        <v>3753</v>
      </c>
      <c r="E1838" t="str">
        <f>IF(COUNTIF($B$2:B1838,B1838)&gt;1,"Duplicado","Único")</f>
        <v>Único</v>
      </c>
    </row>
    <row r="1839" spans="1:5" hidden="1" x14ac:dyDescent="0.25">
      <c r="A1839" s="15">
        <v>52722</v>
      </c>
      <c r="B1839" s="7">
        <v>1098808818</v>
      </c>
      <c r="C1839" s="11">
        <v>46051.637986111098</v>
      </c>
      <c r="D1839" s="17" t="s">
        <v>3547</v>
      </c>
      <c r="E1839" t="str">
        <f>IF(COUNTIF($B$2:B1839,B1839)&gt;1,"Duplicado","Único")</f>
        <v>Duplicado</v>
      </c>
    </row>
    <row r="1840" spans="1:5" hidden="1" x14ac:dyDescent="0.25">
      <c r="A1840" s="15">
        <v>52722</v>
      </c>
      <c r="B1840" s="7">
        <v>1098808818</v>
      </c>
      <c r="C1840" s="11">
        <v>46009.373912037001</v>
      </c>
      <c r="D1840" s="17" t="s">
        <v>2959</v>
      </c>
      <c r="E1840" t="str">
        <f>IF(COUNTIF($B$2:B1840,B1840)&gt;1,"Duplicado","Único")</f>
        <v>Duplicado</v>
      </c>
    </row>
    <row r="1841" spans="1:5" x14ac:dyDescent="0.25">
      <c r="A1841" s="15">
        <v>24979</v>
      </c>
      <c r="B1841" s="7">
        <v>1098811008</v>
      </c>
      <c r="C1841" s="11">
        <v>45860.345196759299</v>
      </c>
      <c r="D1841" s="17" t="s">
        <v>1107</v>
      </c>
      <c r="E1841" t="str">
        <f>IF(COUNTIF($B$2:B1841,B1841)&gt;1,"Duplicado","Único")</f>
        <v>Único</v>
      </c>
    </row>
    <row r="1842" spans="1:5" x14ac:dyDescent="0.25">
      <c r="A1842" s="15">
        <v>31616</v>
      </c>
      <c r="B1842" s="7">
        <v>1098817164</v>
      </c>
      <c r="C1842" s="11">
        <v>45904.670011574097</v>
      </c>
      <c r="D1842" s="17" t="s">
        <v>1536</v>
      </c>
      <c r="E1842" t="str">
        <f>IF(COUNTIF($B$2:B1842,B1842)&gt;1,"Duplicado","Único")</f>
        <v>Único</v>
      </c>
    </row>
    <row r="1843" spans="1:5" x14ac:dyDescent="0.25">
      <c r="A1843" s="15">
        <v>17422</v>
      </c>
      <c r="B1843" s="7">
        <v>1098822183</v>
      </c>
      <c r="C1843" s="11">
        <v>46149.481817129599</v>
      </c>
      <c r="D1843" s="17" t="s">
        <v>4505</v>
      </c>
      <c r="E1843" t="str">
        <f>IF(COUNTIF($B$2:B1843,B1843)&gt;1,"Duplicado","Único")</f>
        <v>Único</v>
      </c>
    </row>
    <row r="1844" spans="1:5" hidden="1" x14ac:dyDescent="0.25">
      <c r="A1844" s="15">
        <v>17422</v>
      </c>
      <c r="B1844" s="7">
        <v>1098822183</v>
      </c>
      <c r="C1844" s="11">
        <v>46108.559490740699</v>
      </c>
      <c r="D1844" s="17" t="s">
        <v>4220</v>
      </c>
      <c r="E1844" t="str">
        <f>IF(COUNTIF($B$2:B1844,B1844)&gt;1,"Duplicado","Único")</f>
        <v>Duplicado</v>
      </c>
    </row>
    <row r="1845" spans="1:5" x14ac:dyDescent="0.25">
      <c r="A1845" s="15">
        <v>40156</v>
      </c>
      <c r="B1845" s="7">
        <v>1098822405</v>
      </c>
      <c r="C1845" s="11">
        <v>45932.3686689815</v>
      </c>
      <c r="D1845" s="17" t="s">
        <v>1913</v>
      </c>
      <c r="E1845" t="str">
        <f>IF(COUNTIF($B$2:B1845,B1845)&gt;1,"Duplicado","Único")</f>
        <v>Único</v>
      </c>
    </row>
    <row r="1846" spans="1:5" x14ac:dyDescent="0.25">
      <c r="A1846" s="15">
        <v>342</v>
      </c>
      <c r="B1846" s="7">
        <v>1098824243</v>
      </c>
      <c r="C1846" s="11">
        <v>46086.491898148102</v>
      </c>
      <c r="D1846" s="17" t="s">
        <v>3813</v>
      </c>
      <c r="E1846" t="str">
        <f>IF(COUNTIF($B$2:B1846,B1846)&gt;1,"Duplicado","Único")</f>
        <v>Único</v>
      </c>
    </row>
    <row r="1847" spans="1:5" hidden="1" x14ac:dyDescent="0.25">
      <c r="A1847" s="15">
        <v>342</v>
      </c>
      <c r="B1847" s="7">
        <v>1098824243</v>
      </c>
      <c r="C1847" s="11">
        <v>46031.645127314798</v>
      </c>
      <c r="D1847" s="17" t="s">
        <v>3126</v>
      </c>
      <c r="E1847" t="str">
        <f>IF(COUNTIF($B$2:B1847,B1847)&gt;1,"Duplicado","Único")</f>
        <v>Duplicado</v>
      </c>
    </row>
    <row r="1848" spans="1:5" x14ac:dyDescent="0.25">
      <c r="A1848" s="15">
        <v>15949</v>
      </c>
      <c r="B1848" s="7">
        <v>1099203204</v>
      </c>
      <c r="C1848" s="11">
        <v>46121.514849537001</v>
      </c>
      <c r="D1848" s="17" t="s">
        <v>4416</v>
      </c>
      <c r="E1848" t="str">
        <f>IF(COUNTIF($B$2:B1848,B1848)&gt;1,"Duplicado","Único")</f>
        <v>Único</v>
      </c>
    </row>
    <row r="1849" spans="1:5" hidden="1" x14ac:dyDescent="0.25">
      <c r="A1849" s="15">
        <v>15949</v>
      </c>
      <c r="B1849" s="7">
        <v>1099203204</v>
      </c>
      <c r="C1849" s="11">
        <v>46101.708148148202</v>
      </c>
      <c r="D1849" s="17" t="s">
        <v>4121</v>
      </c>
      <c r="E1849" t="str">
        <f>IF(COUNTIF($B$2:B1849,B1849)&gt;1,"Duplicado","Único")</f>
        <v>Duplicado</v>
      </c>
    </row>
    <row r="1850" spans="1:5" x14ac:dyDescent="0.25">
      <c r="A1850" s="15">
        <v>53578</v>
      </c>
      <c r="B1850" s="7">
        <v>1099961933</v>
      </c>
      <c r="C1850" s="11">
        <v>46057.3913425926</v>
      </c>
      <c r="D1850" s="17" t="s">
        <v>3665</v>
      </c>
      <c r="E1850" t="str">
        <f>IF(COUNTIF($B$2:B1850,B1850)&gt;1,"Duplicado","Único")</f>
        <v>Único</v>
      </c>
    </row>
    <row r="1851" spans="1:5" hidden="1" x14ac:dyDescent="0.25">
      <c r="A1851" s="15">
        <v>53578</v>
      </c>
      <c r="B1851" s="7">
        <v>1099961933</v>
      </c>
      <c r="C1851" s="11">
        <v>46013.484537037002</v>
      </c>
      <c r="D1851" s="17" t="s">
        <v>3022</v>
      </c>
      <c r="E1851" t="str">
        <f>IF(COUNTIF($B$2:B1851,B1851)&gt;1,"Duplicado","Único")</f>
        <v>Duplicado</v>
      </c>
    </row>
    <row r="1852" spans="1:5" x14ac:dyDescent="0.25">
      <c r="A1852" s="15">
        <v>37278</v>
      </c>
      <c r="B1852" s="7">
        <v>1100396401</v>
      </c>
      <c r="C1852" s="11">
        <v>45922.480520833298</v>
      </c>
      <c r="D1852" s="17" t="s">
        <v>1785</v>
      </c>
      <c r="E1852" t="str">
        <f>IF(COUNTIF($B$2:B1852,B1852)&gt;1,"Duplicado","Único")</f>
        <v>Único</v>
      </c>
    </row>
    <row r="1853" spans="1:5" x14ac:dyDescent="0.25">
      <c r="A1853" s="15">
        <v>46599</v>
      </c>
      <c r="B1853" s="7">
        <v>1100400893</v>
      </c>
      <c r="C1853" s="11">
        <v>45968.664988425902</v>
      </c>
      <c r="D1853" s="17" t="s">
        <v>2396</v>
      </c>
      <c r="E1853" t="str">
        <f>IF(COUNTIF($B$2:B1853,B1853)&gt;1,"Duplicado","Único")</f>
        <v>Único</v>
      </c>
    </row>
    <row r="1854" spans="1:5" hidden="1" x14ac:dyDescent="0.25">
      <c r="A1854" s="15">
        <v>46599</v>
      </c>
      <c r="B1854" s="7">
        <v>1100400893</v>
      </c>
      <c r="C1854" s="11">
        <v>45966.667337963001</v>
      </c>
      <c r="D1854" s="17" t="s">
        <v>2339</v>
      </c>
      <c r="E1854" t="str">
        <f>IF(COUNTIF($B$2:B1854,B1854)&gt;1,"Duplicado","Único")</f>
        <v>Duplicado</v>
      </c>
    </row>
    <row r="1855" spans="1:5" x14ac:dyDescent="0.25">
      <c r="A1855" s="15">
        <v>2736</v>
      </c>
      <c r="B1855" s="7">
        <v>1100622794</v>
      </c>
      <c r="C1855" s="11">
        <v>46086.754201388903</v>
      </c>
      <c r="D1855" s="17" t="s">
        <v>992</v>
      </c>
      <c r="E1855" t="str">
        <f>IF(COUNTIF($B$2:B1855,B1855)&gt;1,"Duplicado","Único")</f>
        <v>Único</v>
      </c>
    </row>
    <row r="1856" spans="1:5" hidden="1" x14ac:dyDescent="0.25">
      <c r="A1856" s="15">
        <v>2736</v>
      </c>
      <c r="B1856" s="7">
        <v>1100622794</v>
      </c>
      <c r="C1856" s="11">
        <v>46051.660879629599</v>
      </c>
      <c r="D1856" s="17" t="s">
        <v>3551</v>
      </c>
      <c r="E1856" t="str">
        <f>IF(COUNTIF($B$2:B1856,B1856)&gt;1,"Duplicado","Único")</f>
        <v>Duplicado</v>
      </c>
    </row>
    <row r="1857" spans="1:5" x14ac:dyDescent="0.25">
      <c r="A1857" s="15">
        <v>35320</v>
      </c>
      <c r="B1857" s="7">
        <v>1100954518</v>
      </c>
      <c r="C1857" s="11">
        <v>45917.480925925898</v>
      </c>
      <c r="D1857" s="17" t="s">
        <v>1736</v>
      </c>
      <c r="E1857" t="str">
        <f>IF(COUNTIF($B$2:B1857,B1857)&gt;1,"Duplicado","Único")</f>
        <v>Único</v>
      </c>
    </row>
    <row r="1858" spans="1:5" x14ac:dyDescent="0.25">
      <c r="A1858" s="15">
        <v>14305</v>
      </c>
      <c r="B1858" s="7">
        <v>1100954938</v>
      </c>
      <c r="C1858" s="11">
        <v>46120.486504629604</v>
      </c>
      <c r="D1858" s="17" t="s">
        <v>4274</v>
      </c>
      <c r="E1858" t="str">
        <f>IF(COUNTIF($B$2:B1858,B1858)&gt;1,"Duplicado","Único")</f>
        <v>Único</v>
      </c>
    </row>
    <row r="1859" spans="1:5" hidden="1" x14ac:dyDescent="0.25">
      <c r="A1859" s="15">
        <v>14305</v>
      </c>
      <c r="B1859" s="7">
        <v>1100954938</v>
      </c>
      <c r="C1859" s="11">
        <v>46090.658379629604</v>
      </c>
      <c r="D1859" s="17" t="s">
        <v>4016</v>
      </c>
      <c r="E1859" t="str">
        <f>IF(COUNTIF($B$2:B1859,B1859)&gt;1,"Duplicado","Único")</f>
        <v>Duplicado</v>
      </c>
    </row>
    <row r="1860" spans="1:5" x14ac:dyDescent="0.25">
      <c r="A1860" s="15">
        <v>17064</v>
      </c>
      <c r="B1860" s="7">
        <v>1100960090</v>
      </c>
      <c r="C1860" s="11">
        <v>46149.482280092598</v>
      </c>
      <c r="D1860" s="17" t="s">
        <v>4506</v>
      </c>
      <c r="E1860" t="str">
        <f>IF(COUNTIF($B$2:B1860,B1860)&gt;1,"Duplicado","Único")</f>
        <v>Único</v>
      </c>
    </row>
    <row r="1861" spans="1:5" hidden="1" x14ac:dyDescent="0.25">
      <c r="A1861" s="15">
        <v>17064</v>
      </c>
      <c r="B1861" s="7">
        <v>1100960090</v>
      </c>
      <c r="C1861" s="11">
        <v>46108.502835648098</v>
      </c>
      <c r="D1861" s="17" t="s">
        <v>4205</v>
      </c>
      <c r="E1861" t="str">
        <f>IF(COUNTIF($B$2:B1861,B1861)&gt;1,"Duplicado","Único")</f>
        <v>Duplicado</v>
      </c>
    </row>
    <row r="1862" spans="1:5" x14ac:dyDescent="0.25">
      <c r="A1862" s="15">
        <v>17967</v>
      </c>
      <c r="B1862" s="7">
        <v>1101018012</v>
      </c>
      <c r="C1862" s="11">
        <v>46149.424247685201</v>
      </c>
      <c r="D1862" s="17" t="s">
        <v>4461</v>
      </c>
      <c r="E1862" t="str">
        <f>IF(COUNTIF($B$2:B1862,B1862)&gt;1,"Duplicado","Único")</f>
        <v>Único</v>
      </c>
    </row>
    <row r="1863" spans="1:5" hidden="1" x14ac:dyDescent="0.25">
      <c r="A1863" s="15">
        <v>17967</v>
      </c>
      <c r="B1863" s="7">
        <v>1101018012</v>
      </c>
      <c r="C1863" s="11">
        <v>46118.327731481499</v>
      </c>
      <c r="D1863" s="17" t="s">
        <v>4240</v>
      </c>
      <c r="E1863" t="str">
        <f>IF(COUNTIF($B$2:B1863,B1863)&gt;1,"Duplicado","Único")</f>
        <v>Duplicado</v>
      </c>
    </row>
    <row r="1864" spans="1:5" x14ac:dyDescent="0.25">
      <c r="A1864" s="15">
        <v>20892</v>
      </c>
      <c r="B1864" s="7">
        <v>1101177767</v>
      </c>
      <c r="C1864" s="11">
        <v>45821.707118055601</v>
      </c>
      <c r="D1864" s="17" t="s">
        <v>912</v>
      </c>
      <c r="E1864" t="str">
        <f>IF(COUNTIF($B$2:B1864,B1864)&gt;1,"Duplicado","Único")</f>
        <v>Único</v>
      </c>
    </row>
    <row r="1865" spans="1:5" x14ac:dyDescent="0.25">
      <c r="A1865" s="15">
        <v>38718</v>
      </c>
      <c r="B1865" s="7">
        <v>1101380073</v>
      </c>
      <c r="C1865" s="11">
        <v>45929.4074189815</v>
      </c>
      <c r="D1865" s="17" t="s">
        <v>1852</v>
      </c>
      <c r="E1865" t="str">
        <f>IF(COUNTIF($B$2:B1865,B1865)&gt;1,"Duplicado","Único")</f>
        <v>Único</v>
      </c>
    </row>
    <row r="1866" spans="1:5" x14ac:dyDescent="0.25">
      <c r="A1866" s="15">
        <v>53087</v>
      </c>
      <c r="B1866" s="7">
        <v>1101683767</v>
      </c>
      <c r="C1866" s="11">
        <v>46057.391898148097</v>
      </c>
      <c r="D1866" s="17" t="s">
        <v>3666</v>
      </c>
      <c r="E1866" t="str">
        <f>IF(COUNTIF($B$2:B1866,B1866)&gt;1,"Duplicado","Único")</f>
        <v>Único</v>
      </c>
    </row>
    <row r="1867" spans="1:5" hidden="1" x14ac:dyDescent="0.25">
      <c r="A1867" s="15">
        <v>53087</v>
      </c>
      <c r="B1867" s="7">
        <v>1101683767</v>
      </c>
      <c r="C1867" s="11">
        <v>46013.406423611101</v>
      </c>
      <c r="D1867" s="17" t="s">
        <v>3003</v>
      </c>
      <c r="E1867" t="str">
        <f>IF(COUNTIF($B$2:B1867,B1867)&gt;1,"Duplicado","Único")</f>
        <v>Duplicado</v>
      </c>
    </row>
    <row r="1868" spans="1:5" x14ac:dyDescent="0.25">
      <c r="A1868" s="15">
        <v>35403</v>
      </c>
      <c r="B1868" s="7">
        <v>1101684520</v>
      </c>
      <c r="C1868" s="11">
        <v>45917.411423611098</v>
      </c>
      <c r="D1868" s="17" t="s">
        <v>1729</v>
      </c>
      <c r="E1868" t="str">
        <f>IF(COUNTIF($B$2:B1868,B1868)&gt;1,"Duplicado","Único")</f>
        <v>Único</v>
      </c>
    </row>
    <row r="1869" spans="1:5" x14ac:dyDescent="0.25">
      <c r="A1869" s="15">
        <v>42010</v>
      </c>
      <c r="B1869" s="7">
        <v>1101753533</v>
      </c>
      <c r="C1869" s="11">
        <v>45950.673125000001</v>
      </c>
      <c r="D1869" s="17" t="s">
        <v>2008</v>
      </c>
      <c r="E1869" t="str">
        <f>IF(COUNTIF($B$2:B1869,B1869)&gt;1,"Duplicado","Único")</f>
        <v>Único</v>
      </c>
    </row>
    <row r="1870" spans="1:5" x14ac:dyDescent="0.25">
      <c r="A1870" s="15">
        <v>29996</v>
      </c>
      <c r="B1870" s="7">
        <v>1101755011</v>
      </c>
      <c r="C1870" s="11">
        <v>45898.478298611102</v>
      </c>
      <c r="D1870" s="17" t="s">
        <v>1460</v>
      </c>
      <c r="E1870" t="str">
        <f>IF(COUNTIF($B$2:B1870,B1870)&gt;1,"Duplicado","Único")</f>
        <v>Único</v>
      </c>
    </row>
    <row r="1871" spans="1:5" x14ac:dyDescent="0.25">
      <c r="A1871" s="15">
        <v>30758</v>
      </c>
      <c r="B1871" s="7">
        <v>1101756844</v>
      </c>
      <c r="C1871" s="11">
        <v>45915.522708333301</v>
      </c>
      <c r="D1871" s="17" t="s">
        <v>1709</v>
      </c>
      <c r="E1871" t="str">
        <f>IF(COUNTIF($B$2:B1871,B1871)&gt;1,"Duplicado","Único")</f>
        <v>Único</v>
      </c>
    </row>
    <row r="1872" spans="1:5" hidden="1" x14ac:dyDescent="0.25">
      <c r="A1872" s="15">
        <v>30758</v>
      </c>
      <c r="B1872" s="7">
        <v>1101756844</v>
      </c>
      <c r="C1872" s="11">
        <v>45901.497418981497</v>
      </c>
      <c r="D1872" s="17" t="s">
        <v>1482</v>
      </c>
      <c r="E1872" t="str">
        <f>IF(COUNTIF($B$2:B1872,B1872)&gt;1,"Duplicado","Único")</f>
        <v>Duplicado</v>
      </c>
    </row>
    <row r="1873" spans="1:5" x14ac:dyDescent="0.25">
      <c r="A1873" s="15">
        <v>32905</v>
      </c>
      <c r="B1873" s="7">
        <v>1101813257</v>
      </c>
      <c r="C1873" s="11">
        <v>45910.464826388903</v>
      </c>
      <c r="D1873" s="17" t="s">
        <v>1650</v>
      </c>
      <c r="E1873" t="str">
        <f>IF(COUNTIF($B$2:B1873,B1873)&gt;1,"Duplicado","Único")</f>
        <v>Único</v>
      </c>
    </row>
    <row r="1874" spans="1:5" x14ac:dyDescent="0.25">
      <c r="A1874" s="15">
        <v>17529</v>
      </c>
      <c r="B1874" s="7">
        <v>1102358562</v>
      </c>
      <c r="C1874" s="11">
        <v>46149.482858796298</v>
      </c>
      <c r="D1874" s="17" t="s">
        <v>4507</v>
      </c>
      <c r="E1874" t="str">
        <f>IF(COUNTIF($B$2:B1874,B1874)&gt;1,"Duplicado","Único")</f>
        <v>Único</v>
      </c>
    </row>
    <row r="1875" spans="1:5" hidden="1" x14ac:dyDescent="0.25">
      <c r="A1875" s="15">
        <v>17529</v>
      </c>
      <c r="B1875" s="7">
        <v>1102358562</v>
      </c>
      <c r="C1875" s="11">
        <v>46108.773645833302</v>
      </c>
      <c r="D1875" s="17" t="s">
        <v>1143</v>
      </c>
      <c r="E1875" t="str">
        <f>IF(COUNTIF($B$2:B1875,B1875)&gt;1,"Duplicado","Único")</f>
        <v>Duplicado</v>
      </c>
    </row>
    <row r="1876" spans="1:5" x14ac:dyDescent="0.25">
      <c r="A1876" s="15">
        <v>53651</v>
      </c>
      <c r="B1876" s="7">
        <v>1102370014</v>
      </c>
      <c r="C1876" s="11">
        <v>46057.392581018503</v>
      </c>
      <c r="D1876" s="17" t="s">
        <v>3667</v>
      </c>
      <c r="E1876" t="str">
        <f>IF(COUNTIF($B$2:B1876,B1876)&gt;1,"Duplicado","Único")</f>
        <v>Único</v>
      </c>
    </row>
    <row r="1877" spans="1:5" hidden="1" x14ac:dyDescent="0.25">
      <c r="A1877" s="15">
        <v>53651</v>
      </c>
      <c r="B1877" s="7">
        <v>1102370014</v>
      </c>
      <c r="C1877" s="11">
        <v>46013.498263888898</v>
      </c>
      <c r="D1877" s="17" t="s">
        <v>3030</v>
      </c>
      <c r="E1877" t="str">
        <f>IF(COUNTIF($B$2:B1877,B1877)&gt;1,"Duplicado","Único")</f>
        <v>Duplicado</v>
      </c>
    </row>
    <row r="1878" spans="1:5" x14ac:dyDescent="0.25">
      <c r="A1878" s="15">
        <v>27015</v>
      </c>
      <c r="B1878" s="7">
        <v>1102634239</v>
      </c>
      <c r="C1878" s="11">
        <v>45874.397060185198</v>
      </c>
      <c r="D1878" s="17" t="s">
        <v>1238</v>
      </c>
      <c r="E1878" t="str">
        <f>IF(COUNTIF($B$2:B1878,B1878)&gt;1,"Duplicado","Único")</f>
        <v>Único</v>
      </c>
    </row>
    <row r="1879" spans="1:5" x14ac:dyDescent="0.25">
      <c r="A1879" s="15">
        <v>28503</v>
      </c>
      <c r="B1879" s="7">
        <v>1102811812</v>
      </c>
      <c r="C1879" s="11">
        <v>45888.523263888899</v>
      </c>
      <c r="D1879" s="17" t="s">
        <v>1337</v>
      </c>
      <c r="E1879" t="str">
        <f>IF(COUNTIF($B$2:B1879,B1879)&gt;1,"Duplicado","Único")</f>
        <v>Único</v>
      </c>
    </row>
    <row r="1880" spans="1:5" x14ac:dyDescent="0.25">
      <c r="A1880" s="15">
        <v>22031</v>
      </c>
      <c r="B1880" s="7">
        <v>1102821512</v>
      </c>
      <c r="C1880" s="11">
        <v>45834.6109953704</v>
      </c>
      <c r="D1880" s="17" t="s">
        <v>983</v>
      </c>
      <c r="E1880" t="str">
        <f>IF(COUNTIF($B$2:B1880,B1880)&gt;1,"Duplicado","Único")</f>
        <v>Único</v>
      </c>
    </row>
    <row r="1881" spans="1:5" x14ac:dyDescent="0.25">
      <c r="A1881" s="15">
        <v>22561</v>
      </c>
      <c r="B1881" s="7">
        <v>1102848257</v>
      </c>
      <c r="C1881" s="11">
        <v>45842.332638888904</v>
      </c>
      <c r="D1881" s="17" t="s">
        <v>1025</v>
      </c>
      <c r="E1881" t="str">
        <f>IF(COUNTIF($B$2:B1881,B1881)&gt;1,"Duplicado","Único")</f>
        <v>Único</v>
      </c>
    </row>
    <row r="1882" spans="1:5" x14ac:dyDescent="0.25">
      <c r="A1882" s="15">
        <v>44590</v>
      </c>
      <c r="B1882" s="7">
        <v>1102849077</v>
      </c>
      <c r="C1882" s="11">
        <v>45958.516643518502</v>
      </c>
      <c r="D1882" s="17" t="s">
        <v>2141</v>
      </c>
      <c r="E1882" t="str">
        <f>IF(COUNTIF($B$2:B1882,B1882)&gt;1,"Duplicado","Único")</f>
        <v>Único</v>
      </c>
    </row>
    <row r="1883" spans="1:5" x14ac:dyDescent="0.25">
      <c r="A1883" s="15">
        <v>29149</v>
      </c>
      <c r="B1883" s="7">
        <v>1102868441</v>
      </c>
      <c r="C1883" s="11">
        <v>45891.668773148202</v>
      </c>
      <c r="D1883" s="17" t="s">
        <v>1392</v>
      </c>
      <c r="E1883" t="str">
        <f>IF(COUNTIF($B$2:B1883,B1883)&gt;1,"Duplicado","Único")</f>
        <v>Único</v>
      </c>
    </row>
    <row r="1884" spans="1:5" x14ac:dyDescent="0.25">
      <c r="A1884" s="15">
        <v>19643</v>
      </c>
      <c r="B1884" s="7">
        <v>1102868597</v>
      </c>
      <c r="C1884" s="11">
        <v>45814.312442129602</v>
      </c>
      <c r="D1884" s="17" t="s">
        <v>839</v>
      </c>
      <c r="E1884" t="str">
        <f>IF(COUNTIF($B$2:B1884,B1884)&gt;1,"Duplicado","Único")</f>
        <v>Único</v>
      </c>
    </row>
    <row r="1885" spans="1:5" x14ac:dyDescent="0.25">
      <c r="A1885" s="15">
        <v>53814</v>
      </c>
      <c r="B1885" s="7">
        <v>1102877191</v>
      </c>
      <c r="C1885" s="11">
        <v>46057.426018518498</v>
      </c>
      <c r="D1885" s="17" t="s">
        <v>3702</v>
      </c>
      <c r="E1885" t="str">
        <f>IF(COUNTIF($B$2:B1885,B1885)&gt;1,"Duplicado","Único")</f>
        <v>Único</v>
      </c>
    </row>
    <row r="1886" spans="1:5" hidden="1" x14ac:dyDescent="0.25">
      <c r="A1886" s="15">
        <v>53814</v>
      </c>
      <c r="B1886" s="7">
        <v>1102877191</v>
      </c>
      <c r="C1886" s="11">
        <v>46013.614780092597</v>
      </c>
      <c r="D1886" s="17" t="s">
        <v>3045</v>
      </c>
      <c r="E1886" t="str">
        <f>IF(COUNTIF($B$2:B1886,B1886)&gt;1,"Duplicado","Único")</f>
        <v>Duplicado</v>
      </c>
    </row>
    <row r="1887" spans="1:5" x14ac:dyDescent="0.25">
      <c r="A1887" s="15">
        <v>46158</v>
      </c>
      <c r="B1887" s="7">
        <v>1102881735</v>
      </c>
      <c r="C1887" s="11">
        <v>45965.463113425903</v>
      </c>
      <c r="D1887" s="17" t="s">
        <v>2296</v>
      </c>
      <c r="E1887" t="str">
        <f>IF(COUNTIF($B$2:B1887,B1887)&gt;1,"Duplicado","Único")</f>
        <v>Único</v>
      </c>
    </row>
    <row r="1888" spans="1:5" x14ac:dyDescent="0.25">
      <c r="A1888" s="15">
        <v>17622</v>
      </c>
      <c r="B1888" s="7">
        <v>1102884114</v>
      </c>
      <c r="C1888" s="11">
        <v>46149.483680555597</v>
      </c>
      <c r="D1888" s="17" t="s">
        <v>4508</v>
      </c>
      <c r="E1888" t="str">
        <f>IF(COUNTIF($B$2:B1888,B1888)&gt;1,"Duplicado","Único")</f>
        <v>Único</v>
      </c>
    </row>
    <row r="1889" spans="1:5" hidden="1" x14ac:dyDescent="0.25">
      <c r="A1889" s="15">
        <v>17622</v>
      </c>
      <c r="B1889" s="7">
        <v>1102884114</v>
      </c>
      <c r="C1889" s="11">
        <v>46108.776458333297</v>
      </c>
      <c r="D1889" s="17" t="s">
        <v>1146</v>
      </c>
      <c r="E1889" t="str">
        <f>IF(COUNTIF($B$2:B1889,B1889)&gt;1,"Duplicado","Único")</f>
        <v>Duplicado</v>
      </c>
    </row>
    <row r="1890" spans="1:5" x14ac:dyDescent="0.25">
      <c r="A1890" s="15">
        <v>971</v>
      </c>
      <c r="B1890" s="7">
        <v>1102887952</v>
      </c>
      <c r="C1890" s="11">
        <v>46086.679895833302</v>
      </c>
      <c r="D1890" s="17" t="s">
        <v>3873</v>
      </c>
      <c r="E1890" t="str">
        <f>IF(COUNTIF($B$2:B1890,B1890)&gt;1,"Duplicado","Único")</f>
        <v>Único</v>
      </c>
    </row>
    <row r="1891" spans="1:5" hidden="1" x14ac:dyDescent="0.25">
      <c r="A1891" s="15">
        <v>971</v>
      </c>
      <c r="B1891" s="7">
        <v>1102887952</v>
      </c>
      <c r="C1891" s="11">
        <v>46036.378333333298</v>
      </c>
      <c r="D1891" s="17" t="s">
        <v>3159</v>
      </c>
      <c r="E1891" t="str">
        <f>IF(COUNTIF($B$2:B1891,B1891)&gt;1,"Duplicado","Único")</f>
        <v>Duplicado</v>
      </c>
    </row>
    <row r="1892" spans="1:5" x14ac:dyDescent="0.25">
      <c r="A1892" s="15">
        <v>31374</v>
      </c>
      <c r="B1892" s="7">
        <v>1102888775</v>
      </c>
      <c r="C1892" s="11">
        <v>45904.690601851798</v>
      </c>
      <c r="D1892" s="17" t="s">
        <v>1540</v>
      </c>
      <c r="E1892" t="str">
        <f>IF(COUNTIF($B$2:B1892,B1892)&gt;1,"Duplicado","Único")</f>
        <v>Único</v>
      </c>
    </row>
    <row r="1893" spans="1:5" x14ac:dyDescent="0.25">
      <c r="A1893" s="15">
        <v>36257</v>
      </c>
      <c r="B1893" s="7">
        <v>1103100759</v>
      </c>
      <c r="C1893" s="11">
        <v>45918.437349537002</v>
      </c>
      <c r="D1893" s="17" t="s">
        <v>1745</v>
      </c>
      <c r="E1893" t="str">
        <f>IF(COUNTIF($B$2:B1893,B1893)&gt;1,"Duplicado","Único")</f>
        <v>Único</v>
      </c>
    </row>
    <row r="1894" spans="1:5" x14ac:dyDescent="0.25">
      <c r="A1894" s="15">
        <v>46423</v>
      </c>
      <c r="B1894" s="7">
        <v>1103119689</v>
      </c>
      <c r="C1894" s="11">
        <v>45966.637199074103</v>
      </c>
      <c r="D1894" s="17" t="s">
        <v>2329</v>
      </c>
      <c r="E1894" t="str">
        <f>IF(COUNTIF($B$2:B1894,B1894)&gt;1,"Duplicado","Único")</f>
        <v>Único</v>
      </c>
    </row>
    <row r="1895" spans="1:5" x14ac:dyDescent="0.25">
      <c r="A1895" s="15">
        <v>14793</v>
      </c>
      <c r="B1895" s="7">
        <v>11035837</v>
      </c>
      <c r="C1895" s="11">
        <v>46120.508032407401</v>
      </c>
      <c r="D1895" s="17" t="s">
        <v>4282</v>
      </c>
      <c r="E1895" t="str">
        <f>IF(COUNTIF($B$2:B1895,B1895)&gt;1,"Duplicado","Único")</f>
        <v>Único</v>
      </c>
    </row>
    <row r="1896" spans="1:5" hidden="1" x14ac:dyDescent="0.25">
      <c r="A1896" s="15">
        <v>14793</v>
      </c>
      <c r="B1896" s="7">
        <v>11035837</v>
      </c>
      <c r="C1896" s="11">
        <v>46094.487025463</v>
      </c>
      <c r="D1896" s="17" t="s">
        <v>4044</v>
      </c>
      <c r="E1896" t="str">
        <f>IF(COUNTIF($B$2:B1896,B1896)&gt;1,"Duplicado","Único")</f>
        <v>Duplicado</v>
      </c>
    </row>
    <row r="1897" spans="1:5" x14ac:dyDescent="0.25">
      <c r="A1897" s="15">
        <v>55059</v>
      </c>
      <c r="B1897" s="7">
        <v>1103948093</v>
      </c>
      <c r="C1897" s="11">
        <v>46086.4588657407</v>
      </c>
      <c r="D1897" s="17" t="s">
        <v>3795</v>
      </c>
      <c r="E1897" t="str">
        <f>IF(COUNTIF($B$2:B1897,B1897)&gt;1,"Duplicado","Único")</f>
        <v>Único</v>
      </c>
    </row>
    <row r="1898" spans="1:5" hidden="1" x14ac:dyDescent="0.25">
      <c r="A1898" s="15">
        <v>55059</v>
      </c>
      <c r="B1898" s="7">
        <v>1103948093</v>
      </c>
      <c r="C1898" s="11">
        <v>46020.618842592601</v>
      </c>
      <c r="D1898" s="17" t="s">
        <v>3103</v>
      </c>
      <c r="E1898" t="str">
        <f>IF(COUNTIF($B$2:B1898,B1898)&gt;1,"Duplicado","Único")</f>
        <v>Duplicado</v>
      </c>
    </row>
    <row r="1899" spans="1:5" x14ac:dyDescent="0.25">
      <c r="A1899" s="15">
        <v>53764</v>
      </c>
      <c r="B1899" s="7">
        <v>1103948935</v>
      </c>
      <c r="C1899" s="11">
        <v>46057.430891203701</v>
      </c>
      <c r="D1899" s="17" t="s">
        <v>3703</v>
      </c>
      <c r="E1899" t="str">
        <f>IF(COUNTIF($B$2:B1899,B1899)&gt;1,"Duplicado","Único")</f>
        <v>Único</v>
      </c>
    </row>
    <row r="1900" spans="1:5" hidden="1" x14ac:dyDescent="0.25">
      <c r="A1900" s="15">
        <v>53764</v>
      </c>
      <c r="B1900" s="7">
        <v>1103948935</v>
      </c>
      <c r="C1900" s="11">
        <v>46013.527650463002</v>
      </c>
      <c r="D1900" s="17" t="s">
        <v>3041</v>
      </c>
      <c r="E1900" t="str">
        <f>IF(COUNTIF($B$2:B1900,B1900)&gt;1,"Duplicado","Único")</f>
        <v>Duplicado</v>
      </c>
    </row>
    <row r="1901" spans="1:5" x14ac:dyDescent="0.25">
      <c r="A1901" s="15">
        <v>45335</v>
      </c>
      <c r="B1901" s="7">
        <v>1104870595</v>
      </c>
      <c r="C1901" s="11">
        <v>45959.3573958333</v>
      </c>
      <c r="D1901" s="17" t="s">
        <v>2209</v>
      </c>
      <c r="E1901" t="str">
        <f>IF(COUNTIF($B$2:B1901,B1901)&gt;1,"Duplicado","Único")</f>
        <v>Único</v>
      </c>
    </row>
    <row r="1902" spans="1:5" x14ac:dyDescent="0.25">
      <c r="A1902" s="15">
        <v>49391</v>
      </c>
      <c r="B1902" s="7">
        <v>1104941429</v>
      </c>
      <c r="C1902" s="11">
        <v>45981.676585648202</v>
      </c>
      <c r="D1902" s="17" t="s">
        <v>2649</v>
      </c>
      <c r="E1902" t="str">
        <f>IF(COUNTIF($B$2:B1902,B1902)&gt;1,"Duplicado","Único")</f>
        <v>Único</v>
      </c>
    </row>
    <row r="1903" spans="1:5" x14ac:dyDescent="0.25">
      <c r="A1903" s="15">
        <v>50975</v>
      </c>
      <c r="B1903" s="7">
        <v>11064893</v>
      </c>
      <c r="C1903" s="11">
        <v>46050.680023148103</v>
      </c>
      <c r="D1903" s="17" t="s">
        <v>3398</v>
      </c>
      <c r="E1903" t="str">
        <f>IF(COUNTIF($B$2:B1903,B1903)&gt;1,"Duplicado","Único")</f>
        <v>Único</v>
      </c>
    </row>
    <row r="1904" spans="1:5" hidden="1" x14ac:dyDescent="0.25">
      <c r="A1904" s="15">
        <v>50975</v>
      </c>
      <c r="B1904" s="7">
        <v>11064893</v>
      </c>
      <c r="C1904" s="11">
        <v>46000.620104166701</v>
      </c>
      <c r="D1904" s="17" t="s">
        <v>2836</v>
      </c>
      <c r="E1904" t="str">
        <f>IF(COUNTIF($B$2:B1904,B1904)&gt;1,"Duplicado","Único")</f>
        <v>Duplicado</v>
      </c>
    </row>
    <row r="1905" spans="1:5" x14ac:dyDescent="0.25">
      <c r="A1905" s="15">
        <v>45853</v>
      </c>
      <c r="B1905" s="7">
        <v>1106714084</v>
      </c>
      <c r="C1905" s="11">
        <v>45960.649942129603</v>
      </c>
      <c r="D1905" s="17" t="s">
        <v>2266</v>
      </c>
      <c r="E1905" t="str">
        <f>IF(COUNTIF($B$2:B1905,B1905)&gt;1,"Duplicado","Único")</f>
        <v>Único</v>
      </c>
    </row>
    <row r="1906" spans="1:5" x14ac:dyDescent="0.25">
      <c r="A1906" s="15">
        <v>17305</v>
      </c>
      <c r="B1906" s="7">
        <v>1106889839</v>
      </c>
      <c r="C1906" s="11">
        <v>45791.371701388904</v>
      </c>
      <c r="D1906" s="17" t="s">
        <v>698</v>
      </c>
      <c r="E1906" t="str">
        <f>IF(COUNTIF($B$2:B1906,B1906)&gt;1,"Duplicado","Único")</f>
        <v>Único</v>
      </c>
    </row>
    <row r="1907" spans="1:5" x14ac:dyDescent="0.25">
      <c r="A1907" s="15">
        <v>49336</v>
      </c>
      <c r="B1907" s="7">
        <v>1106895787</v>
      </c>
      <c r="C1907" s="11">
        <v>45981.435891203699</v>
      </c>
      <c r="D1907" s="17" t="s">
        <v>2639</v>
      </c>
      <c r="E1907" t="str">
        <f>IF(COUNTIF($B$2:B1907,B1907)&gt;1,"Duplicado","Único")</f>
        <v>Único</v>
      </c>
    </row>
    <row r="1908" spans="1:5" x14ac:dyDescent="0.25">
      <c r="A1908" s="15">
        <v>15006</v>
      </c>
      <c r="B1908" s="7">
        <v>1107034607</v>
      </c>
      <c r="C1908" s="11">
        <v>46120.6547685185</v>
      </c>
      <c r="D1908" s="17" t="s">
        <v>4331</v>
      </c>
      <c r="E1908" t="str">
        <f>IF(COUNTIF($B$2:B1908,B1908)&gt;1,"Duplicado","Único")</f>
        <v>Único</v>
      </c>
    </row>
    <row r="1909" spans="1:5" hidden="1" x14ac:dyDescent="0.25">
      <c r="A1909" s="15">
        <v>15006</v>
      </c>
      <c r="B1909" s="7">
        <v>1107034607</v>
      </c>
      <c r="C1909" s="11">
        <v>46094.496273148201</v>
      </c>
      <c r="D1909" s="17" t="s">
        <v>4056</v>
      </c>
      <c r="E1909" t="str">
        <f>IF(COUNTIF($B$2:B1909,B1909)&gt;1,"Duplicado","Único")</f>
        <v>Duplicado</v>
      </c>
    </row>
    <row r="1910" spans="1:5" x14ac:dyDescent="0.25">
      <c r="A1910" s="15">
        <v>26075</v>
      </c>
      <c r="B1910" s="7">
        <v>1107035680</v>
      </c>
      <c r="C1910" s="11">
        <v>45866.650150463</v>
      </c>
      <c r="D1910" s="17" t="s">
        <v>1169</v>
      </c>
      <c r="E1910" t="str">
        <f>IF(COUNTIF($B$2:B1910,B1910)&gt;1,"Duplicado","Único")</f>
        <v>Único</v>
      </c>
    </row>
    <row r="1911" spans="1:5" x14ac:dyDescent="0.25">
      <c r="A1911" s="15">
        <v>41570</v>
      </c>
      <c r="B1911" s="7">
        <v>1107050707</v>
      </c>
      <c r="C1911" s="11">
        <v>45938.505358796298</v>
      </c>
      <c r="D1911" s="17" t="s">
        <v>1995</v>
      </c>
      <c r="E1911" t="str">
        <f>IF(COUNTIF($B$2:B1911,B1911)&gt;1,"Duplicado","Único")</f>
        <v>Único</v>
      </c>
    </row>
    <row r="1912" spans="1:5" x14ac:dyDescent="0.25">
      <c r="A1912" s="15">
        <v>37373</v>
      </c>
      <c r="B1912" s="7">
        <v>1107052392</v>
      </c>
      <c r="C1912" s="11">
        <v>45923.3894560185</v>
      </c>
      <c r="D1912" s="17" t="s">
        <v>1788</v>
      </c>
      <c r="E1912" t="str">
        <f>IF(COUNTIF($B$2:B1912,B1912)&gt;1,"Duplicado","Único")</f>
        <v>Único</v>
      </c>
    </row>
    <row r="1913" spans="1:5" x14ac:dyDescent="0.25">
      <c r="A1913" s="15">
        <v>15226</v>
      </c>
      <c r="B1913" s="7">
        <v>1107058576</v>
      </c>
      <c r="C1913" s="11">
        <v>46120.655358796299</v>
      </c>
      <c r="D1913" s="17" t="s">
        <v>4332</v>
      </c>
      <c r="E1913" t="str">
        <f>IF(COUNTIF($B$2:B1913,B1913)&gt;1,"Duplicado","Único")</f>
        <v>Único</v>
      </c>
    </row>
    <row r="1914" spans="1:5" hidden="1" x14ac:dyDescent="0.25">
      <c r="A1914" s="15">
        <v>15226</v>
      </c>
      <c r="B1914" s="7">
        <v>1107058576</v>
      </c>
      <c r="C1914" s="11">
        <v>46094.4291898148</v>
      </c>
      <c r="D1914" s="17" t="s">
        <v>4032</v>
      </c>
      <c r="E1914" t="str">
        <f>IF(COUNTIF($B$2:B1914,B1914)&gt;1,"Duplicado","Único")</f>
        <v>Duplicado</v>
      </c>
    </row>
    <row r="1915" spans="1:5" x14ac:dyDescent="0.25">
      <c r="A1915" s="15">
        <v>51438</v>
      </c>
      <c r="B1915" s="7">
        <v>1107077842</v>
      </c>
      <c r="C1915" s="11">
        <v>46051.4702314815</v>
      </c>
      <c r="D1915" s="17" t="s">
        <v>3491</v>
      </c>
      <c r="E1915" t="str">
        <f>IF(COUNTIF($B$2:B1915,B1915)&gt;1,"Duplicado","Único")</f>
        <v>Único</v>
      </c>
    </row>
    <row r="1916" spans="1:5" hidden="1" x14ac:dyDescent="0.25">
      <c r="A1916" s="15">
        <v>51438</v>
      </c>
      <c r="B1916" s="7">
        <v>1107077842</v>
      </c>
      <c r="C1916" s="11">
        <v>46002.621689814798</v>
      </c>
      <c r="D1916" s="17" t="s">
        <v>2890</v>
      </c>
      <c r="E1916" t="str">
        <f>IF(COUNTIF($B$2:B1916,B1916)&gt;1,"Duplicado","Único")</f>
        <v>Duplicado</v>
      </c>
    </row>
    <row r="1917" spans="1:5" x14ac:dyDescent="0.25">
      <c r="A1917" s="15">
        <v>19539</v>
      </c>
      <c r="B1917" s="7">
        <v>1107096855</v>
      </c>
      <c r="C1917" s="11">
        <v>45814.306689814803</v>
      </c>
      <c r="D1917" s="17" t="s">
        <v>838</v>
      </c>
      <c r="E1917" t="str">
        <f>IF(COUNTIF($B$2:B1917,B1917)&gt;1,"Duplicado","Único")</f>
        <v>Único</v>
      </c>
    </row>
    <row r="1918" spans="1:5" x14ac:dyDescent="0.25">
      <c r="A1918" s="15">
        <v>22194</v>
      </c>
      <c r="B1918" s="7">
        <v>1107104008</v>
      </c>
      <c r="C1918" s="11">
        <v>45835.693495370397</v>
      </c>
      <c r="D1918" s="17" t="s">
        <v>996</v>
      </c>
      <c r="E1918" t="str">
        <f>IF(COUNTIF($B$2:B1918,B1918)&gt;1,"Duplicado","Único")</f>
        <v>Único</v>
      </c>
    </row>
    <row r="1919" spans="1:5" x14ac:dyDescent="0.25">
      <c r="A1919" s="15">
        <v>45210</v>
      </c>
      <c r="B1919" s="7">
        <v>1107104850</v>
      </c>
      <c r="C1919" s="11">
        <v>45958.744236111103</v>
      </c>
      <c r="D1919" s="17" t="s">
        <v>2198</v>
      </c>
      <c r="E1919" t="str">
        <f>IF(COUNTIF($B$2:B1919,B1919)&gt;1,"Duplicado","Único")</f>
        <v>Único</v>
      </c>
    </row>
    <row r="1920" spans="1:5" x14ac:dyDescent="0.25">
      <c r="A1920" s="15">
        <v>17642</v>
      </c>
      <c r="B1920" s="7">
        <v>1107520651</v>
      </c>
      <c r="C1920" s="11">
        <v>46149.484120370398</v>
      </c>
      <c r="D1920" s="17" t="s">
        <v>4509</v>
      </c>
      <c r="E1920" t="str">
        <f>IF(COUNTIF($B$2:B1920,B1920)&gt;1,"Duplicado","Único")</f>
        <v>Único</v>
      </c>
    </row>
    <row r="1921" spans="1:5" hidden="1" x14ac:dyDescent="0.25">
      <c r="A1921" s="15">
        <v>17642</v>
      </c>
      <c r="B1921" s="7">
        <v>1107520651</v>
      </c>
      <c r="C1921" s="11">
        <v>46108.782453703701</v>
      </c>
      <c r="D1921" s="17" t="s">
        <v>4228</v>
      </c>
      <c r="E1921" t="str">
        <f>IF(COUNTIF($B$2:B1921,B1921)&gt;1,"Duplicado","Único")</f>
        <v>Duplicado</v>
      </c>
    </row>
    <row r="1922" spans="1:5" x14ac:dyDescent="0.25">
      <c r="A1922" s="15">
        <v>20834</v>
      </c>
      <c r="B1922" s="7">
        <v>1107520914</v>
      </c>
      <c r="C1922" s="11">
        <v>45821.6957175926</v>
      </c>
      <c r="D1922" s="17" t="s">
        <v>909</v>
      </c>
      <c r="E1922" t="str">
        <f>IF(COUNTIF($B$2:B1922,B1922)&gt;1,"Duplicado","Único")</f>
        <v>Único</v>
      </c>
    </row>
    <row r="1923" spans="1:5" x14ac:dyDescent="0.25">
      <c r="A1923" s="15">
        <v>25945</v>
      </c>
      <c r="B1923" s="7">
        <v>1107522357</v>
      </c>
      <c r="C1923" s="11">
        <v>45866.625682870399</v>
      </c>
      <c r="D1923" s="17" t="s">
        <v>1158</v>
      </c>
      <c r="E1923" t="str">
        <f>IF(COUNTIF($B$2:B1923,B1923)&gt;1,"Duplicado","Único")</f>
        <v>Único</v>
      </c>
    </row>
    <row r="1924" spans="1:5" x14ac:dyDescent="0.25">
      <c r="A1924" s="15">
        <v>43117</v>
      </c>
      <c r="B1924" s="7">
        <v>1107531357</v>
      </c>
      <c r="C1924" s="11">
        <v>45953.457928240699</v>
      </c>
      <c r="D1924" s="17" t="s">
        <v>2048</v>
      </c>
      <c r="E1924" t="str">
        <f>IF(COUNTIF($B$2:B1924,B1924)&gt;1,"Duplicado","Único")</f>
        <v>Único</v>
      </c>
    </row>
    <row r="1925" spans="1:5" x14ac:dyDescent="0.25">
      <c r="A1925" s="15">
        <v>46941</v>
      </c>
      <c r="B1925" s="7">
        <v>1109381438</v>
      </c>
      <c r="C1925" s="11">
        <v>45968.387106481503</v>
      </c>
      <c r="D1925" s="17" t="s">
        <v>2375</v>
      </c>
      <c r="E1925" t="str">
        <f>IF(COUNTIF($B$2:B1925,B1925)&gt;1,"Duplicado","Único")</f>
        <v>Único</v>
      </c>
    </row>
    <row r="1926" spans="1:5" x14ac:dyDescent="0.25">
      <c r="A1926" s="15">
        <v>49834</v>
      </c>
      <c r="B1926" s="7">
        <v>1110062526</v>
      </c>
      <c r="C1926" s="11">
        <v>46050.457002314797</v>
      </c>
      <c r="D1926" s="17" t="s">
        <v>3252</v>
      </c>
      <c r="E1926" t="str">
        <f>IF(COUNTIF($B$2:B1926,B1926)&gt;1,"Duplicado","Único")</f>
        <v>Único</v>
      </c>
    </row>
    <row r="1927" spans="1:5" hidden="1" x14ac:dyDescent="0.25">
      <c r="A1927" s="15">
        <v>49834</v>
      </c>
      <c r="B1927" s="7">
        <v>1110062526</v>
      </c>
      <c r="C1927" s="11">
        <v>45985.631666666697</v>
      </c>
      <c r="D1927" s="17" t="s">
        <v>2700</v>
      </c>
      <c r="E1927" t="str">
        <f>IF(COUNTIF($B$2:B1927,B1927)&gt;1,"Duplicado","Único")</f>
        <v>Duplicado</v>
      </c>
    </row>
    <row r="1928" spans="1:5" x14ac:dyDescent="0.25">
      <c r="A1928" s="15">
        <v>45961</v>
      </c>
      <c r="B1928" s="7">
        <v>1110262701</v>
      </c>
      <c r="C1928" s="11">
        <v>45961.459120370397</v>
      </c>
      <c r="D1928" s="17" t="s">
        <v>2276</v>
      </c>
      <c r="E1928" t="str">
        <f>IF(COUNTIF($B$2:B1928,B1928)&gt;1,"Duplicado","Único")</f>
        <v>Único</v>
      </c>
    </row>
    <row r="1929" spans="1:5" x14ac:dyDescent="0.25">
      <c r="A1929" s="15">
        <v>44084</v>
      </c>
      <c r="B1929" s="7">
        <v>1110451080</v>
      </c>
      <c r="C1929" s="11">
        <v>45958.391921296301</v>
      </c>
      <c r="D1929" s="17" t="s">
        <v>2108</v>
      </c>
      <c r="E1929" t="str">
        <f>IF(COUNTIF($B$2:B1929,B1929)&gt;1,"Duplicado","Único")</f>
        <v>Único</v>
      </c>
    </row>
    <row r="1930" spans="1:5" x14ac:dyDescent="0.25">
      <c r="A1930" s="15">
        <v>15111</v>
      </c>
      <c r="B1930" s="7">
        <v>1110466829</v>
      </c>
      <c r="C1930" s="11">
        <v>46120.655914351897</v>
      </c>
      <c r="D1930" s="17" t="s">
        <v>4333</v>
      </c>
      <c r="E1930" t="str">
        <f>IF(COUNTIF($B$2:B1930,B1930)&gt;1,"Duplicado","Único")</f>
        <v>Único</v>
      </c>
    </row>
    <row r="1931" spans="1:5" hidden="1" x14ac:dyDescent="0.25">
      <c r="A1931" s="15">
        <v>15111</v>
      </c>
      <c r="B1931" s="7">
        <v>1110466829</v>
      </c>
      <c r="C1931" s="11">
        <v>46094.4242592593</v>
      </c>
      <c r="D1931" s="17" t="s">
        <v>4030</v>
      </c>
      <c r="E1931" t="str">
        <f>IF(COUNTIF($B$2:B1931,B1931)&gt;1,"Duplicado","Único")</f>
        <v>Duplicado</v>
      </c>
    </row>
    <row r="1932" spans="1:5" x14ac:dyDescent="0.25">
      <c r="A1932" s="15">
        <v>32543</v>
      </c>
      <c r="B1932" s="7">
        <v>1110467339</v>
      </c>
      <c r="C1932" s="11">
        <v>45909.476678240702</v>
      </c>
      <c r="D1932" s="17" t="s">
        <v>1618</v>
      </c>
      <c r="E1932" t="str">
        <f>IF(COUNTIF($B$2:B1932,B1932)&gt;1,"Duplicado","Único")</f>
        <v>Único</v>
      </c>
    </row>
    <row r="1933" spans="1:5" x14ac:dyDescent="0.25">
      <c r="A1933" s="15">
        <v>38799</v>
      </c>
      <c r="B1933" s="7">
        <v>1110473506</v>
      </c>
      <c r="C1933" s="11">
        <v>45929.417002314804</v>
      </c>
      <c r="D1933" s="17" t="s">
        <v>1855</v>
      </c>
      <c r="E1933" t="str">
        <f>IF(COUNTIF($B$2:B1933,B1933)&gt;1,"Duplicado","Único")</f>
        <v>Único</v>
      </c>
    </row>
    <row r="1934" spans="1:5" x14ac:dyDescent="0.25">
      <c r="A1934" s="15">
        <v>27520</v>
      </c>
      <c r="B1934" s="7">
        <v>1110485353</v>
      </c>
      <c r="C1934" s="11">
        <v>45874.670601851903</v>
      </c>
      <c r="D1934" s="17" t="s">
        <v>1275</v>
      </c>
      <c r="E1934" t="str">
        <f>IF(COUNTIF($B$2:B1934,B1934)&gt;1,"Duplicado","Único")</f>
        <v>Único</v>
      </c>
    </row>
    <row r="1935" spans="1:5" x14ac:dyDescent="0.25">
      <c r="A1935" s="15">
        <v>2935</v>
      </c>
      <c r="B1935" s="7">
        <v>1110490292</v>
      </c>
      <c r="C1935" s="11">
        <v>46086.7354976852</v>
      </c>
      <c r="D1935" s="17" t="s">
        <v>3922</v>
      </c>
      <c r="E1935" t="str">
        <f>IF(COUNTIF($B$2:B1935,B1935)&gt;1,"Duplicado","Único")</f>
        <v>Único</v>
      </c>
    </row>
    <row r="1936" spans="1:5" hidden="1" x14ac:dyDescent="0.25">
      <c r="A1936" s="15">
        <v>2935</v>
      </c>
      <c r="B1936" s="7">
        <v>1110490292</v>
      </c>
      <c r="C1936" s="11">
        <v>46050.609606481499</v>
      </c>
      <c r="D1936" s="17" t="s">
        <v>3315</v>
      </c>
      <c r="E1936" t="str">
        <f>IF(COUNTIF($B$2:B1936,B1936)&gt;1,"Duplicado","Único")</f>
        <v>Duplicado</v>
      </c>
    </row>
    <row r="1937" spans="1:5" x14ac:dyDescent="0.25">
      <c r="A1937" s="15">
        <v>21897</v>
      </c>
      <c r="B1937" s="7">
        <v>1110493356</v>
      </c>
      <c r="C1937" s="11">
        <v>45834.521446759303</v>
      </c>
      <c r="D1937" s="17" t="s">
        <v>973</v>
      </c>
      <c r="E1937" t="str">
        <f>IF(COUNTIF($B$2:B1937,B1937)&gt;1,"Duplicado","Único")</f>
        <v>Único</v>
      </c>
    </row>
    <row r="1938" spans="1:5" x14ac:dyDescent="0.25">
      <c r="A1938" s="15">
        <v>47598</v>
      </c>
      <c r="B1938" s="7">
        <v>1110497628</v>
      </c>
      <c r="C1938" s="11">
        <v>45972.446331018502</v>
      </c>
      <c r="D1938" s="17" t="s">
        <v>2432</v>
      </c>
      <c r="E1938" t="str">
        <f>IF(COUNTIF($B$2:B1938,B1938)&gt;1,"Duplicado","Único")</f>
        <v>Único</v>
      </c>
    </row>
    <row r="1939" spans="1:5" x14ac:dyDescent="0.25">
      <c r="A1939" s="15">
        <v>55674</v>
      </c>
      <c r="B1939" s="7">
        <v>1110500696</v>
      </c>
      <c r="C1939" s="11">
        <v>46086.474085648202</v>
      </c>
      <c r="D1939" s="17" t="s">
        <v>3806</v>
      </c>
      <c r="E1939" t="str">
        <f>IF(COUNTIF($B$2:B1939,B1939)&gt;1,"Duplicado","Único")</f>
        <v>Único</v>
      </c>
    </row>
    <row r="1940" spans="1:5" hidden="1" x14ac:dyDescent="0.25">
      <c r="A1940" s="15">
        <v>55674</v>
      </c>
      <c r="B1940" s="7">
        <v>1110500696</v>
      </c>
      <c r="C1940" s="11">
        <v>46024.490682870397</v>
      </c>
      <c r="D1940" s="17" t="s">
        <v>3118</v>
      </c>
      <c r="E1940" t="str">
        <f>IF(COUNTIF($B$2:B1940,B1940)&gt;1,"Duplicado","Único")</f>
        <v>Duplicado</v>
      </c>
    </row>
    <row r="1941" spans="1:5" x14ac:dyDescent="0.25">
      <c r="A1941" s="15">
        <v>45759</v>
      </c>
      <c r="B1941" s="7">
        <v>1110505865</v>
      </c>
      <c r="C1941" s="11">
        <v>45960.6341203704</v>
      </c>
      <c r="D1941" s="17" t="s">
        <v>2256</v>
      </c>
      <c r="E1941" t="str">
        <f>IF(COUNTIF($B$2:B1941,B1941)&gt;1,"Duplicado","Único")</f>
        <v>Único</v>
      </c>
    </row>
    <row r="1942" spans="1:5" x14ac:dyDescent="0.25">
      <c r="A1942" s="15">
        <v>48895</v>
      </c>
      <c r="B1942" s="7">
        <v>1110511053</v>
      </c>
      <c r="C1942" s="11">
        <v>45980.477754629603</v>
      </c>
      <c r="D1942" s="17" t="s">
        <v>2614</v>
      </c>
      <c r="E1942" t="str">
        <f>IF(COUNTIF($B$2:B1942,B1942)&gt;1,"Duplicado","Único")</f>
        <v>Único</v>
      </c>
    </row>
    <row r="1943" spans="1:5" x14ac:dyDescent="0.25">
      <c r="A1943" s="15">
        <v>16653</v>
      </c>
      <c r="B1943" s="7">
        <v>1110514278</v>
      </c>
      <c r="C1943" s="11">
        <v>46149.513576388897</v>
      </c>
      <c r="D1943" s="17" t="s">
        <v>4520</v>
      </c>
      <c r="E1943" t="str">
        <f>IF(COUNTIF($B$2:B1943,B1943)&gt;1,"Duplicado","Único")</f>
        <v>Único</v>
      </c>
    </row>
    <row r="1944" spans="1:5" hidden="1" x14ac:dyDescent="0.25">
      <c r="A1944" s="15">
        <v>16653</v>
      </c>
      <c r="B1944" s="7">
        <v>1110514278</v>
      </c>
      <c r="C1944" s="11">
        <v>46101.845347222203</v>
      </c>
      <c r="D1944" s="17" t="s">
        <v>4169</v>
      </c>
      <c r="E1944" t="str">
        <f>IF(COUNTIF($B$2:B1944,B1944)&gt;1,"Duplicado","Único")</f>
        <v>Duplicado</v>
      </c>
    </row>
    <row r="1945" spans="1:5" x14ac:dyDescent="0.25">
      <c r="A1945" s="15">
        <v>53534</v>
      </c>
      <c r="B1945" s="7">
        <v>1110534892</v>
      </c>
      <c r="C1945" s="11">
        <v>46057.393263888902</v>
      </c>
      <c r="D1945" s="17" t="s">
        <v>3668</v>
      </c>
      <c r="E1945" t="str">
        <f>IF(COUNTIF($B$2:B1945,B1945)&gt;1,"Duplicado","Único")</f>
        <v>Único</v>
      </c>
    </row>
    <row r="1946" spans="1:5" hidden="1" x14ac:dyDescent="0.25">
      <c r="A1946" s="15">
        <v>53534</v>
      </c>
      <c r="B1946" s="7">
        <v>1110534892</v>
      </c>
      <c r="C1946" s="11">
        <v>46013.476979166699</v>
      </c>
      <c r="D1946" s="17" t="s">
        <v>3016</v>
      </c>
      <c r="E1946" t="str">
        <f>IF(COUNTIF($B$2:B1946,B1946)&gt;1,"Duplicado","Único")</f>
        <v>Duplicado</v>
      </c>
    </row>
    <row r="1947" spans="1:5" x14ac:dyDescent="0.25">
      <c r="A1947" s="15">
        <v>48260</v>
      </c>
      <c r="B1947" s="7">
        <v>1110540347</v>
      </c>
      <c r="C1947" s="11">
        <v>45975.663124999999</v>
      </c>
      <c r="D1947" s="17" t="s">
        <v>2522</v>
      </c>
      <c r="E1947" t="str">
        <f>IF(COUNTIF($B$2:B1947,B1947)&gt;1,"Duplicado","Único")</f>
        <v>Único</v>
      </c>
    </row>
    <row r="1948" spans="1:5" hidden="1" x14ac:dyDescent="0.25">
      <c r="A1948" s="15">
        <v>3149</v>
      </c>
      <c r="B1948" s="7">
        <v>1110540763</v>
      </c>
      <c r="C1948" s="11">
        <v>46086.7913541667</v>
      </c>
      <c r="D1948" s="17" t="s">
        <v>3986</v>
      </c>
      <c r="E1948" t="str">
        <f>IF(COUNTIF($B$2:B2580,B1948)&gt;1,"Duplicado","Único")</f>
        <v>Duplicado</v>
      </c>
    </row>
    <row r="1949" spans="1:5" hidden="1" x14ac:dyDescent="0.25">
      <c r="A1949" s="15">
        <v>3149</v>
      </c>
      <c r="B1949" s="7">
        <v>1110540763</v>
      </c>
      <c r="C1949" s="11">
        <v>46055.403645833299</v>
      </c>
      <c r="D1949" s="17" t="s">
        <v>3583</v>
      </c>
      <c r="E1949" t="str">
        <f>IF(COUNTIF($B$2:B1949,B1949)&gt;1,"Duplicado","Único")</f>
        <v>Duplicado</v>
      </c>
    </row>
    <row r="1950" spans="1:5" x14ac:dyDescent="0.25">
      <c r="A1950" s="15">
        <v>52848</v>
      </c>
      <c r="B1950" s="7">
        <v>1110560190</v>
      </c>
      <c r="C1950" s="11">
        <v>46051.6386458333</v>
      </c>
      <c r="D1950" s="17" t="s">
        <v>3548</v>
      </c>
      <c r="E1950" t="str">
        <f>IF(COUNTIF($B$2:B1950,B1950)&gt;1,"Duplicado","Único")</f>
        <v>Único</v>
      </c>
    </row>
    <row r="1951" spans="1:5" hidden="1" x14ac:dyDescent="0.25">
      <c r="A1951" s="15">
        <v>52848</v>
      </c>
      <c r="B1951" s="7">
        <v>1110560190</v>
      </c>
      <c r="C1951" s="11">
        <v>46009.3907175926</v>
      </c>
      <c r="D1951" s="17" t="s">
        <v>2974</v>
      </c>
      <c r="E1951" t="str">
        <f>IF(COUNTIF($B$2:B1951,B1951)&gt;1,"Duplicado","Único")</f>
        <v>Duplicado</v>
      </c>
    </row>
    <row r="1952" spans="1:5" x14ac:dyDescent="0.25">
      <c r="A1952" s="15">
        <v>22118</v>
      </c>
      <c r="B1952" s="7">
        <v>1110561998</v>
      </c>
      <c r="C1952" s="11">
        <v>45835.673229166699</v>
      </c>
      <c r="D1952" s="17" t="s">
        <v>990</v>
      </c>
      <c r="E1952" t="str">
        <f>IF(COUNTIF($B$2:B1952,B1952)&gt;1,"Duplicado","Único")</f>
        <v>Único</v>
      </c>
    </row>
    <row r="1953" spans="1:5" x14ac:dyDescent="0.25">
      <c r="A1953" s="15">
        <v>31985</v>
      </c>
      <c r="B1953" s="7">
        <v>1110565893</v>
      </c>
      <c r="C1953" s="11">
        <v>45908.343877314801</v>
      </c>
      <c r="D1953" s="17" t="s">
        <v>1578</v>
      </c>
      <c r="E1953" t="str">
        <f>IF(COUNTIF($B$2:B1953,B1953)&gt;1,"Duplicado","Único")</f>
        <v>Único</v>
      </c>
    </row>
    <row r="1954" spans="1:5" hidden="1" x14ac:dyDescent="0.25">
      <c r="A1954" s="15">
        <v>21822</v>
      </c>
      <c r="B1954" s="7">
        <v>1110565893</v>
      </c>
      <c r="C1954" s="11">
        <v>45834.514687499999</v>
      </c>
      <c r="D1954" s="17" t="s">
        <v>971</v>
      </c>
      <c r="E1954" t="str">
        <f>IF(COUNTIF($B$2:B1954,B1954)&gt;1,"Duplicado","Único")</f>
        <v>Duplicado</v>
      </c>
    </row>
    <row r="1955" spans="1:5" x14ac:dyDescent="0.25">
      <c r="A1955" s="15">
        <v>43848</v>
      </c>
      <c r="B1955" s="7">
        <v>1110569166</v>
      </c>
      <c r="C1955" s="11">
        <v>45957.712291666699</v>
      </c>
      <c r="D1955" s="17" t="s">
        <v>2098</v>
      </c>
      <c r="E1955" t="str">
        <f>IF(COUNTIF($B$2:B1955,B1955)&gt;1,"Duplicado","Único")</f>
        <v>Único</v>
      </c>
    </row>
    <row r="1956" spans="1:5" x14ac:dyDescent="0.25">
      <c r="A1956" s="15">
        <v>49899</v>
      </c>
      <c r="B1956" s="7">
        <v>1110571779</v>
      </c>
      <c r="C1956" s="11">
        <v>46050.496319444399</v>
      </c>
      <c r="D1956" s="17" t="s">
        <v>3276</v>
      </c>
      <c r="E1956" t="str">
        <f>IF(COUNTIF($B$2:B1956,B1956)&gt;1,"Duplicado","Único")</f>
        <v>Único</v>
      </c>
    </row>
    <row r="1957" spans="1:5" hidden="1" x14ac:dyDescent="0.25">
      <c r="A1957" s="15">
        <v>49899</v>
      </c>
      <c r="B1957" s="7">
        <v>1110571779</v>
      </c>
      <c r="C1957" s="11">
        <v>45986.366134259297</v>
      </c>
      <c r="D1957" s="17" t="s">
        <v>2706</v>
      </c>
      <c r="E1957" t="str">
        <f>IF(COUNTIF($B$2:B1957,B1957)&gt;1,"Duplicado","Único")</f>
        <v>Duplicado</v>
      </c>
    </row>
    <row r="1958" spans="1:5" x14ac:dyDescent="0.25">
      <c r="A1958" s="15">
        <v>39415</v>
      </c>
      <c r="B1958" s="7">
        <v>1110574938</v>
      </c>
      <c r="C1958" s="11">
        <v>45930.393668981502</v>
      </c>
      <c r="D1958" s="17" t="s">
        <v>1878</v>
      </c>
      <c r="E1958" t="str">
        <f>IF(COUNTIF($B$2:B1958,B1958)&gt;1,"Duplicado","Único")</f>
        <v>Único</v>
      </c>
    </row>
    <row r="1959" spans="1:5" x14ac:dyDescent="0.25">
      <c r="A1959" s="15">
        <v>49443</v>
      </c>
      <c r="B1959" s="7">
        <v>1110576229</v>
      </c>
      <c r="C1959" s="11">
        <v>45981.682997685202</v>
      </c>
      <c r="D1959" s="17" t="s">
        <v>2654</v>
      </c>
      <c r="E1959" t="str">
        <f>IF(COUNTIF($B$2:B1959,B1959)&gt;1,"Duplicado","Único")</f>
        <v>Único</v>
      </c>
    </row>
    <row r="1960" spans="1:5" x14ac:dyDescent="0.25">
      <c r="A1960" s="15">
        <v>44183</v>
      </c>
      <c r="B1960" s="7">
        <v>1110581590</v>
      </c>
      <c r="C1960" s="11">
        <v>45958.3972685185</v>
      </c>
      <c r="D1960" s="17" t="s">
        <v>2111</v>
      </c>
      <c r="E1960" t="str">
        <f>IF(COUNTIF($B$2:B1960,B1960)&gt;1,"Duplicado","Único")</f>
        <v>Único</v>
      </c>
    </row>
    <row r="1961" spans="1:5" x14ac:dyDescent="0.25">
      <c r="A1961" s="15">
        <v>19168</v>
      </c>
      <c r="B1961" s="7">
        <v>11105845</v>
      </c>
      <c r="C1961" s="11">
        <v>45813.737743055601</v>
      </c>
      <c r="D1961" s="17" t="s">
        <v>815</v>
      </c>
      <c r="E1961" t="str">
        <f>IF(COUNTIF($B$2:B1961,B1961)&gt;1,"Duplicado","Único")</f>
        <v>Único</v>
      </c>
    </row>
    <row r="1962" spans="1:5" x14ac:dyDescent="0.25">
      <c r="A1962" s="15">
        <v>30287</v>
      </c>
      <c r="B1962" s="7">
        <v>1110592181</v>
      </c>
      <c r="C1962" s="11">
        <v>45901.601493055598</v>
      </c>
      <c r="D1962" s="17" t="s">
        <v>1489</v>
      </c>
      <c r="E1962" t="str">
        <f>IF(COUNTIF($B$2:B1962,B1962)&gt;1,"Duplicado","Único")</f>
        <v>Único</v>
      </c>
    </row>
    <row r="1963" spans="1:5" x14ac:dyDescent="0.25">
      <c r="A1963" s="15">
        <v>27249</v>
      </c>
      <c r="B1963" s="7">
        <v>1110592744</v>
      </c>
      <c r="C1963" s="11">
        <v>45874.491817129601</v>
      </c>
      <c r="D1963" s="17" t="s">
        <v>1256</v>
      </c>
      <c r="E1963" t="str">
        <f>IF(COUNTIF($B$2:B1963,B1963)&gt;1,"Duplicado","Único")</f>
        <v>Único</v>
      </c>
    </row>
    <row r="1964" spans="1:5" x14ac:dyDescent="0.25">
      <c r="A1964" s="15">
        <v>3630</v>
      </c>
      <c r="B1964" s="7">
        <v>1110596071</v>
      </c>
      <c r="C1964" s="11">
        <v>46086.767534722203</v>
      </c>
      <c r="D1964" s="17" t="s">
        <v>1004</v>
      </c>
      <c r="E1964" t="str">
        <f>IF(COUNTIF($B$2:B1964,B1964)&gt;1,"Duplicado","Único")</f>
        <v>Único</v>
      </c>
    </row>
    <row r="1965" spans="1:5" hidden="1" x14ac:dyDescent="0.25">
      <c r="A1965" s="15">
        <v>3630</v>
      </c>
      <c r="B1965" s="7">
        <v>1110596071</v>
      </c>
      <c r="C1965" s="11">
        <v>46052.509756944397</v>
      </c>
      <c r="D1965" s="17" t="s">
        <v>3568</v>
      </c>
      <c r="E1965" t="str">
        <f>IF(COUNTIF($B$2:B1965,B1965)&gt;1,"Duplicado","Único")</f>
        <v>Duplicado</v>
      </c>
    </row>
    <row r="1966" spans="1:5" x14ac:dyDescent="0.25">
      <c r="A1966" s="15">
        <v>2020</v>
      </c>
      <c r="B1966" s="7">
        <v>1110598468</v>
      </c>
      <c r="C1966" s="11">
        <v>46086.712129629603</v>
      </c>
      <c r="D1966" s="17" t="s">
        <v>3897</v>
      </c>
      <c r="E1966" t="str">
        <f>IF(COUNTIF($B$2:B1966,B1966)&gt;1,"Duplicado","Único")</f>
        <v>Único</v>
      </c>
    </row>
    <row r="1967" spans="1:5" hidden="1" x14ac:dyDescent="0.25">
      <c r="A1967" s="15">
        <v>2020</v>
      </c>
      <c r="B1967" s="7">
        <v>1110598468</v>
      </c>
      <c r="C1967" s="11">
        <v>46048.634571759299</v>
      </c>
      <c r="D1967" s="17" t="s">
        <v>3207</v>
      </c>
      <c r="E1967" t="str">
        <f>IF(COUNTIF($B$2:B1967,B1967)&gt;1,"Duplicado","Único")</f>
        <v>Duplicado</v>
      </c>
    </row>
    <row r="1968" spans="1:5" x14ac:dyDescent="0.25">
      <c r="A1968" s="15">
        <v>25629</v>
      </c>
      <c r="B1968" s="7">
        <v>11106741</v>
      </c>
      <c r="C1968" s="11">
        <v>45860.486157407402</v>
      </c>
      <c r="D1968" s="17" t="s">
        <v>1135</v>
      </c>
      <c r="E1968" t="str">
        <f>IF(COUNTIF($B$2:B1968,B1968)&gt;1,"Duplicado","Único")</f>
        <v>Único</v>
      </c>
    </row>
    <row r="1969" spans="1:5" x14ac:dyDescent="0.25">
      <c r="A1969" s="15">
        <v>26241</v>
      </c>
      <c r="B1969" s="7">
        <v>1111200358</v>
      </c>
      <c r="C1969" s="11">
        <v>45867.365763888898</v>
      </c>
      <c r="D1969" s="17" t="s">
        <v>1181</v>
      </c>
      <c r="E1969" t="str">
        <f>IF(COUNTIF($B$2:B1969,B1969)&gt;1,"Duplicado","Único")</f>
        <v>Único</v>
      </c>
    </row>
    <row r="1970" spans="1:5" x14ac:dyDescent="0.25">
      <c r="A1970" s="15">
        <v>53190</v>
      </c>
      <c r="B1970" s="7">
        <v>1111203796</v>
      </c>
      <c r="C1970" s="11">
        <v>46057.394004629597</v>
      </c>
      <c r="D1970" s="17" t="s">
        <v>3669</v>
      </c>
      <c r="E1970" t="str">
        <f>IF(COUNTIF($B$2:B1970,B1970)&gt;1,"Duplicado","Único")</f>
        <v>Único</v>
      </c>
    </row>
    <row r="1971" spans="1:5" hidden="1" x14ac:dyDescent="0.25">
      <c r="A1971" s="15">
        <v>53190</v>
      </c>
      <c r="B1971" s="7">
        <v>1111203796</v>
      </c>
      <c r="C1971" s="11">
        <v>46013.428634259297</v>
      </c>
      <c r="D1971" s="17" t="s">
        <v>3005</v>
      </c>
      <c r="E1971" t="str">
        <f>IF(COUNTIF($B$2:B1971,B1971)&gt;1,"Duplicado","Único")</f>
        <v>Duplicado</v>
      </c>
    </row>
    <row r="1972" spans="1:5" x14ac:dyDescent="0.25">
      <c r="A1972" s="15">
        <v>18002</v>
      </c>
      <c r="B1972" s="7">
        <v>1111784782</v>
      </c>
      <c r="C1972" s="11">
        <v>46122.439965277801</v>
      </c>
      <c r="D1972" s="17" t="s">
        <v>4427</v>
      </c>
      <c r="E1972" t="str">
        <f>IF(COUNTIF($B$2:B1972,B1972)&gt;1,"Duplicado","Único")</f>
        <v>Único</v>
      </c>
    </row>
    <row r="1973" spans="1:5" hidden="1" x14ac:dyDescent="0.25">
      <c r="A1973" s="15">
        <v>18002</v>
      </c>
      <c r="B1973" s="7">
        <v>1111784782</v>
      </c>
      <c r="C1973" s="11">
        <v>46118.333680555603</v>
      </c>
      <c r="D1973" s="17" t="s">
        <v>4241</v>
      </c>
      <c r="E1973" t="str">
        <f>IF(COUNTIF($B$2:B1973,B1973)&gt;1,"Duplicado","Único")</f>
        <v>Duplicado</v>
      </c>
    </row>
    <row r="1974" spans="1:5" x14ac:dyDescent="0.25">
      <c r="A1974" s="15">
        <v>42611</v>
      </c>
      <c r="B1974" s="7">
        <v>1111788636</v>
      </c>
      <c r="C1974" s="11">
        <v>45953.400173611102</v>
      </c>
      <c r="D1974" s="17" t="s">
        <v>2045</v>
      </c>
      <c r="E1974" t="str">
        <f>IF(COUNTIF($B$2:B1974,B1974)&gt;1,"Duplicado","Único")</f>
        <v>Único</v>
      </c>
    </row>
    <row r="1975" spans="1:5" x14ac:dyDescent="0.25">
      <c r="A1975" s="15">
        <v>37231</v>
      </c>
      <c r="B1975" s="7">
        <v>1112461656</v>
      </c>
      <c r="C1975" s="11">
        <v>45922.455451388902</v>
      </c>
      <c r="D1975" s="17" t="s">
        <v>1783</v>
      </c>
      <c r="E1975" t="str">
        <f>IF(COUNTIF($B$2:B1975,B1975)&gt;1,"Duplicado","Único")</f>
        <v>Único</v>
      </c>
    </row>
    <row r="1976" spans="1:5" x14ac:dyDescent="0.25">
      <c r="A1976" s="15">
        <v>45635</v>
      </c>
      <c r="B1976" s="7">
        <v>1112477404</v>
      </c>
      <c r="C1976" s="11">
        <v>45960.608900462998</v>
      </c>
      <c r="D1976" s="17" t="s">
        <v>2247</v>
      </c>
      <c r="E1976" t="str">
        <f>IF(COUNTIF($B$2:B1976,B1976)&gt;1,"Duplicado","Único")</f>
        <v>Único</v>
      </c>
    </row>
    <row r="1977" spans="1:5" x14ac:dyDescent="0.25">
      <c r="A1977" s="15">
        <v>45357</v>
      </c>
      <c r="B1977" s="7">
        <v>1112480654</v>
      </c>
      <c r="C1977" s="11">
        <v>45959.377638888902</v>
      </c>
      <c r="D1977" s="17" t="s">
        <v>2212</v>
      </c>
      <c r="E1977" t="str">
        <f>IF(COUNTIF($B$2:B1977,B1977)&gt;1,"Duplicado","Único")</f>
        <v>Único</v>
      </c>
    </row>
    <row r="1978" spans="1:5" x14ac:dyDescent="0.25">
      <c r="A1978" s="15">
        <v>4158</v>
      </c>
      <c r="B1978" s="7">
        <v>1112487056</v>
      </c>
      <c r="C1978" s="11">
        <v>46059.515057870398</v>
      </c>
      <c r="D1978" s="17" t="s">
        <v>3746</v>
      </c>
      <c r="E1978" t="str">
        <f>IF(COUNTIF($B$2:B1978,B1978)&gt;1,"Duplicado","Único")</f>
        <v>Único</v>
      </c>
    </row>
    <row r="1979" spans="1:5" hidden="1" x14ac:dyDescent="0.25">
      <c r="A1979" s="15">
        <v>4158</v>
      </c>
      <c r="B1979" s="7">
        <v>1112487056</v>
      </c>
      <c r="C1979" s="11">
        <v>46056.628298611096</v>
      </c>
      <c r="D1979" s="17" t="s">
        <v>3621</v>
      </c>
      <c r="E1979" t="str">
        <f>IF(COUNTIF($B$2:B1979,B1979)&gt;1,"Duplicado","Único")</f>
        <v>Duplicado</v>
      </c>
    </row>
    <row r="1980" spans="1:5" x14ac:dyDescent="0.25">
      <c r="A1980" s="15">
        <v>38394</v>
      </c>
      <c r="B1980" s="7">
        <v>1112490070</v>
      </c>
      <c r="C1980" s="11">
        <v>45926.380393518499</v>
      </c>
      <c r="D1980" s="17" t="s">
        <v>1831</v>
      </c>
      <c r="E1980" t="str">
        <f>IF(COUNTIF($B$2:B1980,B1980)&gt;1,"Duplicado","Único")</f>
        <v>Único</v>
      </c>
    </row>
    <row r="1981" spans="1:5" x14ac:dyDescent="0.25">
      <c r="A1981" s="15">
        <v>49114</v>
      </c>
      <c r="B1981" s="7">
        <v>1112626581</v>
      </c>
      <c r="C1981" s="11">
        <v>45981.3450578704</v>
      </c>
      <c r="D1981" s="17" t="s">
        <v>2620</v>
      </c>
      <c r="E1981" t="str">
        <f>IF(COUNTIF($B$2:B1981,B1981)&gt;1,"Duplicado","Único")</f>
        <v>Único</v>
      </c>
    </row>
    <row r="1982" spans="1:5" x14ac:dyDescent="0.25">
      <c r="A1982" s="15">
        <v>23743</v>
      </c>
      <c r="B1982" s="7">
        <v>1112763585</v>
      </c>
      <c r="C1982" s="11">
        <v>45842.493182870399</v>
      </c>
      <c r="D1982" s="17" t="s">
        <v>1056</v>
      </c>
      <c r="E1982" t="str">
        <f>IF(COUNTIF($B$2:B1982,B1982)&gt;1,"Duplicado","Único")</f>
        <v>Único</v>
      </c>
    </row>
    <row r="1983" spans="1:5" x14ac:dyDescent="0.25">
      <c r="A1983" s="15">
        <v>18215</v>
      </c>
      <c r="B1983" s="7">
        <v>1112774217</v>
      </c>
      <c r="C1983" s="11">
        <v>45800.514270833301</v>
      </c>
      <c r="D1983" s="17" t="s">
        <v>753</v>
      </c>
      <c r="E1983" t="str">
        <f>IF(COUNTIF($B$2:B1983,B1983)&gt;1,"Duplicado","Único")</f>
        <v>Único</v>
      </c>
    </row>
    <row r="1984" spans="1:5" x14ac:dyDescent="0.25">
      <c r="A1984" s="15">
        <v>23593</v>
      </c>
      <c r="B1984" s="7">
        <v>1112782291</v>
      </c>
      <c r="C1984" s="11">
        <v>45842.479201388902</v>
      </c>
      <c r="D1984" s="17" t="s">
        <v>1050</v>
      </c>
      <c r="E1984" t="str">
        <f>IF(COUNTIF($B$2:B1984,B1984)&gt;1,"Duplicado","Único")</f>
        <v>Único</v>
      </c>
    </row>
    <row r="1985" spans="1:5" x14ac:dyDescent="0.25">
      <c r="A1985" s="15">
        <v>22897</v>
      </c>
      <c r="B1985" s="7">
        <v>1112792892</v>
      </c>
      <c r="C1985" s="11">
        <v>45842.349247685197</v>
      </c>
      <c r="D1985" s="17" t="s">
        <v>1032</v>
      </c>
      <c r="E1985" t="str">
        <f>IF(COUNTIF($B$2:B1985,B1985)&gt;1,"Duplicado","Único")</f>
        <v>Único</v>
      </c>
    </row>
    <row r="1986" spans="1:5" x14ac:dyDescent="0.25">
      <c r="A1986" s="15">
        <v>30877</v>
      </c>
      <c r="B1986" s="7">
        <v>1113309129</v>
      </c>
      <c r="C1986" s="11">
        <v>45898.684629629599</v>
      </c>
      <c r="D1986" s="17" t="s">
        <v>1471</v>
      </c>
      <c r="E1986" t="str">
        <f>IF(COUNTIF($B$2:B1986,B1986)&gt;1,"Duplicado","Único")</f>
        <v>Único</v>
      </c>
    </row>
    <row r="1987" spans="1:5" x14ac:dyDescent="0.25">
      <c r="A1987" s="15">
        <v>42480</v>
      </c>
      <c r="B1987" s="7">
        <v>1113517217</v>
      </c>
      <c r="C1987" s="11">
        <v>45951.615717592598</v>
      </c>
      <c r="D1987" s="17" t="s">
        <v>2030</v>
      </c>
      <c r="E1987" t="str">
        <f>IF(COUNTIF($B$2:B1987,B1987)&gt;1,"Duplicado","Único")</f>
        <v>Único</v>
      </c>
    </row>
    <row r="1988" spans="1:5" x14ac:dyDescent="0.25">
      <c r="A1988" s="15">
        <v>41423</v>
      </c>
      <c r="B1988" s="7">
        <v>1113540121</v>
      </c>
      <c r="C1988" s="11">
        <v>45938.408668981501</v>
      </c>
      <c r="D1988" s="17" t="s">
        <v>1976</v>
      </c>
      <c r="E1988" t="str">
        <f>IF(COUNTIF($B$2:B1988,B1988)&gt;1,"Duplicado","Único")</f>
        <v>Único</v>
      </c>
    </row>
    <row r="1989" spans="1:5" x14ac:dyDescent="0.25">
      <c r="A1989" s="15">
        <v>54316</v>
      </c>
      <c r="B1989" s="7">
        <v>1113645120</v>
      </c>
      <c r="C1989" s="11">
        <v>46057.439363425903</v>
      </c>
      <c r="D1989" s="17" t="s">
        <v>3711</v>
      </c>
      <c r="E1989" t="str">
        <f>IF(COUNTIF($B$2:B1989,B1989)&gt;1,"Duplicado","Único")</f>
        <v>Único</v>
      </c>
    </row>
    <row r="1990" spans="1:5" hidden="1" x14ac:dyDescent="0.25">
      <c r="A1990" s="15">
        <v>54316</v>
      </c>
      <c r="B1990" s="7">
        <v>1113645120</v>
      </c>
      <c r="C1990" s="11">
        <v>46014.390775462998</v>
      </c>
      <c r="D1990" s="17" t="s">
        <v>3071</v>
      </c>
      <c r="E1990" t="str">
        <f>IF(COUNTIF($B$2:B1990,B1990)&gt;1,"Duplicado","Único")</f>
        <v>Duplicado</v>
      </c>
    </row>
    <row r="1991" spans="1:5" x14ac:dyDescent="0.25">
      <c r="A1991" s="15">
        <v>39703</v>
      </c>
      <c r="B1991" s="7">
        <v>1113648537</v>
      </c>
      <c r="C1991" s="11">
        <v>45931.397592592599</v>
      </c>
      <c r="D1991" s="17" t="s">
        <v>1908</v>
      </c>
      <c r="E1991" t="str">
        <f>IF(COUNTIF($B$2:B1991,B1991)&gt;1,"Duplicado","Único")</f>
        <v>Único</v>
      </c>
    </row>
    <row r="1992" spans="1:5" x14ac:dyDescent="0.25">
      <c r="A1992" s="15">
        <v>26056</v>
      </c>
      <c r="B1992" s="7">
        <v>1113653199</v>
      </c>
      <c r="C1992" s="11">
        <v>45866.646990740701</v>
      </c>
      <c r="D1992" s="17" t="s">
        <v>1168</v>
      </c>
      <c r="E1992" t="str">
        <f>IF(COUNTIF($B$2:B1992,B1992)&gt;1,"Duplicado","Único")</f>
        <v>Único</v>
      </c>
    </row>
    <row r="1993" spans="1:5" x14ac:dyDescent="0.25">
      <c r="A1993" s="15">
        <v>48801</v>
      </c>
      <c r="B1993" s="7">
        <v>1113660605</v>
      </c>
      <c r="C1993" s="11">
        <v>45980.363888888904</v>
      </c>
      <c r="D1993" s="17" t="s">
        <v>2580</v>
      </c>
      <c r="E1993" t="str">
        <f>IF(COUNTIF($B$2:B1993,B1993)&gt;1,"Duplicado","Único")</f>
        <v>Único</v>
      </c>
    </row>
    <row r="1994" spans="1:5" x14ac:dyDescent="0.25">
      <c r="A1994" s="15">
        <v>26090</v>
      </c>
      <c r="B1994" s="7">
        <v>1113660912</v>
      </c>
      <c r="C1994" s="11">
        <v>45866.686840277798</v>
      </c>
      <c r="D1994" s="17" t="s">
        <v>1170</v>
      </c>
      <c r="E1994" t="str">
        <f>IF(COUNTIF($B$2:B1994,B1994)&gt;1,"Duplicado","Único")</f>
        <v>Único</v>
      </c>
    </row>
    <row r="1995" spans="1:5" x14ac:dyDescent="0.25">
      <c r="A1995" s="15">
        <v>16077</v>
      </c>
      <c r="B1995" s="7">
        <v>1113665605</v>
      </c>
      <c r="C1995" s="11">
        <v>46121.516064814801</v>
      </c>
      <c r="D1995" s="17" t="s">
        <v>4417</v>
      </c>
      <c r="E1995" t="str">
        <f>IF(COUNTIF($B$2:B1995,B1995)&gt;1,"Duplicado","Único")</f>
        <v>Único</v>
      </c>
    </row>
    <row r="1996" spans="1:5" hidden="1" x14ac:dyDescent="0.25">
      <c r="A1996" s="15">
        <v>16077</v>
      </c>
      <c r="B1996" s="7">
        <v>1113665605</v>
      </c>
      <c r="C1996" s="11">
        <v>46101.747245370403</v>
      </c>
      <c r="D1996" s="17" t="s">
        <v>4128</v>
      </c>
      <c r="E1996" t="str">
        <f>IF(COUNTIF($B$2:B1996,B1996)&gt;1,"Duplicado","Único")</f>
        <v>Duplicado</v>
      </c>
    </row>
    <row r="1997" spans="1:5" x14ac:dyDescent="0.25">
      <c r="A1997" s="15">
        <v>41722</v>
      </c>
      <c r="B1997" s="7">
        <v>1113684207</v>
      </c>
      <c r="C1997" s="11">
        <v>45950.469675925902</v>
      </c>
      <c r="D1997" s="17" t="s">
        <v>2002</v>
      </c>
      <c r="E1997" t="str">
        <f>IF(COUNTIF($B$2:B1997,B1997)&gt;1,"Duplicado","Único")</f>
        <v>Único</v>
      </c>
    </row>
    <row r="1998" spans="1:5" x14ac:dyDescent="0.25">
      <c r="A1998" s="15">
        <v>20286</v>
      </c>
      <c r="B1998" s="7">
        <v>1114094446</v>
      </c>
      <c r="C1998" s="11">
        <v>45820.367974537003</v>
      </c>
      <c r="D1998" s="17" t="s">
        <v>874</v>
      </c>
      <c r="E1998" t="str">
        <f>IF(COUNTIF($B$2:B1998,B1998)&gt;1,"Duplicado","Único")</f>
        <v>Único</v>
      </c>
    </row>
    <row r="1999" spans="1:5" x14ac:dyDescent="0.25">
      <c r="A1999" s="15">
        <v>31773</v>
      </c>
      <c r="B1999" s="7">
        <v>1114450799</v>
      </c>
      <c r="C1999" s="11">
        <v>45904.724236111098</v>
      </c>
      <c r="D1999" s="17" t="s">
        <v>1548</v>
      </c>
      <c r="E1999" t="str">
        <f>IF(COUNTIF($B$2:B1999,B1999)&gt;1,"Duplicado","Único")</f>
        <v>Único</v>
      </c>
    </row>
    <row r="2000" spans="1:5" x14ac:dyDescent="0.25">
      <c r="A2000" s="15">
        <v>32629</v>
      </c>
      <c r="B2000" s="7">
        <v>1114454280</v>
      </c>
      <c r="C2000" s="11">
        <v>45909.6945949074</v>
      </c>
      <c r="D2000" s="17" t="s">
        <v>1630</v>
      </c>
      <c r="E2000" t="str">
        <f>IF(COUNTIF($B$2:B2000,B2000)&gt;1,"Duplicado","Único")</f>
        <v>Único</v>
      </c>
    </row>
    <row r="2001" spans="1:5" x14ac:dyDescent="0.25">
      <c r="A2001" s="15">
        <v>13809</v>
      </c>
      <c r="B2001" s="7">
        <v>1114874471</v>
      </c>
      <c r="C2001" s="11">
        <v>46149.650162037004</v>
      </c>
      <c r="D2001" s="17" t="s">
        <v>1402</v>
      </c>
      <c r="E2001" t="str">
        <f>IF(COUNTIF($B$2:B2001,B2001)&gt;1,"Duplicado","Único")</f>
        <v>Único</v>
      </c>
    </row>
    <row r="2002" spans="1:5" hidden="1" x14ac:dyDescent="0.25">
      <c r="A2002" s="15">
        <v>13809</v>
      </c>
      <c r="B2002" s="7">
        <v>1114874471</v>
      </c>
      <c r="C2002" s="11">
        <v>46085.474120370403</v>
      </c>
      <c r="D2002" s="17" t="s">
        <v>3781</v>
      </c>
      <c r="E2002" t="str">
        <f>IF(COUNTIF($B$2:B2002,B2002)&gt;1,"Duplicado","Único")</f>
        <v>Duplicado</v>
      </c>
    </row>
    <row r="2003" spans="1:5" x14ac:dyDescent="0.25">
      <c r="A2003" s="15">
        <v>49748</v>
      </c>
      <c r="B2003" s="7">
        <v>1115062353</v>
      </c>
      <c r="C2003" s="11">
        <v>46050.457858796297</v>
      </c>
      <c r="D2003" s="17" t="s">
        <v>3253</v>
      </c>
      <c r="E2003" t="str">
        <f>IF(COUNTIF($B$2:B2003,B2003)&gt;1,"Duplicado","Único")</f>
        <v>Único</v>
      </c>
    </row>
    <row r="2004" spans="1:5" hidden="1" x14ac:dyDescent="0.25">
      <c r="A2004" s="15">
        <v>49748</v>
      </c>
      <c r="B2004" s="7">
        <v>1115062353</v>
      </c>
      <c r="C2004" s="11">
        <v>45985.588564814803</v>
      </c>
      <c r="D2004" s="17" t="s">
        <v>2695</v>
      </c>
      <c r="E2004" t="str">
        <f>IF(COUNTIF($B$2:B2004,B2004)&gt;1,"Duplicado","Único")</f>
        <v>Duplicado</v>
      </c>
    </row>
    <row r="2005" spans="1:5" x14ac:dyDescent="0.25">
      <c r="A2005" s="15">
        <v>28439</v>
      </c>
      <c r="B2005" s="7">
        <v>1115065468</v>
      </c>
      <c r="C2005" s="11">
        <v>45888.503229166701</v>
      </c>
      <c r="D2005" s="17" t="s">
        <v>1331</v>
      </c>
      <c r="E2005" t="str">
        <f>IF(COUNTIF($B$2:B2005,B2005)&gt;1,"Duplicado","Único")</f>
        <v>Único</v>
      </c>
    </row>
    <row r="2006" spans="1:5" x14ac:dyDescent="0.25">
      <c r="A2006" s="15">
        <v>28656</v>
      </c>
      <c r="B2006" s="7">
        <v>1115083816</v>
      </c>
      <c r="C2006" s="11">
        <v>45888.623252314799</v>
      </c>
      <c r="D2006" s="17" t="s">
        <v>1349</v>
      </c>
      <c r="E2006" t="str">
        <f>IF(COUNTIF($B$2:B2006,B2006)&gt;1,"Duplicado","Único")</f>
        <v>Único</v>
      </c>
    </row>
    <row r="2007" spans="1:5" x14ac:dyDescent="0.25">
      <c r="A2007" s="15">
        <v>50109</v>
      </c>
      <c r="B2007" s="7">
        <v>1115086602</v>
      </c>
      <c r="C2007" s="11">
        <v>46050.606215277803</v>
      </c>
      <c r="D2007" s="17" t="s">
        <v>3308</v>
      </c>
      <c r="E2007" t="str">
        <f>IF(COUNTIF($B$2:B2007,B2007)&gt;1,"Duplicado","Único")</f>
        <v>Único</v>
      </c>
    </row>
    <row r="2008" spans="1:5" hidden="1" x14ac:dyDescent="0.25">
      <c r="A2008" s="15">
        <v>50109</v>
      </c>
      <c r="B2008" s="7">
        <v>1115086602</v>
      </c>
      <c r="C2008" s="11">
        <v>45987.407789351899</v>
      </c>
      <c r="D2008" s="17" t="s">
        <v>2724</v>
      </c>
      <c r="E2008" t="str">
        <f>IF(COUNTIF($B$2:B2008,B2008)&gt;1,"Duplicado","Único")</f>
        <v>Duplicado</v>
      </c>
    </row>
    <row r="2009" spans="1:5" x14ac:dyDescent="0.25">
      <c r="A2009" s="15">
        <v>49925</v>
      </c>
      <c r="B2009" s="7">
        <v>1115087129</v>
      </c>
      <c r="C2009" s="11">
        <v>46050.510925925897</v>
      </c>
      <c r="D2009" s="17" t="s">
        <v>3277</v>
      </c>
      <c r="E2009" t="str">
        <f>IF(COUNTIF($B$2:B2009,B2009)&gt;1,"Duplicado","Único")</f>
        <v>Único</v>
      </c>
    </row>
    <row r="2010" spans="1:5" hidden="1" x14ac:dyDescent="0.25">
      <c r="A2010" s="15">
        <v>49925</v>
      </c>
      <c r="B2010" s="7">
        <v>1115087129</v>
      </c>
      <c r="C2010" s="11">
        <v>45986.367152777799</v>
      </c>
      <c r="D2010" s="17" t="s">
        <v>2707</v>
      </c>
      <c r="E2010" t="str">
        <f>IF(COUNTIF($B$2:B2010,B2010)&gt;1,"Duplicado","Único")</f>
        <v>Duplicado</v>
      </c>
    </row>
    <row r="2011" spans="1:5" x14ac:dyDescent="0.25">
      <c r="A2011" s="15">
        <v>42733</v>
      </c>
      <c r="B2011" s="7">
        <v>1115183336</v>
      </c>
      <c r="C2011" s="11">
        <v>45954.5239814815</v>
      </c>
      <c r="D2011" s="17" t="s">
        <v>2061</v>
      </c>
      <c r="E2011" t="str">
        <f>IF(COUNTIF($B$2:B2011,B2011)&gt;1,"Duplicado","Único")</f>
        <v>Único</v>
      </c>
    </row>
    <row r="2012" spans="1:5" x14ac:dyDescent="0.25">
      <c r="A2012" s="15">
        <v>18268</v>
      </c>
      <c r="B2012" s="7">
        <v>1115860506</v>
      </c>
      <c r="C2012" s="11">
        <v>46149.424664351798</v>
      </c>
      <c r="D2012" s="17" t="s">
        <v>4462</v>
      </c>
      <c r="E2012" t="str">
        <f>IF(COUNTIF($B$2:B2012,B2012)&gt;1,"Duplicado","Único")</f>
        <v>Único</v>
      </c>
    </row>
    <row r="2013" spans="1:5" hidden="1" x14ac:dyDescent="0.25">
      <c r="A2013" s="15">
        <v>18268</v>
      </c>
      <c r="B2013" s="7">
        <v>1115860506</v>
      </c>
      <c r="C2013" s="11">
        <v>46118.393032407403</v>
      </c>
      <c r="D2013" s="17" t="s">
        <v>1186</v>
      </c>
      <c r="E2013" t="str">
        <f>IF(COUNTIF($B$2:B2013,B2013)&gt;1,"Duplicado","Único")</f>
        <v>Duplicado</v>
      </c>
    </row>
    <row r="2014" spans="1:5" x14ac:dyDescent="0.25">
      <c r="A2014" s="15">
        <v>52756</v>
      </c>
      <c r="B2014" s="7">
        <v>1115861727</v>
      </c>
      <c r="C2014" s="11">
        <v>46052.262997685197</v>
      </c>
      <c r="D2014" s="17" t="s">
        <v>3553</v>
      </c>
      <c r="E2014" t="str">
        <f>IF(COUNTIF($B$2:B2014,B2014)&gt;1,"Duplicado","Único")</f>
        <v>Único</v>
      </c>
    </row>
    <row r="2015" spans="1:5" hidden="1" x14ac:dyDescent="0.25">
      <c r="A2015" s="15">
        <v>52756</v>
      </c>
      <c r="B2015" s="7">
        <v>1115861727</v>
      </c>
      <c r="C2015" s="11">
        <v>46009.380543981497</v>
      </c>
      <c r="D2015" s="17" t="s">
        <v>2965</v>
      </c>
      <c r="E2015" t="str">
        <f>IF(COUNTIF($B$2:B2015,B2015)&gt;1,"Duplicado","Único")</f>
        <v>Duplicado</v>
      </c>
    </row>
    <row r="2016" spans="1:5" x14ac:dyDescent="0.25">
      <c r="A2016" s="15">
        <v>33190</v>
      </c>
      <c r="B2016" s="7">
        <v>1115865060</v>
      </c>
      <c r="C2016" s="11">
        <v>45912.642881944397</v>
      </c>
      <c r="D2016" s="17" t="s">
        <v>1684</v>
      </c>
      <c r="E2016" t="str">
        <f>IF(COUNTIF($B$2:B2016,B2016)&gt;1,"Duplicado","Único")</f>
        <v>Único</v>
      </c>
    </row>
    <row r="2017" spans="1:5" x14ac:dyDescent="0.25">
      <c r="A2017" s="15">
        <v>42155</v>
      </c>
      <c r="B2017" s="7">
        <v>1115914455</v>
      </c>
      <c r="C2017" s="11">
        <v>45950.709953703699</v>
      </c>
      <c r="D2017" s="17" t="s">
        <v>2012</v>
      </c>
      <c r="E2017" t="str">
        <f>IF(COUNTIF($B$2:B2017,B2017)&gt;1,"Duplicado","Único")</f>
        <v>Único</v>
      </c>
    </row>
    <row r="2018" spans="1:5" x14ac:dyDescent="0.25">
      <c r="A2018" s="15">
        <v>47835</v>
      </c>
      <c r="B2018" s="7">
        <v>1116130078</v>
      </c>
      <c r="C2018" s="11">
        <v>45973.524618055599</v>
      </c>
      <c r="D2018" s="17" t="s">
        <v>2454</v>
      </c>
      <c r="E2018" t="str">
        <f>IF(COUNTIF($B$2:B2018,B2018)&gt;1,"Duplicado","Único")</f>
        <v>Único</v>
      </c>
    </row>
    <row r="2019" spans="1:5" x14ac:dyDescent="0.25">
      <c r="A2019" s="15">
        <v>28152</v>
      </c>
      <c r="B2019" s="7">
        <v>1116235865</v>
      </c>
      <c r="C2019" s="11">
        <v>45884.627094907402</v>
      </c>
      <c r="D2019" s="17" t="s">
        <v>1315</v>
      </c>
      <c r="E2019" t="str">
        <f>IF(COUNTIF($B$2:B2019,B2019)&gt;1,"Duplicado","Único")</f>
        <v>Único</v>
      </c>
    </row>
    <row r="2020" spans="1:5" x14ac:dyDescent="0.25">
      <c r="A2020" s="15">
        <v>41403</v>
      </c>
      <c r="B2020" s="7">
        <v>1116246444</v>
      </c>
      <c r="C2020" s="11">
        <v>45938.402662036999</v>
      </c>
      <c r="D2020" s="17" t="s">
        <v>1972</v>
      </c>
      <c r="E2020" t="str">
        <f>IF(COUNTIF($B$2:B2020,B2020)&gt;1,"Duplicado","Único")</f>
        <v>Único</v>
      </c>
    </row>
    <row r="2021" spans="1:5" x14ac:dyDescent="0.25">
      <c r="A2021" s="15">
        <v>2861</v>
      </c>
      <c r="B2021" s="7">
        <v>1116247568</v>
      </c>
      <c r="C2021" s="11">
        <v>46086.7360416667</v>
      </c>
      <c r="D2021" s="17" t="s">
        <v>3923</v>
      </c>
      <c r="E2021" t="str">
        <f>IF(COUNTIF($B$2:B2021,B2021)&gt;1,"Duplicado","Único")</f>
        <v>Único</v>
      </c>
    </row>
    <row r="2022" spans="1:5" hidden="1" x14ac:dyDescent="0.25">
      <c r="A2022" s="15">
        <v>2861</v>
      </c>
      <c r="B2022" s="7">
        <v>1116247568</v>
      </c>
      <c r="C2022" s="11">
        <v>46050.516111111101</v>
      </c>
      <c r="D2022" s="17" t="s">
        <v>3285</v>
      </c>
      <c r="E2022" t="str">
        <f>IF(COUNTIF($B$2:B2022,B2022)&gt;1,"Duplicado","Único")</f>
        <v>Duplicado</v>
      </c>
    </row>
    <row r="2023" spans="1:5" x14ac:dyDescent="0.25">
      <c r="A2023" s="15">
        <v>52741</v>
      </c>
      <c r="B2023" s="7">
        <v>1116260310</v>
      </c>
      <c r="C2023" s="11">
        <v>46052.264837962997</v>
      </c>
      <c r="D2023" s="17" t="s">
        <v>3554</v>
      </c>
      <c r="E2023" t="str">
        <f>IF(COUNTIF($B$2:B2023,B2023)&gt;1,"Duplicado","Único")</f>
        <v>Único</v>
      </c>
    </row>
    <row r="2024" spans="1:5" hidden="1" x14ac:dyDescent="0.25">
      <c r="A2024" s="15">
        <v>52741</v>
      </c>
      <c r="B2024" s="7">
        <v>1116260310</v>
      </c>
      <c r="C2024" s="11">
        <v>46009.377893518496</v>
      </c>
      <c r="D2024" s="17" t="s">
        <v>2963</v>
      </c>
      <c r="E2024" t="str">
        <f>IF(COUNTIF($B$2:B2024,B2024)&gt;1,"Duplicado","Único")</f>
        <v>Duplicado</v>
      </c>
    </row>
    <row r="2025" spans="1:5" x14ac:dyDescent="0.25">
      <c r="A2025" s="15">
        <v>45400</v>
      </c>
      <c r="B2025" s="7">
        <v>1116272979</v>
      </c>
      <c r="C2025" s="11">
        <v>45959.403425925899</v>
      </c>
      <c r="D2025" s="17" t="s">
        <v>2218</v>
      </c>
      <c r="E2025" t="str">
        <f>IF(COUNTIF($B$2:B2025,B2025)&gt;1,"Duplicado","Único")</f>
        <v>Único</v>
      </c>
    </row>
    <row r="2026" spans="1:5" x14ac:dyDescent="0.25">
      <c r="A2026" s="15">
        <v>45618</v>
      </c>
      <c r="B2026" s="7">
        <v>1116276337</v>
      </c>
      <c r="C2026" s="11">
        <v>45960.541319444397</v>
      </c>
      <c r="D2026" s="17" t="s">
        <v>2244</v>
      </c>
      <c r="E2026" t="str">
        <f>IF(COUNTIF($B$2:B2026,B2026)&gt;1,"Duplicado","Único")</f>
        <v>Único</v>
      </c>
    </row>
    <row r="2027" spans="1:5" x14ac:dyDescent="0.25">
      <c r="A2027" s="15">
        <v>50290</v>
      </c>
      <c r="B2027" s="7">
        <v>1116278939</v>
      </c>
      <c r="C2027" s="11">
        <v>46050.624108796299</v>
      </c>
      <c r="D2027" s="17" t="s">
        <v>3335</v>
      </c>
      <c r="E2027" t="str">
        <f>IF(COUNTIF($B$2:B2027,B2027)&gt;1,"Duplicado","Único")</f>
        <v>Único</v>
      </c>
    </row>
    <row r="2028" spans="1:5" hidden="1" x14ac:dyDescent="0.25">
      <c r="A2028" s="15">
        <v>50290</v>
      </c>
      <c r="B2028" s="7">
        <v>1116278939</v>
      </c>
      <c r="C2028" s="11">
        <v>45988.342569444401</v>
      </c>
      <c r="D2028" s="17" t="s">
        <v>2746</v>
      </c>
      <c r="E2028" t="str">
        <f>IF(COUNTIF($B$2:B2028,B2028)&gt;1,"Duplicado","Único")</f>
        <v>Duplicado</v>
      </c>
    </row>
    <row r="2029" spans="1:5" x14ac:dyDescent="0.25">
      <c r="A2029" s="15">
        <v>51286</v>
      </c>
      <c r="B2029" s="7">
        <v>1116281295</v>
      </c>
      <c r="C2029" s="11">
        <v>46051.438923611102</v>
      </c>
      <c r="D2029" s="17" t="s">
        <v>3461</v>
      </c>
      <c r="E2029" t="str">
        <f>IF(COUNTIF($B$2:B2029,B2029)&gt;1,"Duplicado","Único")</f>
        <v>Único</v>
      </c>
    </row>
    <row r="2030" spans="1:5" hidden="1" x14ac:dyDescent="0.25">
      <c r="A2030" s="15">
        <v>51286</v>
      </c>
      <c r="B2030" s="7">
        <v>1116281295</v>
      </c>
      <c r="C2030" s="11">
        <v>46002.3835300926</v>
      </c>
      <c r="D2030" s="17" t="s">
        <v>2865</v>
      </c>
      <c r="E2030" t="str">
        <f>IF(COUNTIF($B$2:B2030,B2030)&gt;1,"Duplicado","Único")</f>
        <v>Duplicado</v>
      </c>
    </row>
    <row r="2031" spans="1:5" x14ac:dyDescent="0.25">
      <c r="A2031" s="15">
        <v>41352</v>
      </c>
      <c r="B2031" s="7">
        <v>1116438973</v>
      </c>
      <c r="C2031" s="11">
        <v>45938.370787036998</v>
      </c>
      <c r="D2031" s="17" t="s">
        <v>1968</v>
      </c>
      <c r="E2031" t="str">
        <f>IF(COUNTIF($B$2:B2031,B2031)&gt;1,"Duplicado","Único")</f>
        <v>Único</v>
      </c>
    </row>
    <row r="2032" spans="1:5" x14ac:dyDescent="0.25">
      <c r="A2032" s="15">
        <v>16636</v>
      </c>
      <c r="B2032" s="7">
        <v>1116443033</v>
      </c>
      <c r="C2032" s="11">
        <v>46121.5165277778</v>
      </c>
      <c r="D2032" s="17" t="s">
        <v>4418</v>
      </c>
      <c r="E2032" t="str">
        <f>IF(COUNTIF($B$2:B2032,B2032)&gt;1,"Duplicado","Único")</f>
        <v>Único</v>
      </c>
    </row>
    <row r="2033" spans="1:5" hidden="1" x14ac:dyDescent="0.25">
      <c r="A2033" s="15">
        <v>16636</v>
      </c>
      <c r="B2033" s="7">
        <v>1116443033</v>
      </c>
      <c r="C2033" s="11">
        <v>46101.844849537003</v>
      </c>
      <c r="D2033" s="17" t="s">
        <v>4168</v>
      </c>
      <c r="E2033" t="str">
        <f>IF(COUNTIF($B$2:B2033,B2033)&gt;1,"Duplicado","Único")</f>
        <v>Duplicado</v>
      </c>
    </row>
    <row r="2034" spans="1:5" x14ac:dyDescent="0.25">
      <c r="A2034" s="15">
        <v>49439</v>
      </c>
      <c r="B2034" s="7">
        <v>1116448125</v>
      </c>
      <c r="C2034" s="11">
        <v>45982.449108796303</v>
      </c>
      <c r="D2034" s="17" t="s">
        <v>2668</v>
      </c>
      <c r="E2034" t="str">
        <f>IF(COUNTIF($B$2:B2034,B2034)&gt;1,"Duplicado","Único")</f>
        <v>Único</v>
      </c>
    </row>
    <row r="2035" spans="1:5" x14ac:dyDescent="0.25">
      <c r="A2035" s="15">
        <v>25528</v>
      </c>
      <c r="B2035" s="7">
        <v>1116500109</v>
      </c>
      <c r="C2035" s="11">
        <v>45860.474803240701</v>
      </c>
      <c r="D2035" s="17" t="s">
        <v>1131</v>
      </c>
      <c r="E2035" t="str">
        <f>IF(COUNTIF($B$2:B2035,B2035)&gt;1,"Duplicado","Único")</f>
        <v>Único</v>
      </c>
    </row>
    <row r="2036" spans="1:5" x14ac:dyDescent="0.25">
      <c r="A2036" s="15">
        <v>44581</v>
      </c>
      <c r="B2036" s="7">
        <v>1116500448</v>
      </c>
      <c r="C2036" s="11">
        <v>45968.475729166697</v>
      </c>
      <c r="D2036" s="17" t="s">
        <v>2395</v>
      </c>
      <c r="E2036" t="str">
        <f>IF(COUNTIF($B$2:B2036,B2036)&gt;1,"Duplicado","Único")</f>
        <v>Único</v>
      </c>
    </row>
    <row r="2037" spans="1:5" hidden="1" x14ac:dyDescent="0.25">
      <c r="A2037" s="15">
        <v>44581</v>
      </c>
      <c r="B2037" s="7">
        <v>1116500448</v>
      </c>
      <c r="C2037" s="11">
        <v>45958.607777777797</v>
      </c>
      <c r="D2037" s="17" t="s">
        <v>2159</v>
      </c>
      <c r="E2037" t="str">
        <f>IF(COUNTIF($B$2:B2037,B2037)&gt;1,"Duplicado","Único")</f>
        <v>Duplicado</v>
      </c>
    </row>
    <row r="2038" spans="1:5" x14ac:dyDescent="0.25">
      <c r="A2038" s="15">
        <v>48799</v>
      </c>
      <c r="B2038" s="7">
        <v>1116501190</v>
      </c>
      <c r="C2038" s="11">
        <v>45980.3516550926</v>
      </c>
      <c r="D2038" s="17" t="s">
        <v>2578</v>
      </c>
      <c r="E2038" t="str">
        <f>IF(COUNTIF($B$2:B2038,B2038)&gt;1,"Duplicado","Único")</f>
        <v>Único</v>
      </c>
    </row>
    <row r="2039" spans="1:5" x14ac:dyDescent="0.25">
      <c r="A2039" s="15">
        <v>41718</v>
      </c>
      <c r="B2039" s="7">
        <v>1116547242</v>
      </c>
      <c r="C2039" s="11">
        <v>45950.468587962998</v>
      </c>
      <c r="D2039" s="17" t="s">
        <v>2001</v>
      </c>
      <c r="E2039" t="str">
        <f>IF(COUNTIF($B$2:B2039,B2039)&gt;1,"Duplicado","Único")</f>
        <v>Único</v>
      </c>
    </row>
    <row r="2040" spans="1:5" x14ac:dyDescent="0.25">
      <c r="A2040" s="15">
        <v>26976</v>
      </c>
      <c r="B2040" s="7">
        <v>1116550572</v>
      </c>
      <c r="C2040" s="11">
        <v>45874.362210648098</v>
      </c>
      <c r="D2040" s="17" t="s">
        <v>1235</v>
      </c>
      <c r="E2040" t="str">
        <f>IF(COUNTIF($B$2:B2040,B2040)&gt;1,"Duplicado","Único")</f>
        <v>Único</v>
      </c>
    </row>
    <row r="2041" spans="1:5" x14ac:dyDescent="0.25">
      <c r="A2041" s="15">
        <v>20208</v>
      </c>
      <c r="B2041" s="7">
        <v>1116552839</v>
      </c>
      <c r="C2041" s="11">
        <v>45819.729583333297</v>
      </c>
      <c r="D2041" s="17" t="s">
        <v>865</v>
      </c>
      <c r="E2041" t="str">
        <f>IF(COUNTIF($B$2:B2041,B2041)&gt;1,"Duplicado","Único")</f>
        <v>Único</v>
      </c>
    </row>
    <row r="2042" spans="1:5" x14ac:dyDescent="0.25">
      <c r="A2042" s="15">
        <v>52605</v>
      </c>
      <c r="B2042" s="7">
        <v>1116552929</v>
      </c>
      <c r="C2042" s="11">
        <v>46057.468912037002</v>
      </c>
      <c r="D2042" s="17" t="s">
        <v>3736</v>
      </c>
      <c r="E2042" t="str">
        <f>IF(COUNTIF($B$2:B2042,B2042)&gt;1,"Duplicado","Único")</f>
        <v>Único</v>
      </c>
    </row>
    <row r="2043" spans="1:5" hidden="1" x14ac:dyDescent="0.25">
      <c r="A2043" s="15">
        <v>52605</v>
      </c>
      <c r="B2043" s="7">
        <v>1116552929</v>
      </c>
      <c r="C2043" s="11">
        <v>46007.4776851852</v>
      </c>
      <c r="D2043" s="17" t="s">
        <v>2943</v>
      </c>
      <c r="E2043" t="str">
        <f>IF(COUNTIF($B$2:B2043,B2043)&gt;1,"Duplicado","Único")</f>
        <v>Duplicado</v>
      </c>
    </row>
    <row r="2044" spans="1:5" x14ac:dyDescent="0.25">
      <c r="A2044" s="15">
        <v>41154</v>
      </c>
      <c r="B2044" s="7">
        <v>1116662356</v>
      </c>
      <c r="C2044" s="11">
        <v>45937.312569444402</v>
      </c>
      <c r="D2044" s="17" t="s">
        <v>1958</v>
      </c>
      <c r="E2044" t="str">
        <f>IF(COUNTIF($B$2:B2044,B2044)&gt;1,"Duplicado","Único")</f>
        <v>Único</v>
      </c>
    </row>
    <row r="2045" spans="1:5" x14ac:dyDescent="0.25">
      <c r="A2045" s="15">
        <v>1733</v>
      </c>
      <c r="B2045" s="7">
        <v>1116664165</v>
      </c>
      <c r="C2045" s="11">
        <v>46086.690451388902</v>
      </c>
      <c r="D2045" s="17" t="s">
        <v>988</v>
      </c>
      <c r="E2045" t="str">
        <f>IF(COUNTIF($B$2:B2045,B2045)&gt;1,"Duplicado","Único")</f>
        <v>Único</v>
      </c>
    </row>
    <row r="2046" spans="1:5" hidden="1" x14ac:dyDescent="0.25">
      <c r="A2046" s="15">
        <v>1733</v>
      </c>
      <c r="B2046" s="7">
        <v>1116664165</v>
      </c>
      <c r="C2046" s="11">
        <v>46037.3675925926</v>
      </c>
      <c r="D2046" s="17" t="s">
        <v>3187</v>
      </c>
      <c r="E2046" t="str">
        <f>IF(COUNTIF($B$2:B2046,B2046)&gt;1,"Duplicado","Único")</f>
        <v>Duplicado</v>
      </c>
    </row>
    <row r="2047" spans="1:5" x14ac:dyDescent="0.25">
      <c r="A2047" s="15">
        <v>38163</v>
      </c>
      <c r="B2047" s="7">
        <v>1116780123</v>
      </c>
      <c r="C2047" s="11">
        <v>45925.408888888902</v>
      </c>
      <c r="D2047" s="17" t="s">
        <v>1822</v>
      </c>
      <c r="E2047" t="str">
        <f>IF(COUNTIF($B$2:B2047,B2047)&gt;1,"Duplicado","Único")</f>
        <v>Único</v>
      </c>
    </row>
    <row r="2048" spans="1:5" x14ac:dyDescent="0.25">
      <c r="A2048" s="15">
        <v>3965</v>
      </c>
      <c r="B2048" s="7">
        <v>1116783796</v>
      </c>
      <c r="C2048" s="11">
        <v>46086.792268518497</v>
      </c>
      <c r="D2048" s="17" t="s">
        <v>3987</v>
      </c>
      <c r="E2048" t="str">
        <f>IF(COUNTIF($B$2:B2048,B2048)&gt;1,"Duplicado","Único")</f>
        <v>Único</v>
      </c>
    </row>
    <row r="2049" spans="1:5" hidden="1" x14ac:dyDescent="0.25">
      <c r="A2049" s="15">
        <v>3965</v>
      </c>
      <c r="B2049" s="7">
        <v>1116783796</v>
      </c>
      <c r="C2049" s="11">
        <v>46055.6727314815</v>
      </c>
      <c r="D2049" s="17" t="s">
        <v>3618</v>
      </c>
      <c r="E2049" t="str">
        <f>IF(COUNTIF($B$2:B2049,B2049)&gt;1,"Duplicado","Único")</f>
        <v>Duplicado</v>
      </c>
    </row>
    <row r="2050" spans="1:5" x14ac:dyDescent="0.25">
      <c r="A2050" s="15">
        <v>22541</v>
      </c>
      <c r="B2050" s="7">
        <v>1116792455</v>
      </c>
      <c r="C2050" s="11">
        <v>45842.330798611103</v>
      </c>
      <c r="D2050" s="17" t="s">
        <v>1023</v>
      </c>
      <c r="E2050" t="str">
        <f>IF(COUNTIF($B$2:B2050,B2050)&gt;1,"Duplicado","Único")</f>
        <v>Único</v>
      </c>
    </row>
    <row r="2051" spans="1:5" x14ac:dyDescent="0.25">
      <c r="A2051" s="15">
        <v>31397</v>
      </c>
      <c r="B2051" s="7">
        <v>1116794898</v>
      </c>
      <c r="C2051" s="11">
        <v>45911.446817129603</v>
      </c>
      <c r="D2051" s="17" t="s">
        <v>1667</v>
      </c>
      <c r="E2051" t="str">
        <f>IF(COUNTIF($B$2:B2051,B2051)&gt;1,"Duplicado","Único")</f>
        <v>Único</v>
      </c>
    </row>
    <row r="2052" spans="1:5" x14ac:dyDescent="0.25">
      <c r="A2052" s="15">
        <v>48126</v>
      </c>
      <c r="B2052" s="7">
        <v>1116865466</v>
      </c>
      <c r="C2052" s="11">
        <v>45974.415775463</v>
      </c>
      <c r="D2052" s="17" t="s">
        <v>2498</v>
      </c>
      <c r="E2052" t="str">
        <f>IF(COUNTIF($B$2:B2052,B2052)&gt;1,"Duplicado","Único")</f>
        <v>Único</v>
      </c>
    </row>
    <row r="2053" spans="1:5" x14ac:dyDescent="0.25">
      <c r="A2053" s="15">
        <v>14569</v>
      </c>
      <c r="B2053" s="7">
        <v>1116873414</v>
      </c>
      <c r="C2053" s="11">
        <v>46120.487060185202</v>
      </c>
      <c r="D2053" s="17" t="s">
        <v>4275</v>
      </c>
      <c r="E2053" t="str">
        <f>IF(COUNTIF($B$2:B2053,B2053)&gt;1,"Duplicado","Único")</f>
        <v>Único</v>
      </c>
    </row>
    <row r="2054" spans="1:5" hidden="1" x14ac:dyDescent="0.25">
      <c r="A2054" s="15">
        <v>14569</v>
      </c>
      <c r="B2054" s="7">
        <v>1116873414</v>
      </c>
      <c r="C2054" s="11">
        <v>46090.672881944403</v>
      </c>
      <c r="D2054" s="17" t="s">
        <v>4022</v>
      </c>
      <c r="E2054" t="str">
        <f>IF(COUNTIF($B$2:B2054,B2054)&gt;1,"Duplicado","Único")</f>
        <v>Duplicado</v>
      </c>
    </row>
    <row r="2055" spans="1:5" x14ac:dyDescent="0.25">
      <c r="A2055" s="15">
        <v>28976</v>
      </c>
      <c r="B2055" s="7">
        <v>1117523242</v>
      </c>
      <c r="C2055" s="11">
        <v>45890.667766203696</v>
      </c>
      <c r="D2055" s="17" t="s">
        <v>1371</v>
      </c>
      <c r="E2055" t="str">
        <f>IF(COUNTIF($B$2:B2055,B2055)&gt;1,"Duplicado","Único")</f>
        <v>Único</v>
      </c>
    </row>
    <row r="2056" spans="1:5" x14ac:dyDescent="0.25">
      <c r="A2056" s="15">
        <v>52619</v>
      </c>
      <c r="B2056" s="7">
        <v>1117529832</v>
      </c>
      <c r="C2056" s="11">
        <v>46051.6024189815</v>
      </c>
      <c r="D2056" s="17" t="s">
        <v>3532</v>
      </c>
      <c r="E2056" t="str">
        <f>IF(COUNTIF($B$2:B2056,B2056)&gt;1,"Duplicado","Único")</f>
        <v>Único</v>
      </c>
    </row>
    <row r="2057" spans="1:5" hidden="1" x14ac:dyDescent="0.25">
      <c r="A2057" s="15">
        <v>52619</v>
      </c>
      <c r="B2057" s="7">
        <v>1117529832</v>
      </c>
      <c r="C2057" s="11">
        <v>46007.5092939815</v>
      </c>
      <c r="D2057" s="17" t="s">
        <v>2956</v>
      </c>
      <c r="E2057" t="str">
        <f>IF(COUNTIF($B$2:B2057,B2057)&gt;1,"Duplicado","Único")</f>
        <v>Duplicado</v>
      </c>
    </row>
    <row r="2058" spans="1:5" x14ac:dyDescent="0.25">
      <c r="A2058" s="15">
        <v>48192</v>
      </c>
      <c r="B2058" s="7">
        <v>1117543963</v>
      </c>
      <c r="C2058" s="11">
        <v>45974.450173611098</v>
      </c>
      <c r="D2058" s="17" t="s">
        <v>2507</v>
      </c>
      <c r="E2058" t="str">
        <f>IF(COUNTIF($B$2:B2058,B2058)&gt;1,"Duplicado","Único")</f>
        <v>Único</v>
      </c>
    </row>
    <row r="2059" spans="1:5" x14ac:dyDescent="0.25">
      <c r="A2059" s="15">
        <v>20936</v>
      </c>
      <c r="B2059" s="7">
        <v>1117546245</v>
      </c>
      <c r="C2059" s="11">
        <v>45821.715219907397</v>
      </c>
      <c r="D2059" s="17" t="s">
        <v>914</v>
      </c>
      <c r="E2059" t="str">
        <f>IF(COUNTIF($B$2:B2059,B2059)&gt;1,"Duplicado","Único")</f>
        <v>Único</v>
      </c>
    </row>
    <row r="2060" spans="1:5" x14ac:dyDescent="0.25">
      <c r="A2060" s="15">
        <v>4005</v>
      </c>
      <c r="B2060" s="7">
        <v>1117547086</v>
      </c>
      <c r="C2060" s="11">
        <v>46086.792754629598</v>
      </c>
      <c r="D2060" s="17" t="s">
        <v>3988</v>
      </c>
      <c r="E2060" t="str">
        <f>IF(COUNTIF($B$2:B2060,B2060)&gt;1,"Duplicado","Único")</f>
        <v>Único</v>
      </c>
    </row>
    <row r="2061" spans="1:5" hidden="1" x14ac:dyDescent="0.25">
      <c r="A2061" s="15">
        <v>4005</v>
      </c>
      <c r="B2061" s="7">
        <v>1117547086</v>
      </c>
      <c r="C2061" s="11">
        <v>46055.484155092599</v>
      </c>
      <c r="D2061" s="17" t="s">
        <v>3612</v>
      </c>
      <c r="E2061" t="str">
        <f>IF(COUNTIF($B$2:B2061,B2061)&gt;1,"Duplicado","Único")</f>
        <v>Duplicado</v>
      </c>
    </row>
    <row r="2062" spans="1:5" x14ac:dyDescent="0.25">
      <c r="A2062" s="15">
        <v>25269</v>
      </c>
      <c r="B2062" s="7">
        <v>1117817153</v>
      </c>
      <c r="C2062" s="11">
        <v>45860.412905092599</v>
      </c>
      <c r="D2062" s="17" t="s">
        <v>1118</v>
      </c>
      <c r="E2062" t="str">
        <f>IF(COUNTIF($B$2:B2062,B2062)&gt;1,"Duplicado","Único")</f>
        <v>Único</v>
      </c>
    </row>
    <row r="2063" spans="1:5" x14ac:dyDescent="0.25">
      <c r="A2063" s="15">
        <v>2650</v>
      </c>
      <c r="B2063" s="7">
        <v>1117971664</v>
      </c>
      <c r="C2063" s="11">
        <v>46086.755682870396</v>
      </c>
      <c r="D2063" s="17" t="s">
        <v>993</v>
      </c>
      <c r="E2063" t="str">
        <f>IF(COUNTIF($B$2:B2063,B2063)&gt;1,"Duplicado","Único")</f>
        <v>Único</v>
      </c>
    </row>
    <row r="2064" spans="1:5" hidden="1" x14ac:dyDescent="0.25">
      <c r="A2064" s="15">
        <v>2650</v>
      </c>
      <c r="B2064" s="7">
        <v>1117971664</v>
      </c>
      <c r="C2064" s="11">
        <v>46051.654143518499</v>
      </c>
      <c r="D2064" s="17" t="s">
        <v>3549</v>
      </c>
      <c r="E2064" t="str">
        <f>IF(COUNTIF($B$2:B2064,B2064)&gt;1,"Duplicado","Único")</f>
        <v>Duplicado</v>
      </c>
    </row>
    <row r="2065" spans="1:5" x14ac:dyDescent="0.25">
      <c r="A2065" s="15">
        <v>29333</v>
      </c>
      <c r="B2065" s="7">
        <v>1118121883</v>
      </c>
      <c r="C2065" s="11">
        <v>45894.498715277798</v>
      </c>
      <c r="D2065" s="17" t="s">
        <v>1402</v>
      </c>
      <c r="E2065" t="str">
        <f>IF(COUNTIF($B$2:B2065,B2065)&gt;1,"Duplicado","Único")</f>
        <v>Único</v>
      </c>
    </row>
    <row r="2066" spans="1:5" x14ac:dyDescent="0.25">
      <c r="A2066" s="15">
        <v>28711</v>
      </c>
      <c r="B2066" s="7">
        <v>1118260488</v>
      </c>
      <c r="C2066" s="11">
        <v>45888.6386921296</v>
      </c>
      <c r="D2066" s="17" t="s">
        <v>1358</v>
      </c>
      <c r="E2066" t="str">
        <f>IF(COUNTIF($B$2:B2066,B2066)&gt;1,"Duplicado","Único")</f>
        <v>Único</v>
      </c>
    </row>
    <row r="2067" spans="1:5" x14ac:dyDescent="0.25">
      <c r="A2067" s="15">
        <v>30693</v>
      </c>
      <c r="B2067" s="7">
        <v>1118295404</v>
      </c>
      <c r="C2067" s="11">
        <v>45901.4770138889</v>
      </c>
      <c r="D2067" s="17" t="s">
        <v>1475</v>
      </c>
      <c r="E2067" t="str">
        <f>IF(COUNTIF($B$2:B2067,B2067)&gt;1,"Duplicado","Único")</f>
        <v>Único</v>
      </c>
    </row>
    <row r="2068" spans="1:5" x14ac:dyDescent="0.25">
      <c r="A2068" s="15">
        <v>20517</v>
      </c>
      <c r="B2068" s="7">
        <v>1118312022</v>
      </c>
      <c r="C2068" s="11">
        <v>45820.501805555599</v>
      </c>
      <c r="D2068" s="17" t="s">
        <v>890</v>
      </c>
      <c r="E2068" t="str">
        <f>IF(COUNTIF($B$2:B2068,B2068)&gt;1,"Duplicado","Único")</f>
        <v>Único</v>
      </c>
    </row>
    <row r="2069" spans="1:5" x14ac:dyDescent="0.25">
      <c r="A2069" s="15">
        <v>29362</v>
      </c>
      <c r="B2069" s="7">
        <v>1118532099</v>
      </c>
      <c r="C2069" s="11">
        <v>45894.518981481502</v>
      </c>
      <c r="D2069" s="17" t="s">
        <v>1404</v>
      </c>
      <c r="E2069" t="str">
        <f>IF(COUNTIF($B$2:B2069,B2069)&gt;1,"Duplicado","Único")</f>
        <v>Único</v>
      </c>
    </row>
    <row r="2070" spans="1:5" x14ac:dyDescent="0.25">
      <c r="A2070" s="15">
        <v>18362</v>
      </c>
      <c r="B2070" s="7">
        <v>1118539448</v>
      </c>
      <c r="C2070" s="11">
        <v>45800.635810185202</v>
      </c>
      <c r="D2070" s="17" t="s">
        <v>761</v>
      </c>
      <c r="E2070" t="str">
        <f>IF(COUNTIF($B$2:B2070,B2070)&gt;1,"Duplicado","Único")</f>
        <v>Único</v>
      </c>
    </row>
    <row r="2071" spans="1:5" x14ac:dyDescent="0.25">
      <c r="A2071" s="15">
        <v>46481</v>
      </c>
      <c r="B2071" s="7">
        <v>1118545564</v>
      </c>
      <c r="C2071" s="11">
        <v>45966.641990740703</v>
      </c>
      <c r="D2071" s="17" t="s">
        <v>2333</v>
      </c>
      <c r="E2071" t="str">
        <f>IF(COUNTIF($B$2:B2071,B2071)&gt;1,"Duplicado","Único")</f>
        <v>Único</v>
      </c>
    </row>
    <row r="2072" spans="1:5" x14ac:dyDescent="0.25">
      <c r="A2072" s="15">
        <v>43068</v>
      </c>
      <c r="B2072" s="7">
        <v>1118545607</v>
      </c>
      <c r="C2072" s="11">
        <v>45953.5996296296</v>
      </c>
      <c r="D2072" s="17" t="s">
        <v>2053</v>
      </c>
      <c r="E2072" t="str">
        <f>IF(COUNTIF($B$2:B2072,B2072)&gt;1,"Duplicado","Único")</f>
        <v>Único</v>
      </c>
    </row>
    <row r="2073" spans="1:5" x14ac:dyDescent="0.25">
      <c r="A2073" s="15">
        <v>49156</v>
      </c>
      <c r="B2073" s="7">
        <v>1118561913</v>
      </c>
      <c r="C2073" s="11">
        <v>45981.354375000003</v>
      </c>
      <c r="D2073" s="17" t="s">
        <v>2624</v>
      </c>
      <c r="E2073" t="str">
        <f>IF(COUNTIF($B$2:B2073,B2073)&gt;1,"Duplicado","Único")</f>
        <v>Único</v>
      </c>
    </row>
    <row r="2074" spans="1:5" x14ac:dyDescent="0.25">
      <c r="A2074" s="15">
        <v>46825</v>
      </c>
      <c r="B2074" s="7">
        <v>1118562724</v>
      </c>
      <c r="C2074" s="11">
        <v>45967.685810185198</v>
      </c>
      <c r="D2074" s="17" t="s">
        <v>2354</v>
      </c>
      <c r="E2074" t="str">
        <f>IF(COUNTIF($B$2:B2074,B2074)&gt;1,"Duplicado","Único")</f>
        <v>Único</v>
      </c>
    </row>
    <row r="2075" spans="1:5" x14ac:dyDescent="0.25">
      <c r="A2075" s="15">
        <v>37051</v>
      </c>
      <c r="B2075" s="7">
        <v>1118563493</v>
      </c>
      <c r="C2075" s="11">
        <v>45922.434166666702</v>
      </c>
      <c r="D2075" s="17" t="s">
        <v>1780</v>
      </c>
      <c r="E2075" t="str">
        <f>IF(COUNTIF($B$2:B2075,B2075)&gt;1,"Duplicado","Único")</f>
        <v>Único</v>
      </c>
    </row>
    <row r="2076" spans="1:5" x14ac:dyDescent="0.25">
      <c r="A2076" s="15">
        <v>7872</v>
      </c>
      <c r="B2076" s="7">
        <v>1118563574</v>
      </c>
      <c r="C2076" s="11">
        <v>46087.630810185197</v>
      </c>
      <c r="D2076" s="17" t="s">
        <v>4002</v>
      </c>
      <c r="E2076" t="str">
        <f>IF(COUNTIF($B$2:B2076,B2076)&gt;1,"Duplicado","Único")</f>
        <v>Único</v>
      </c>
    </row>
    <row r="2077" spans="1:5" hidden="1" x14ac:dyDescent="0.25">
      <c r="A2077" s="15">
        <v>7872</v>
      </c>
      <c r="B2077" s="7">
        <v>1118563574</v>
      </c>
      <c r="C2077" s="11">
        <v>46072.659189814804</v>
      </c>
      <c r="D2077" s="17" t="s">
        <v>744</v>
      </c>
      <c r="E2077" t="str">
        <f>IF(COUNTIF($B$2:B2077,B2077)&gt;1,"Duplicado","Único")</f>
        <v>Duplicado</v>
      </c>
    </row>
    <row r="2078" spans="1:5" x14ac:dyDescent="0.25">
      <c r="A2078" s="15">
        <v>16661</v>
      </c>
      <c r="B2078" s="7">
        <v>1118564585</v>
      </c>
      <c r="C2078" s="11">
        <v>46121.516967592601</v>
      </c>
      <c r="D2078" s="17" t="s">
        <v>1223</v>
      </c>
      <c r="E2078" t="str">
        <f>IF(COUNTIF($B$2:B2078,B2078)&gt;1,"Duplicado","Único")</f>
        <v>Único</v>
      </c>
    </row>
    <row r="2079" spans="1:5" hidden="1" x14ac:dyDescent="0.25">
      <c r="A2079" s="15">
        <v>16661</v>
      </c>
      <c r="B2079" s="7">
        <v>1118564585</v>
      </c>
      <c r="C2079" s="11">
        <v>46101.845972222203</v>
      </c>
      <c r="D2079" s="17" t="s">
        <v>4170</v>
      </c>
      <c r="E2079" t="str">
        <f>IF(COUNTIF($B$2:B2079,B2079)&gt;1,"Duplicado","Único")</f>
        <v>Duplicado</v>
      </c>
    </row>
    <row r="2080" spans="1:5" x14ac:dyDescent="0.25">
      <c r="A2080" s="15">
        <v>24453</v>
      </c>
      <c r="B2080" s="7">
        <v>1118571295</v>
      </c>
      <c r="C2080" s="11">
        <v>45856.488032407397</v>
      </c>
      <c r="D2080" s="17" t="s">
        <v>1082</v>
      </c>
      <c r="E2080" t="str">
        <f>IF(COUNTIF($B$2:B2080,B2080)&gt;1,"Duplicado","Único")</f>
        <v>Único</v>
      </c>
    </row>
    <row r="2081" spans="1:5" x14ac:dyDescent="0.25">
      <c r="A2081" s="15">
        <v>2921</v>
      </c>
      <c r="B2081" s="7">
        <v>1118817101</v>
      </c>
      <c r="C2081" s="11">
        <v>46086.739039351902</v>
      </c>
      <c r="D2081" s="17" t="s">
        <v>3924</v>
      </c>
      <c r="E2081" t="str">
        <f>IF(COUNTIF($B$2:B2081,B2081)&gt;1,"Duplicado","Único")</f>
        <v>Único</v>
      </c>
    </row>
    <row r="2082" spans="1:5" hidden="1" x14ac:dyDescent="0.25">
      <c r="A2082" s="15">
        <v>2921</v>
      </c>
      <c r="B2082" s="7">
        <v>1118817101</v>
      </c>
      <c r="C2082" s="11">
        <v>46050.608587962997</v>
      </c>
      <c r="D2082" s="17" t="s">
        <v>3312</v>
      </c>
      <c r="E2082" t="str">
        <f>IF(COUNTIF($B$2:B2082,B2082)&gt;1,"Duplicado","Único")</f>
        <v>Duplicado</v>
      </c>
    </row>
    <row r="2083" spans="1:5" x14ac:dyDescent="0.25">
      <c r="A2083" s="15">
        <v>17144</v>
      </c>
      <c r="B2083" s="7">
        <v>1118823654</v>
      </c>
      <c r="C2083" s="11">
        <v>46149.484814814801</v>
      </c>
      <c r="D2083" s="17" t="s">
        <v>4510</v>
      </c>
      <c r="E2083" t="str">
        <f>IF(COUNTIF($B$2:B2083,B2083)&gt;1,"Duplicado","Único")</f>
        <v>Único</v>
      </c>
    </row>
    <row r="2084" spans="1:5" hidden="1" x14ac:dyDescent="0.25">
      <c r="A2084" s="15">
        <v>17144</v>
      </c>
      <c r="B2084" s="7">
        <v>1118823654</v>
      </c>
      <c r="C2084" s="11">
        <v>46108.466273148202</v>
      </c>
      <c r="D2084" s="17" t="s">
        <v>4183</v>
      </c>
      <c r="E2084" t="str">
        <f>IF(COUNTIF($B$2:B2084,B2084)&gt;1,"Duplicado","Único")</f>
        <v>Duplicado</v>
      </c>
    </row>
    <row r="2085" spans="1:5" x14ac:dyDescent="0.25">
      <c r="A2085" s="15">
        <v>46832</v>
      </c>
      <c r="B2085" s="7">
        <v>1118834987</v>
      </c>
      <c r="C2085" s="11">
        <v>45967.709930555597</v>
      </c>
      <c r="D2085" s="17" t="s">
        <v>2365</v>
      </c>
      <c r="E2085" t="str">
        <f>IF(COUNTIF($B$2:B2085,B2085)&gt;1,"Duplicado","Único")</f>
        <v>Único</v>
      </c>
    </row>
    <row r="2086" spans="1:5" x14ac:dyDescent="0.25">
      <c r="A2086" s="15">
        <v>38860</v>
      </c>
      <c r="B2086" s="7">
        <v>1118843679</v>
      </c>
      <c r="C2086" s="11">
        <v>45929.426759259302</v>
      </c>
      <c r="D2086" s="17" t="s">
        <v>1857</v>
      </c>
      <c r="E2086" t="str">
        <f>IF(COUNTIF($B$2:B2086,B2086)&gt;1,"Duplicado","Único")</f>
        <v>Único</v>
      </c>
    </row>
    <row r="2087" spans="1:5" x14ac:dyDescent="0.25">
      <c r="A2087" s="15">
        <v>45878</v>
      </c>
      <c r="B2087" s="7">
        <v>1119817203</v>
      </c>
      <c r="C2087" s="11">
        <v>45961.451967592599</v>
      </c>
      <c r="D2087" s="17" t="s">
        <v>2272</v>
      </c>
      <c r="E2087" t="str">
        <f>IF(COUNTIF($B$2:B2087,B2087)&gt;1,"Duplicado","Único")</f>
        <v>Único</v>
      </c>
    </row>
    <row r="2088" spans="1:5" x14ac:dyDescent="0.25">
      <c r="A2088" s="15">
        <v>17156</v>
      </c>
      <c r="B2088" s="7">
        <v>1119838015</v>
      </c>
      <c r="C2088" s="11">
        <v>46149.485439814802</v>
      </c>
      <c r="D2088" s="17" t="s">
        <v>4511</v>
      </c>
      <c r="E2088" t="str">
        <f>IF(COUNTIF($B$2:B2088,B2088)&gt;1,"Duplicado","Único")</f>
        <v>Único</v>
      </c>
    </row>
    <row r="2089" spans="1:5" hidden="1" x14ac:dyDescent="0.25">
      <c r="A2089" s="15">
        <v>17156</v>
      </c>
      <c r="B2089" s="7">
        <v>1119838015</v>
      </c>
      <c r="C2089" s="11">
        <v>46108.508703703701</v>
      </c>
      <c r="D2089" s="17" t="s">
        <v>4211</v>
      </c>
      <c r="E2089" t="str">
        <f>IF(COUNTIF($B$2:B2089,B2089)&gt;1,"Duplicado","Único")</f>
        <v>Duplicado</v>
      </c>
    </row>
    <row r="2090" spans="1:5" x14ac:dyDescent="0.25">
      <c r="A2090" s="15">
        <v>51148</v>
      </c>
      <c r="B2090" s="7">
        <v>1119891009</v>
      </c>
      <c r="C2090" s="11">
        <v>46050.691736111097</v>
      </c>
      <c r="D2090" s="17" t="s">
        <v>3411</v>
      </c>
      <c r="E2090" t="str">
        <f>IF(COUNTIF($B$2:B2090,B2090)&gt;1,"Duplicado","Único")</f>
        <v>Único</v>
      </c>
    </row>
    <row r="2091" spans="1:5" hidden="1" x14ac:dyDescent="0.25">
      <c r="A2091" s="15">
        <v>51148</v>
      </c>
      <c r="B2091" s="7">
        <v>1119891009</v>
      </c>
      <c r="C2091" s="11">
        <v>46000.686215277798</v>
      </c>
      <c r="D2091" s="17" t="s">
        <v>2847</v>
      </c>
      <c r="E2091" t="str">
        <f>IF(COUNTIF($B$2:B2091,B2091)&gt;1,"Duplicado","Único")</f>
        <v>Duplicado</v>
      </c>
    </row>
    <row r="2092" spans="1:5" x14ac:dyDescent="0.25">
      <c r="A2092" s="15">
        <v>51022</v>
      </c>
      <c r="B2092" s="7">
        <v>1119894220</v>
      </c>
      <c r="C2092" s="11">
        <v>46050.692488425899</v>
      </c>
      <c r="D2092" s="17" t="s">
        <v>3412</v>
      </c>
      <c r="E2092" t="str">
        <f>IF(COUNTIF($B$2:B2092,B2092)&gt;1,"Duplicado","Único")</f>
        <v>Único</v>
      </c>
    </row>
    <row r="2093" spans="1:5" hidden="1" x14ac:dyDescent="0.25">
      <c r="A2093" s="15">
        <v>51022</v>
      </c>
      <c r="B2093" s="7">
        <v>1119894220</v>
      </c>
      <c r="C2093" s="11">
        <v>46000.636458333298</v>
      </c>
      <c r="D2093" s="17" t="s">
        <v>2840</v>
      </c>
      <c r="E2093" t="str">
        <f>IF(COUNTIF($B$2:B2093,B2093)&gt;1,"Duplicado","Único")</f>
        <v>Duplicado</v>
      </c>
    </row>
    <row r="2094" spans="1:5" x14ac:dyDescent="0.25">
      <c r="A2094" s="15">
        <v>856</v>
      </c>
      <c r="B2094" s="7">
        <v>1120367989</v>
      </c>
      <c r="C2094" s="11">
        <v>46086.540335648097</v>
      </c>
      <c r="D2094" s="17" t="s">
        <v>3839</v>
      </c>
      <c r="E2094" t="str">
        <f>IF(COUNTIF($B$2:B2094,B2094)&gt;1,"Duplicado","Único")</f>
        <v>Único</v>
      </c>
    </row>
    <row r="2095" spans="1:5" hidden="1" x14ac:dyDescent="0.25">
      <c r="A2095" s="15">
        <v>856</v>
      </c>
      <c r="B2095" s="7">
        <v>1120367989</v>
      </c>
      <c r="C2095" s="11">
        <v>46035.5308449074</v>
      </c>
      <c r="D2095" s="17" t="s">
        <v>3150</v>
      </c>
      <c r="E2095" t="str">
        <f>IF(COUNTIF($B$2:B2095,B2095)&gt;1,"Duplicado","Único")</f>
        <v>Duplicado</v>
      </c>
    </row>
    <row r="2096" spans="1:5" x14ac:dyDescent="0.25">
      <c r="A2096" s="15">
        <v>51146</v>
      </c>
      <c r="B2096" s="7">
        <v>1120740052</v>
      </c>
      <c r="C2096" s="11">
        <v>46051.474247685197</v>
      </c>
      <c r="D2096" s="17" t="s">
        <v>3498</v>
      </c>
      <c r="E2096" t="str">
        <f>IF(COUNTIF($B$2:B2096,B2096)&gt;1,"Duplicado","Único")</f>
        <v>Único</v>
      </c>
    </row>
    <row r="2097" spans="1:5" hidden="1" x14ac:dyDescent="0.25">
      <c r="A2097" s="15">
        <v>51146</v>
      </c>
      <c r="B2097" s="7">
        <v>1120740052</v>
      </c>
      <c r="C2097" s="11">
        <v>46003.702465277798</v>
      </c>
      <c r="D2097" s="17" t="s">
        <v>2928</v>
      </c>
      <c r="E2097" t="str">
        <f>IF(COUNTIF($B$2:B2097,B2097)&gt;1,"Duplicado","Único")</f>
        <v>Duplicado</v>
      </c>
    </row>
    <row r="2098" spans="1:5" hidden="1" x14ac:dyDescent="0.25">
      <c r="A2098" s="15">
        <v>51146</v>
      </c>
      <c r="B2098" s="7">
        <v>1120740052</v>
      </c>
      <c r="C2098" s="11">
        <v>46000.6851157407</v>
      </c>
      <c r="D2098" s="17" t="s">
        <v>2846</v>
      </c>
      <c r="E2098" t="str">
        <f>IF(COUNTIF($B$2:B2098,B2098)&gt;1,"Duplicado","Único")</f>
        <v>Duplicado</v>
      </c>
    </row>
    <row r="2099" spans="1:5" x14ac:dyDescent="0.25">
      <c r="A2099" s="15">
        <v>16240</v>
      </c>
      <c r="B2099" s="7">
        <v>1120740876</v>
      </c>
      <c r="C2099" s="11">
        <v>46121.517476851899</v>
      </c>
      <c r="D2099" s="17" t="s">
        <v>4419</v>
      </c>
      <c r="E2099" t="str">
        <f>IF(COUNTIF($B$2:B2099,B2099)&gt;1,"Duplicado","Único")</f>
        <v>Único</v>
      </c>
    </row>
    <row r="2100" spans="1:5" hidden="1" x14ac:dyDescent="0.25">
      <c r="A2100" s="15">
        <v>16240</v>
      </c>
      <c r="B2100" s="7">
        <v>1120740876</v>
      </c>
      <c r="C2100" s="11">
        <v>46101.807187500002</v>
      </c>
      <c r="D2100" s="17" t="s">
        <v>4137</v>
      </c>
      <c r="E2100" t="str">
        <f>IF(COUNTIF($B$2:B2100,B2100)&gt;1,"Duplicado","Único")</f>
        <v>Duplicado</v>
      </c>
    </row>
    <row r="2101" spans="1:5" x14ac:dyDescent="0.25">
      <c r="A2101" s="15">
        <v>32094</v>
      </c>
      <c r="B2101" s="7">
        <v>1120741834</v>
      </c>
      <c r="C2101" s="11">
        <v>45908.3762152778</v>
      </c>
      <c r="D2101" s="17" t="s">
        <v>1591</v>
      </c>
      <c r="E2101" t="str">
        <f>IF(COUNTIF($B$2:B2101,B2101)&gt;1,"Duplicado","Único")</f>
        <v>Único</v>
      </c>
    </row>
    <row r="2102" spans="1:5" x14ac:dyDescent="0.25">
      <c r="A2102" s="15">
        <v>48876</v>
      </c>
      <c r="B2102" s="7">
        <v>1120870518</v>
      </c>
      <c r="C2102" s="11">
        <v>45980.367476851898</v>
      </c>
      <c r="D2102" s="17" t="s">
        <v>2582</v>
      </c>
      <c r="E2102" t="str">
        <f>IF(COUNTIF($B$2:B2102,B2102)&gt;1,"Duplicado","Único")</f>
        <v>Único</v>
      </c>
    </row>
    <row r="2103" spans="1:5" x14ac:dyDescent="0.25">
      <c r="A2103" s="15">
        <v>45605</v>
      </c>
      <c r="B2103" s="7">
        <v>1121817619</v>
      </c>
      <c r="C2103" s="11">
        <v>45960.535451388903</v>
      </c>
      <c r="D2103" s="17" t="s">
        <v>2243</v>
      </c>
      <c r="E2103" t="str">
        <f>IF(COUNTIF($B$2:B2103,B2103)&gt;1,"Duplicado","Único")</f>
        <v>Único</v>
      </c>
    </row>
    <row r="2104" spans="1:5" x14ac:dyDescent="0.25">
      <c r="A2104" s="15">
        <v>51658</v>
      </c>
      <c r="B2104" s="7">
        <v>1121826907</v>
      </c>
      <c r="C2104" s="11">
        <v>46051.440497685202</v>
      </c>
      <c r="D2104" s="17" t="s">
        <v>3462</v>
      </c>
      <c r="E2104" t="str">
        <f>IF(COUNTIF($B$2:B2104,B2104)&gt;1,"Duplicado","Único")</f>
        <v>Único</v>
      </c>
    </row>
    <row r="2105" spans="1:5" hidden="1" x14ac:dyDescent="0.25">
      <c r="A2105" s="15">
        <v>51658</v>
      </c>
      <c r="B2105" s="7">
        <v>1121826907</v>
      </c>
      <c r="C2105" s="11">
        <v>46002.488217592603</v>
      </c>
      <c r="D2105" s="17" t="s">
        <v>2874</v>
      </c>
      <c r="E2105" t="str">
        <f>IF(COUNTIF($B$2:B2105,B2105)&gt;1,"Duplicado","Único")</f>
        <v>Duplicado</v>
      </c>
    </row>
    <row r="2106" spans="1:5" x14ac:dyDescent="0.25">
      <c r="A2106" s="15">
        <v>42437</v>
      </c>
      <c r="B2106" s="7">
        <v>1121832359</v>
      </c>
      <c r="C2106" s="11">
        <v>45952.745254629597</v>
      </c>
      <c r="D2106" s="17" t="s">
        <v>2038</v>
      </c>
      <c r="E2106" t="str">
        <f>IF(COUNTIF($B$2:B2106,B2106)&gt;1,"Duplicado","Único")</f>
        <v>Único</v>
      </c>
    </row>
    <row r="2107" spans="1:5" x14ac:dyDescent="0.25">
      <c r="A2107" s="15">
        <v>1769</v>
      </c>
      <c r="B2107" s="7">
        <v>1121834004</v>
      </c>
      <c r="C2107" s="11">
        <v>46086.691018518497</v>
      </c>
      <c r="D2107" s="17" t="s">
        <v>3876</v>
      </c>
      <c r="E2107" t="str">
        <f>IF(COUNTIF($B$2:B2107,B2107)&gt;1,"Duplicado","Único")</f>
        <v>Único</v>
      </c>
    </row>
    <row r="2108" spans="1:5" hidden="1" x14ac:dyDescent="0.25">
      <c r="A2108" s="15">
        <v>1769</v>
      </c>
      <c r="B2108" s="7">
        <v>1121834004</v>
      </c>
      <c r="C2108" s="11">
        <v>46037.407986111102</v>
      </c>
      <c r="D2108" s="17" t="s">
        <v>3191</v>
      </c>
      <c r="E2108" t="str">
        <f>IF(COUNTIF($B$2:B2108,B2108)&gt;1,"Duplicado","Único")</f>
        <v>Duplicado</v>
      </c>
    </row>
    <row r="2109" spans="1:5" x14ac:dyDescent="0.25">
      <c r="A2109" s="15">
        <v>41518</v>
      </c>
      <c r="B2109" s="7">
        <v>1121837403</v>
      </c>
      <c r="C2109" s="11">
        <v>45938.426122685203</v>
      </c>
      <c r="D2109" s="17" t="s">
        <v>1985</v>
      </c>
      <c r="E2109" t="str">
        <f>IF(COUNTIF($B$2:B2109,B2109)&gt;1,"Duplicado","Único")</f>
        <v>Único</v>
      </c>
    </row>
    <row r="2110" spans="1:5" x14ac:dyDescent="0.25">
      <c r="A2110" s="15">
        <v>16491</v>
      </c>
      <c r="B2110" s="7">
        <v>1121854055</v>
      </c>
      <c r="C2110" s="11">
        <v>46121.517939814803</v>
      </c>
      <c r="D2110" s="17" t="s">
        <v>4420</v>
      </c>
      <c r="E2110" t="str">
        <f>IF(COUNTIF($B$2:B2110,B2110)&gt;1,"Duplicado","Único")</f>
        <v>Único</v>
      </c>
    </row>
    <row r="2111" spans="1:5" hidden="1" x14ac:dyDescent="0.25">
      <c r="A2111" s="15">
        <v>16491</v>
      </c>
      <c r="B2111" s="7">
        <v>1121854055</v>
      </c>
      <c r="C2111" s="11">
        <v>46101.824710648201</v>
      </c>
      <c r="D2111" s="17" t="s">
        <v>4157</v>
      </c>
      <c r="E2111" t="str">
        <f>IF(COUNTIF($B$2:B2111,B2111)&gt;1,"Duplicado","Único")</f>
        <v>Duplicado</v>
      </c>
    </row>
    <row r="2112" spans="1:5" x14ac:dyDescent="0.25">
      <c r="A2112" s="15">
        <v>48131</v>
      </c>
      <c r="B2112" s="7">
        <v>1121858464</v>
      </c>
      <c r="C2112" s="11">
        <v>45974.4207060185</v>
      </c>
      <c r="D2112" s="17" t="s">
        <v>2499</v>
      </c>
      <c r="E2112" t="str">
        <f>IF(COUNTIF($B$2:B2112,B2112)&gt;1,"Duplicado","Único")</f>
        <v>Único</v>
      </c>
    </row>
    <row r="2113" spans="1:5" x14ac:dyDescent="0.25">
      <c r="A2113" s="15">
        <v>48169</v>
      </c>
      <c r="B2113" s="7">
        <v>1121862177</v>
      </c>
      <c r="C2113" s="11">
        <v>45974.447280092601</v>
      </c>
      <c r="D2113" s="17" t="s">
        <v>2504</v>
      </c>
      <c r="E2113" t="str">
        <f>IF(COUNTIF($B$2:B2113,B2113)&gt;1,"Duplicado","Único")</f>
        <v>Único</v>
      </c>
    </row>
    <row r="2114" spans="1:5" x14ac:dyDescent="0.25">
      <c r="A2114" s="15">
        <v>41339</v>
      </c>
      <c r="B2114" s="7">
        <v>1121865642</v>
      </c>
      <c r="C2114" s="11">
        <v>45937.367534722202</v>
      </c>
      <c r="D2114" s="17" t="s">
        <v>1964</v>
      </c>
      <c r="E2114" t="str">
        <f>IF(COUNTIF($B$2:B2114,B2114)&gt;1,"Duplicado","Único")</f>
        <v>Único</v>
      </c>
    </row>
    <row r="2115" spans="1:5" x14ac:dyDescent="0.25">
      <c r="A2115" s="15">
        <v>52805</v>
      </c>
      <c r="B2115" s="7">
        <v>1121870248</v>
      </c>
      <c r="C2115" s="11">
        <v>46052.265520833302</v>
      </c>
      <c r="D2115" s="17" t="s">
        <v>3555</v>
      </c>
      <c r="E2115" t="str">
        <f>IF(COUNTIF($B$2:B2115,B2115)&gt;1,"Duplicado","Único")</f>
        <v>Único</v>
      </c>
    </row>
    <row r="2116" spans="1:5" hidden="1" x14ac:dyDescent="0.25">
      <c r="A2116" s="15">
        <v>52805</v>
      </c>
      <c r="B2116" s="7">
        <v>1121870248</v>
      </c>
      <c r="C2116" s="11">
        <v>46009.386990740699</v>
      </c>
      <c r="D2116" s="17" t="s">
        <v>2970</v>
      </c>
      <c r="E2116" t="str">
        <f>IF(COUNTIF($B$2:B2116,B2116)&gt;1,"Duplicado","Único")</f>
        <v>Duplicado</v>
      </c>
    </row>
    <row r="2117" spans="1:5" x14ac:dyDescent="0.25">
      <c r="A2117" s="15">
        <v>23058</v>
      </c>
      <c r="B2117" s="7">
        <v>1121871382</v>
      </c>
      <c r="C2117" s="11">
        <v>45842.407303240703</v>
      </c>
      <c r="D2117" s="17" t="s">
        <v>1036</v>
      </c>
      <c r="E2117" t="str">
        <f>IF(COUNTIF($B$2:B2117,B2117)&gt;1,"Duplicado","Único")</f>
        <v>Único</v>
      </c>
    </row>
    <row r="2118" spans="1:5" x14ac:dyDescent="0.25">
      <c r="A2118" s="15">
        <v>52214</v>
      </c>
      <c r="B2118" s="7">
        <v>1121875970</v>
      </c>
      <c r="C2118" s="11">
        <v>46051.520358796297</v>
      </c>
      <c r="D2118" s="17" t="s">
        <v>3520</v>
      </c>
      <c r="E2118" t="str">
        <f>IF(COUNTIF($B$2:B2118,B2118)&gt;1,"Duplicado","Único")</f>
        <v>Único</v>
      </c>
    </row>
    <row r="2119" spans="1:5" hidden="1" x14ac:dyDescent="0.25">
      <c r="A2119" s="15">
        <v>52214</v>
      </c>
      <c r="B2119" s="7">
        <v>1121875970</v>
      </c>
      <c r="C2119" s="11">
        <v>46007.489861111098</v>
      </c>
      <c r="D2119" s="17" t="s">
        <v>2945</v>
      </c>
      <c r="E2119" t="str">
        <f>IF(COUNTIF($B$2:B2119,B2119)&gt;1,"Duplicado","Único")</f>
        <v>Duplicado</v>
      </c>
    </row>
    <row r="2120" spans="1:5" x14ac:dyDescent="0.25">
      <c r="A2120" s="15">
        <v>26198</v>
      </c>
      <c r="B2120" s="7">
        <v>1121877371</v>
      </c>
      <c r="C2120" s="11">
        <v>45867.354143518503</v>
      </c>
      <c r="D2120" s="17" t="s">
        <v>1177</v>
      </c>
      <c r="E2120" t="str">
        <f>IF(COUNTIF($B$2:B2120,B2120)&gt;1,"Duplicado","Único")</f>
        <v>Único</v>
      </c>
    </row>
    <row r="2121" spans="1:5" x14ac:dyDescent="0.25">
      <c r="A2121" s="15">
        <v>44267</v>
      </c>
      <c r="B2121" s="7">
        <v>1121882216</v>
      </c>
      <c r="C2121" s="11">
        <v>45958.4911111111</v>
      </c>
      <c r="D2121" s="17" t="s">
        <v>2134</v>
      </c>
      <c r="E2121" t="str">
        <f>IF(COUNTIF($B$2:B2121,B2121)&gt;1,"Duplicado","Único")</f>
        <v>Único</v>
      </c>
    </row>
    <row r="2122" spans="1:5" x14ac:dyDescent="0.25">
      <c r="A2122" s="15">
        <v>30339</v>
      </c>
      <c r="B2122" s="7">
        <v>1121884554</v>
      </c>
      <c r="C2122" s="11">
        <v>45901.691296296303</v>
      </c>
      <c r="D2122" s="17" t="s">
        <v>1495</v>
      </c>
      <c r="E2122" t="str">
        <f>IF(COUNTIF($B$2:B2122,B2122)&gt;1,"Duplicado","Único")</f>
        <v>Único</v>
      </c>
    </row>
    <row r="2123" spans="1:5" x14ac:dyDescent="0.25">
      <c r="A2123" s="15">
        <v>34831</v>
      </c>
      <c r="B2123" s="7">
        <v>1121886813</v>
      </c>
      <c r="C2123" s="11">
        <v>45917.381539351903</v>
      </c>
      <c r="D2123" s="17" t="s">
        <v>1723</v>
      </c>
      <c r="E2123" t="str">
        <f>IF(COUNTIF($B$2:B2123,B2123)&gt;1,"Duplicado","Único")</f>
        <v>Único</v>
      </c>
    </row>
    <row r="2124" spans="1:5" x14ac:dyDescent="0.25">
      <c r="A2124" s="15">
        <v>31381</v>
      </c>
      <c r="B2124" s="7">
        <v>1121891710</v>
      </c>
      <c r="C2124" s="11">
        <v>45911.445208333302</v>
      </c>
      <c r="D2124" s="17" t="s">
        <v>1666</v>
      </c>
      <c r="E2124" t="str">
        <f>IF(COUNTIF($B$2:B2124,B2124)&gt;1,"Duplicado","Único")</f>
        <v>Único</v>
      </c>
    </row>
    <row r="2125" spans="1:5" x14ac:dyDescent="0.25">
      <c r="A2125" s="15">
        <v>18046</v>
      </c>
      <c r="B2125" s="7">
        <v>1121894180</v>
      </c>
      <c r="C2125" s="11">
        <v>45798.423159722202</v>
      </c>
      <c r="D2125" s="17" t="s">
        <v>744</v>
      </c>
      <c r="E2125" t="str">
        <f>IF(COUNTIF($B$2:B2125,B2125)&gt;1,"Duplicado","Único")</f>
        <v>Único</v>
      </c>
    </row>
    <row r="2126" spans="1:5" x14ac:dyDescent="0.25">
      <c r="A2126" s="15">
        <v>29698</v>
      </c>
      <c r="B2126" s="7">
        <v>1121901349</v>
      </c>
      <c r="C2126" s="11">
        <v>45895.3675925926</v>
      </c>
      <c r="D2126" s="17" t="s">
        <v>1424</v>
      </c>
      <c r="E2126" t="str">
        <f>IF(COUNTIF($B$2:B2126,B2126)&gt;1,"Duplicado","Único")</f>
        <v>Único</v>
      </c>
    </row>
    <row r="2127" spans="1:5" x14ac:dyDescent="0.25">
      <c r="A2127" s="15">
        <v>16255</v>
      </c>
      <c r="B2127" s="7">
        <v>1121915932</v>
      </c>
      <c r="C2127" s="11">
        <v>46121.518865740698</v>
      </c>
      <c r="D2127" s="17" t="s">
        <v>4421</v>
      </c>
      <c r="E2127" t="str">
        <f>IF(COUNTIF($B$2:B2127,B2127)&gt;1,"Duplicado","Único")</f>
        <v>Único</v>
      </c>
    </row>
    <row r="2128" spans="1:5" hidden="1" x14ac:dyDescent="0.25">
      <c r="A2128" s="15">
        <v>16255</v>
      </c>
      <c r="B2128" s="7">
        <v>1121915932</v>
      </c>
      <c r="C2128" s="11">
        <v>46101.637407407397</v>
      </c>
      <c r="D2128" s="17" t="s">
        <v>4097</v>
      </c>
      <c r="E2128" t="str">
        <f>IF(COUNTIF($B$2:B2128,B2128)&gt;1,"Duplicado","Único")</f>
        <v>Duplicado</v>
      </c>
    </row>
    <row r="2129" spans="1:5" x14ac:dyDescent="0.25">
      <c r="A2129" s="15">
        <v>26257</v>
      </c>
      <c r="B2129" s="7">
        <v>1121918343</v>
      </c>
      <c r="C2129" s="11">
        <v>45867.385358796302</v>
      </c>
      <c r="D2129" s="17" t="s">
        <v>1183</v>
      </c>
      <c r="E2129" t="str">
        <f>IF(COUNTIF($B$2:B2129,B2129)&gt;1,"Duplicado","Único")</f>
        <v>Único</v>
      </c>
    </row>
    <row r="2130" spans="1:5" x14ac:dyDescent="0.25">
      <c r="A2130" s="15">
        <v>48971</v>
      </c>
      <c r="B2130" s="7">
        <v>1121919143</v>
      </c>
      <c r="C2130" s="11">
        <v>45980.396944444401</v>
      </c>
      <c r="D2130" s="17" t="s">
        <v>2597</v>
      </c>
      <c r="E2130" t="str">
        <f>IF(COUNTIF($B$2:B2130,B2130)&gt;1,"Duplicado","Único")</f>
        <v>Único</v>
      </c>
    </row>
    <row r="2131" spans="1:5" x14ac:dyDescent="0.25">
      <c r="A2131" s="15">
        <v>32876</v>
      </c>
      <c r="B2131" s="7">
        <v>1121927890</v>
      </c>
      <c r="C2131" s="11">
        <v>45910.525497685201</v>
      </c>
      <c r="D2131" s="17" t="s">
        <v>1655</v>
      </c>
      <c r="E2131" t="str">
        <f>IF(COUNTIF($B$2:B2131,B2131)&gt;1,"Duplicado","Único")</f>
        <v>Único</v>
      </c>
    </row>
    <row r="2132" spans="1:5" x14ac:dyDescent="0.25">
      <c r="A2132" s="15">
        <v>17000</v>
      </c>
      <c r="B2132" s="7">
        <v>1121929214</v>
      </c>
      <c r="C2132" s="11">
        <v>46149.485891203702</v>
      </c>
      <c r="D2132" s="17" t="s">
        <v>4512</v>
      </c>
      <c r="E2132" t="str">
        <f>IF(COUNTIF($B$2:B2132,B2132)&gt;1,"Duplicado","Único")</f>
        <v>Único</v>
      </c>
    </row>
    <row r="2133" spans="1:5" hidden="1" x14ac:dyDescent="0.25">
      <c r="A2133" s="15">
        <v>17000</v>
      </c>
      <c r="B2133" s="7">
        <v>1121929214</v>
      </c>
      <c r="C2133" s="11">
        <v>46108.5011689815</v>
      </c>
      <c r="D2133" s="17" t="s">
        <v>4202</v>
      </c>
      <c r="E2133" t="str">
        <f>IF(COUNTIF($B$2:B2133,B2133)&gt;1,"Duplicado","Único")</f>
        <v>Duplicado</v>
      </c>
    </row>
    <row r="2134" spans="1:5" x14ac:dyDescent="0.25">
      <c r="A2134" s="15">
        <v>51695</v>
      </c>
      <c r="B2134" s="7">
        <v>1121932223</v>
      </c>
      <c r="C2134" s="11">
        <v>46051.441747685203</v>
      </c>
      <c r="D2134" s="17" t="s">
        <v>3465</v>
      </c>
      <c r="E2134" t="str">
        <f>IF(COUNTIF($B$2:B2134,B2134)&gt;1,"Duplicado","Único")</f>
        <v>Único</v>
      </c>
    </row>
    <row r="2135" spans="1:5" hidden="1" x14ac:dyDescent="0.25">
      <c r="A2135" s="15">
        <v>51695</v>
      </c>
      <c r="B2135" s="7">
        <v>1121932223</v>
      </c>
      <c r="C2135" s="11">
        <v>46002.4987847222</v>
      </c>
      <c r="D2135" s="17" t="s">
        <v>2876</v>
      </c>
      <c r="E2135" t="str">
        <f>IF(COUNTIF($B$2:B2135,B2135)&gt;1,"Duplicado","Único")</f>
        <v>Duplicado</v>
      </c>
    </row>
    <row r="2136" spans="1:5" x14ac:dyDescent="0.25">
      <c r="A2136" s="15">
        <v>36052</v>
      </c>
      <c r="B2136" s="7">
        <v>1121934950</v>
      </c>
      <c r="C2136" s="11">
        <v>45918.486597222203</v>
      </c>
      <c r="D2136" s="17" t="s">
        <v>1747</v>
      </c>
      <c r="E2136" t="str">
        <f>IF(COUNTIF($B$2:B2136,B2136)&gt;1,"Duplicado","Único")</f>
        <v>Único</v>
      </c>
    </row>
    <row r="2137" spans="1:5" x14ac:dyDescent="0.25">
      <c r="A2137" s="15">
        <v>45795</v>
      </c>
      <c r="B2137" s="7">
        <v>1121938880</v>
      </c>
      <c r="C2137" s="11">
        <v>45960.641666666699</v>
      </c>
      <c r="D2137" s="17" t="s">
        <v>2259</v>
      </c>
      <c r="E2137" t="str">
        <f>IF(COUNTIF($B$2:B2137,B2137)&gt;1,"Duplicado","Único")</f>
        <v>Único</v>
      </c>
    </row>
    <row r="2138" spans="1:5" x14ac:dyDescent="0.25">
      <c r="A2138" s="15">
        <v>27568</v>
      </c>
      <c r="B2138" s="7">
        <v>1121942844</v>
      </c>
      <c r="C2138" s="11">
        <v>45874.682511574101</v>
      </c>
      <c r="D2138" s="17" t="s">
        <v>1279</v>
      </c>
      <c r="E2138" t="str">
        <f>IF(COUNTIF($B$2:B2138,B2138)&gt;1,"Duplicado","Único")</f>
        <v>Único</v>
      </c>
    </row>
    <row r="2139" spans="1:5" x14ac:dyDescent="0.25">
      <c r="A2139" s="15">
        <v>49342</v>
      </c>
      <c r="B2139" s="7">
        <v>1121949492</v>
      </c>
      <c r="C2139" s="11">
        <v>45981.6628935185</v>
      </c>
      <c r="D2139" s="17" t="s">
        <v>2644</v>
      </c>
      <c r="E2139" t="str">
        <f>IF(COUNTIF($B$2:B2139,B2139)&gt;1,"Duplicado","Único")</f>
        <v>Único</v>
      </c>
    </row>
    <row r="2140" spans="1:5" x14ac:dyDescent="0.25">
      <c r="A2140" s="15">
        <v>43157</v>
      </c>
      <c r="B2140" s="7">
        <v>1121949571</v>
      </c>
      <c r="C2140" s="11">
        <v>45953.517141203702</v>
      </c>
      <c r="D2140" s="17" t="s">
        <v>2049</v>
      </c>
      <c r="E2140" t="str">
        <f>IF(COUNTIF($B$2:B2140,B2140)&gt;1,"Duplicado","Único")</f>
        <v>Único</v>
      </c>
    </row>
    <row r="2141" spans="1:5" x14ac:dyDescent="0.25">
      <c r="A2141" s="15">
        <v>47778</v>
      </c>
      <c r="B2141" s="7">
        <v>1121949789</v>
      </c>
      <c r="C2141" s="11">
        <v>45973.472777777803</v>
      </c>
      <c r="D2141" s="17" t="s">
        <v>2452</v>
      </c>
      <c r="E2141" t="str">
        <f>IF(COUNTIF($B$2:B2141,B2141)&gt;1,"Duplicado","Único")</f>
        <v>Único</v>
      </c>
    </row>
    <row r="2142" spans="1:5" x14ac:dyDescent="0.25">
      <c r="A2142" s="15">
        <v>44572</v>
      </c>
      <c r="B2142" s="7">
        <v>1121950197</v>
      </c>
      <c r="C2142" s="11">
        <v>45958.499988425901</v>
      </c>
      <c r="D2142" s="17" t="s">
        <v>2138</v>
      </c>
      <c r="E2142" t="str">
        <f>IF(COUNTIF($B$2:B2142,B2142)&gt;1,"Duplicado","Único")</f>
        <v>Único</v>
      </c>
    </row>
    <row r="2143" spans="1:5" x14ac:dyDescent="0.25">
      <c r="A2143" s="15">
        <v>15909</v>
      </c>
      <c r="B2143" s="7">
        <v>1121950314</v>
      </c>
      <c r="C2143" s="11">
        <v>46121.519467592603</v>
      </c>
      <c r="D2143" s="17" t="s">
        <v>4422</v>
      </c>
      <c r="E2143" t="str">
        <f>IF(COUNTIF($B$2:B2143,B2143)&gt;1,"Duplicado","Único")</f>
        <v>Único</v>
      </c>
    </row>
    <row r="2144" spans="1:5" hidden="1" x14ac:dyDescent="0.25">
      <c r="A2144" s="15">
        <v>15909</v>
      </c>
      <c r="B2144" s="7">
        <v>1121950314</v>
      </c>
      <c r="C2144" s="11">
        <v>46101.631122685198</v>
      </c>
      <c r="D2144" s="17" t="s">
        <v>1135</v>
      </c>
      <c r="E2144" t="str">
        <f>IF(COUNTIF($B$2:B2144,B2144)&gt;1,"Duplicado","Único")</f>
        <v>Duplicado</v>
      </c>
    </row>
    <row r="2145" spans="1:5" x14ac:dyDescent="0.25">
      <c r="A2145" s="15">
        <v>30254</v>
      </c>
      <c r="B2145" s="7">
        <v>1121954051</v>
      </c>
      <c r="C2145" s="11">
        <v>45919.508912037003</v>
      </c>
      <c r="D2145" s="17" t="s">
        <v>1765</v>
      </c>
      <c r="E2145" t="str">
        <f>IF(COUNTIF($B$2:B2145,B2145)&gt;1,"Duplicado","Único")</f>
        <v>Único</v>
      </c>
    </row>
    <row r="2146" spans="1:5" x14ac:dyDescent="0.25">
      <c r="A2146" s="15">
        <v>39325</v>
      </c>
      <c r="B2146" s="7">
        <v>1121959336</v>
      </c>
      <c r="C2146" s="11">
        <v>45930.602175925902</v>
      </c>
      <c r="D2146" s="17" t="s">
        <v>1893</v>
      </c>
      <c r="E2146" t="str">
        <f>IF(COUNTIF($B$2:B2146,B2146)&gt;1,"Duplicado","Único")</f>
        <v>Único</v>
      </c>
    </row>
    <row r="2147" spans="1:5" x14ac:dyDescent="0.25">
      <c r="A2147" s="15">
        <v>24947</v>
      </c>
      <c r="B2147" s="7">
        <v>1121961077</v>
      </c>
      <c r="C2147" s="11">
        <v>45859.599953703699</v>
      </c>
      <c r="D2147" s="17" t="s">
        <v>1104</v>
      </c>
      <c r="E2147" t="str">
        <f>IF(COUNTIF($B$2:B2147,B2147)&gt;1,"Duplicado","Único")</f>
        <v>Único</v>
      </c>
    </row>
    <row r="2148" spans="1:5" x14ac:dyDescent="0.25">
      <c r="A2148" s="15">
        <v>18633</v>
      </c>
      <c r="B2148" s="7">
        <v>1121964107</v>
      </c>
      <c r="C2148" s="11">
        <v>45803.534756944398</v>
      </c>
      <c r="D2148" s="17" t="s">
        <v>775</v>
      </c>
      <c r="E2148" t="str">
        <f>IF(COUNTIF($B$2:B2148,B2148)&gt;1,"Duplicado","Único")</f>
        <v>Único</v>
      </c>
    </row>
    <row r="2149" spans="1:5" x14ac:dyDescent="0.25">
      <c r="A2149" s="15">
        <v>50649</v>
      </c>
      <c r="B2149" s="7">
        <v>1122122318</v>
      </c>
      <c r="C2149" s="11">
        <v>46050.652418981503</v>
      </c>
      <c r="D2149" s="17" t="s">
        <v>3364</v>
      </c>
      <c r="E2149" t="str">
        <f>IF(COUNTIF($B$2:B2149,B2149)&gt;1,"Duplicado","Único")</f>
        <v>Único</v>
      </c>
    </row>
    <row r="2150" spans="1:5" hidden="1" x14ac:dyDescent="0.25">
      <c r="A2150" s="15">
        <v>50649</v>
      </c>
      <c r="B2150" s="7">
        <v>1122122318</v>
      </c>
      <c r="C2150" s="11">
        <v>45989.433229166701</v>
      </c>
      <c r="D2150" s="17" t="s">
        <v>2788</v>
      </c>
      <c r="E2150" t="str">
        <f>IF(COUNTIF($B$2:B2150,B2150)&gt;1,"Duplicado","Único")</f>
        <v>Duplicado</v>
      </c>
    </row>
    <row r="2151" spans="1:5" x14ac:dyDescent="0.25">
      <c r="A2151" s="15">
        <v>16845</v>
      </c>
      <c r="B2151" s="7">
        <v>1122136757</v>
      </c>
      <c r="C2151" s="11">
        <v>46149.486585648097</v>
      </c>
      <c r="D2151" s="17" t="s">
        <v>4513</v>
      </c>
      <c r="E2151" t="str">
        <f>IF(COUNTIF($B$2:B2151,B2151)&gt;1,"Duplicado","Único")</f>
        <v>Único</v>
      </c>
    </row>
    <row r="2152" spans="1:5" hidden="1" x14ac:dyDescent="0.25">
      <c r="A2152" s="15">
        <v>16845</v>
      </c>
      <c r="B2152" s="7">
        <v>1122136757</v>
      </c>
      <c r="C2152" s="11">
        <v>46108.494062500002</v>
      </c>
      <c r="D2152" s="17" t="s">
        <v>4195</v>
      </c>
      <c r="E2152" t="str">
        <f>IF(COUNTIF($B$2:B2152,B2152)&gt;1,"Duplicado","Único")</f>
        <v>Duplicado</v>
      </c>
    </row>
    <row r="2153" spans="1:5" x14ac:dyDescent="0.25">
      <c r="A2153" s="15">
        <v>9598</v>
      </c>
      <c r="B2153" s="7">
        <v>1122399532</v>
      </c>
      <c r="C2153" s="11">
        <v>46080.492881944403</v>
      </c>
      <c r="D2153" s="17" t="s">
        <v>3770</v>
      </c>
      <c r="E2153" t="str">
        <f>IF(COUNTIF($B$2:B2153,B2153)&gt;1,"Duplicado","Único")</f>
        <v>Único</v>
      </c>
    </row>
    <row r="2154" spans="1:5" hidden="1" x14ac:dyDescent="0.25">
      <c r="A2154" s="15">
        <v>9598</v>
      </c>
      <c r="B2154" s="7">
        <v>1122399532</v>
      </c>
      <c r="C2154" s="11">
        <v>46073.663483796299</v>
      </c>
      <c r="D2154" s="17" t="s">
        <v>763</v>
      </c>
      <c r="E2154" t="str">
        <f>IF(COUNTIF($B$2:B2154,B2154)&gt;1,"Duplicado","Único")</f>
        <v>Duplicado</v>
      </c>
    </row>
    <row r="2155" spans="1:5" x14ac:dyDescent="0.25">
      <c r="A2155" s="15">
        <v>244</v>
      </c>
      <c r="B2155" s="7">
        <v>1122650845</v>
      </c>
      <c r="C2155" s="11">
        <v>46086.495358796303</v>
      </c>
      <c r="D2155" s="17" t="s">
        <v>3814</v>
      </c>
      <c r="E2155" t="str">
        <f>IF(COUNTIF($B$2:B2155,B2155)&gt;1,"Duplicado","Único")</f>
        <v>Único</v>
      </c>
    </row>
    <row r="2156" spans="1:5" hidden="1" x14ac:dyDescent="0.25">
      <c r="A2156" s="15">
        <v>244</v>
      </c>
      <c r="B2156" s="7">
        <v>1122650845</v>
      </c>
      <c r="C2156" s="11">
        <v>46031.602662037003</v>
      </c>
      <c r="D2156" s="17" t="s">
        <v>3122</v>
      </c>
      <c r="E2156" t="str">
        <f>IF(COUNTIF($B$2:B2156,B2156)&gt;1,"Duplicado","Único")</f>
        <v>Duplicado</v>
      </c>
    </row>
    <row r="2157" spans="1:5" x14ac:dyDescent="0.25">
      <c r="A2157" s="15">
        <v>44848</v>
      </c>
      <c r="B2157" s="7">
        <v>1122654594</v>
      </c>
      <c r="C2157" s="11">
        <v>45958.645729166703</v>
      </c>
      <c r="D2157" s="17" t="s">
        <v>2173</v>
      </c>
      <c r="E2157" t="str">
        <f>IF(COUNTIF($B$2:B2157,B2157)&gt;1,"Duplicado","Único")</f>
        <v>Único</v>
      </c>
    </row>
    <row r="2158" spans="1:5" x14ac:dyDescent="0.25">
      <c r="A2158" s="15">
        <v>42173</v>
      </c>
      <c r="B2158" s="7">
        <v>1122820259</v>
      </c>
      <c r="C2158" s="11">
        <v>45950.711215277799</v>
      </c>
      <c r="D2158" s="17" t="s">
        <v>2013</v>
      </c>
      <c r="E2158" t="str">
        <f>IF(COUNTIF($B$2:B2158,B2158)&gt;1,"Duplicado","Único")</f>
        <v>Único</v>
      </c>
    </row>
    <row r="2159" spans="1:5" x14ac:dyDescent="0.25">
      <c r="A2159" s="15">
        <v>41756</v>
      </c>
      <c r="B2159" s="7">
        <v>1122820902</v>
      </c>
      <c r="C2159" s="11">
        <v>45950.501689814802</v>
      </c>
      <c r="D2159" s="17" t="s">
        <v>2004</v>
      </c>
      <c r="E2159" t="str">
        <f>IF(COUNTIF($B$2:B2159,B2159)&gt;1,"Duplicado","Único")</f>
        <v>Único</v>
      </c>
    </row>
    <row r="2160" spans="1:5" x14ac:dyDescent="0.25">
      <c r="A2160" s="15">
        <v>37372</v>
      </c>
      <c r="B2160" s="7">
        <v>1123038833</v>
      </c>
      <c r="C2160" s="11">
        <v>45923.388113425899</v>
      </c>
      <c r="D2160" s="17" t="s">
        <v>1787</v>
      </c>
      <c r="E2160" t="str">
        <f>IF(COUNTIF($B$2:B2160,B2160)&gt;1,"Duplicado","Único")</f>
        <v>Único</v>
      </c>
    </row>
    <row r="2161" spans="1:5" x14ac:dyDescent="0.25">
      <c r="A2161" s="15">
        <v>28680</v>
      </c>
      <c r="B2161" s="7">
        <v>1123325461</v>
      </c>
      <c r="C2161" s="11">
        <v>45888.629791666703</v>
      </c>
      <c r="D2161" s="17" t="s">
        <v>1352</v>
      </c>
      <c r="E2161" t="str">
        <f>IF(COUNTIF($B$2:B2161,B2161)&gt;1,"Duplicado","Único")</f>
        <v>Único</v>
      </c>
    </row>
    <row r="2162" spans="1:5" x14ac:dyDescent="0.25">
      <c r="A2162" s="15">
        <v>53729</v>
      </c>
      <c r="B2162" s="7">
        <v>1123414446</v>
      </c>
      <c r="C2162" s="11">
        <v>46057.433541666702</v>
      </c>
      <c r="D2162" s="17" t="s">
        <v>3704</v>
      </c>
      <c r="E2162" t="str">
        <f>IF(COUNTIF($B$2:B2162,B2162)&gt;1,"Duplicado","Único")</f>
        <v>Único</v>
      </c>
    </row>
    <row r="2163" spans="1:5" hidden="1" x14ac:dyDescent="0.25">
      <c r="A2163" s="15">
        <v>53729</v>
      </c>
      <c r="B2163" s="7">
        <v>1123414446</v>
      </c>
      <c r="C2163" s="11">
        <v>46013.512662036999</v>
      </c>
      <c r="D2163" s="17" t="s">
        <v>3035</v>
      </c>
      <c r="E2163" t="str">
        <f>IF(COUNTIF($B$2:B2163,B2163)&gt;1,"Duplicado","Único")</f>
        <v>Duplicado</v>
      </c>
    </row>
    <row r="2164" spans="1:5" x14ac:dyDescent="0.25">
      <c r="A2164" s="15">
        <v>54404</v>
      </c>
      <c r="B2164" s="7">
        <v>1123512573</v>
      </c>
      <c r="C2164" s="11">
        <v>46057.447222222203</v>
      </c>
      <c r="D2164" s="17" t="s">
        <v>3719</v>
      </c>
      <c r="E2164" t="str">
        <f>IF(COUNTIF($B$2:B2164,B2164)&gt;1,"Duplicado","Único")</f>
        <v>Único</v>
      </c>
    </row>
    <row r="2165" spans="1:5" hidden="1" x14ac:dyDescent="0.25">
      <c r="A2165" s="15">
        <v>54404</v>
      </c>
      <c r="B2165" s="7">
        <v>1123512573</v>
      </c>
      <c r="C2165" s="11">
        <v>46015.425960648201</v>
      </c>
      <c r="D2165" s="17" t="s">
        <v>3076</v>
      </c>
      <c r="E2165" t="str">
        <f>IF(COUNTIF($B$2:B2165,B2165)&gt;1,"Duplicado","Único")</f>
        <v>Duplicado</v>
      </c>
    </row>
    <row r="2166" spans="1:5" x14ac:dyDescent="0.25">
      <c r="A2166" s="15">
        <v>44651</v>
      </c>
      <c r="B2166" s="7">
        <v>1123625047</v>
      </c>
      <c r="C2166" s="11">
        <v>45958.602476851898</v>
      </c>
      <c r="D2166" s="17" t="s">
        <v>2154</v>
      </c>
      <c r="E2166" t="str">
        <f>IF(COUNTIF($B$2:B2166,B2166)&gt;1,"Duplicado","Único")</f>
        <v>Único</v>
      </c>
    </row>
    <row r="2167" spans="1:5" x14ac:dyDescent="0.25">
      <c r="A2167" s="15">
        <v>22533</v>
      </c>
      <c r="B2167" s="7">
        <v>1123637037</v>
      </c>
      <c r="C2167" s="11">
        <v>45841.664537037002</v>
      </c>
      <c r="D2167" s="17" t="s">
        <v>1015</v>
      </c>
      <c r="E2167" t="str">
        <f>IF(COUNTIF($B$2:B2167,B2167)&gt;1,"Duplicado","Único")</f>
        <v>Único</v>
      </c>
    </row>
    <row r="2168" spans="1:5" x14ac:dyDescent="0.25">
      <c r="A2168" s="15">
        <v>51936</v>
      </c>
      <c r="B2168" s="7">
        <v>1124044265</v>
      </c>
      <c r="C2168" s="11">
        <v>46051.442453703698</v>
      </c>
      <c r="D2168" s="17" t="s">
        <v>3466</v>
      </c>
      <c r="E2168" t="str">
        <f>IF(COUNTIF($B$2:B2168,B2168)&gt;1,"Duplicado","Único")</f>
        <v>Único</v>
      </c>
    </row>
    <row r="2169" spans="1:5" hidden="1" x14ac:dyDescent="0.25">
      <c r="A2169" s="15">
        <v>51936</v>
      </c>
      <c r="B2169" s="7">
        <v>1124044265</v>
      </c>
      <c r="C2169" s="11">
        <v>46002.709178240701</v>
      </c>
      <c r="D2169" s="17" t="s">
        <v>2909</v>
      </c>
      <c r="E2169" t="str">
        <f>IF(COUNTIF($B$2:B2169,B2169)&gt;1,"Duplicado","Único")</f>
        <v>Duplicado</v>
      </c>
    </row>
    <row r="2170" spans="1:5" x14ac:dyDescent="0.25">
      <c r="A2170" s="15">
        <v>55</v>
      </c>
      <c r="B2170" s="7">
        <v>1124047477</v>
      </c>
      <c r="C2170" s="11">
        <v>46086.496331018498</v>
      </c>
      <c r="D2170" s="17" t="s">
        <v>3815</v>
      </c>
      <c r="E2170" t="str">
        <f>IF(COUNTIF($B$2:B2170,B2170)&gt;1,"Duplicado","Único")</f>
        <v>Único</v>
      </c>
    </row>
    <row r="2171" spans="1:5" hidden="1" x14ac:dyDescent="0.25">
      <c r="A2171" s="15">
        <v>55</v>
      </c>
      <c r="B2171" s="7">
        <v>1124047477</v>
      </c>
      <c r="C2171" s="11">
        <v>46031.467199074097</v>
      </c>
      <c r="D2171" s="17" t="s">
        <v>3119</v>
      </c>
      <c r="E2171" t="str">
        <f>IF(COUNTIF($B$2:B2171,B2171)&gt;1,"Duplicado","Único")</f>
        <v>Duplicado</v>
      </c>
    </row>
    <row r="2172" spans="1:5" x14ac:dyDescent="0.25">
      <c r="A2172" s="15">
        <v>31662</v>
      </c>
      <c r="B2172" s="7">
        <v>1124854760</v>
      </c>
      <c r="C2172" s="11">
        <v>45905.613043981502</v>
      </c>
      <c r="D2172" s="17" t="s">
        <v>1563</v>
      </c>
      <c r="E2172" t="str">
        <f>IF(COUNTIF($B$2:B2172,B2172)&gt;1,"Duplicado","Único")</f>
        <v>Único</v>
      </c>
    </row>
    <row r="2173" spans="1:5" x14ac:dyDescent="0.25">
      <c r="A2173" s="15">
        <v>32667</v>
      </c>
      <c r="B2173" s="7">
        <v>1124865794</v>
      </c>
      <c r="C2173" s="11">
        <v>45909.699085648099</v>
      </c>
      <c r="D2173" s="17" t="s">
        <v>1634</v>
      </c>
      <c r="E2173" t="str">
        <f>IF(COUNTIF($B$2:B2173,B2173)&gt;1,"Duplicado","Único")</f>
        <v>Único</v>
      </c>
    </row>
    <row r="2174" spans="1:5" x14ac:dyDescent="0.25">
      <c r="A2174" s="15">
        <v>32733</v>
      </c>
      <c r="B2174" s="7">
        <v>1124866578</v>
      </c>
      <c r="C2174" s="11">
        <v>45910.412418981497</v>
      </c>
      <c r="D2174" s="17" t="s">
        <v>1639</v>
      </c>
      <c r="E2174" t="str">
        <f>IF(COUNTIF($B$2:B2174,B2174)&gt;1,"Duplicado","Único")</f>
        <v>Único</v>
      </c>
    </row>
    <row r="2175" spans="1:5" x14ac:dyDescent="0.25">
      <c r="A2175" s="15">
        <v>31380</v>
      </c>
      <c r="B2175" s="7">
        <v>1126603494</v>
      </c>
      <c r="C2175" s="11">
        <v>45904.523541666698</v>
      </c>
      <c r="D2175" s="17" t="s">
        <v>1521</v>
      </c>
      <c r="E2175" t="str">
        <f>IF(COUNTIF($B$2:B2175,B2175)&gt;1,"Duplicado","Único")</f>
        <v>Único</v>
      </c>
    </row>
    <row r="2176" spans="1:5" x14ac:dyDescent="0.25">
      <c r="A2176" s="15">
        <v>52646</v>
      </c>
      <c r="B2176" s="7">
        <v>1126785341</v>
      </c>
      <c r="C2176" s="11">
        <v>46051.603113425903</v>
      </c>
      <c r="D2176" s="17" t="s">
        <v>3533</v>
      </c>
      <c r="E2176" t="str">
        <f>IF(COUNTIF($B$2:B2176,B2176)&gt;1,"Duplicado","Único")</f>
        <v>Único</v>
      </c>
    </row>
    <row r="2177" spans="1:5" hidden="1" x14ac:dyDescent="0.25">
      <c r="A2177" s="15">
        <v>52646</v>
      </c>
      <c r="B2177" s="7">
        <v>1126785341</v>
      </c>
      <c r="C2177" s="11">
        <v>46007.493842592601</v>
      </c>
      <c r="D2177" s="17" t="s">
        <v>2950</v>
      </c>
      <c r="E2177" t="str">
        <f>IF(COUNTIF($B$2:B2177,B2177)&gt;1,"Duplicado","Único")</f>
        <v>Duplicado</v>
      </c>
    </row>
    <row r="2178" spans="1:5" x14ac:dyDescent="0.25">
      <c r="A2178" s="15">
        <v>33181</v>
      </c>
      <c r="B2178" s="7">
        <v>1127963273</v>
      </c>
      <c r="C2178" s="11">
        <v>45912.640729166698</v>
      </c>
      <c r="D2178" s="17" t="s">
        <v>1683</v>
      </c>
      <c r="E2178" t="str">
        <f>IF(COUNTIF($B$2:B2178,B2178)&gt;1,"Duplicado","Único")</f>
        <v>Único</v>
      </c>
    </row>
    <row r="2179" spans="1:5" x14ac:dyDescent="0.25">
      <c r="A2179" s="15">
        <v>22282</v>
      </c>
      <c r="B2179" s="7">
        <v>1128046247</v>
      </c>
      <c r="C2179" s="11">
        <v>45835.723124999997</v>
      </c>
      <c r="D2179" s="17" t="s">
        <v>1002</v>
      </c>
      <c r="E2179" t="str">
        <f>IF(COUNTIF($B$2:B2179,B2179)&gt;1,"Duplicado","Único")</f>
        <v>Único</v>
      </c>
    </row>
    <row r="2180" spans="1:5" x14ac:dyDescent="0.25">
      <c r="A2180" s="15">
        <v>46156</v>
      </c>
      <c r="B2180" s="7">
        <v>1128060020</v>
      </c>
      <c r="C2180" s="11">
        <v>45965.597013888902</v>
      </c>
      <c r="D2180" s="17" t="s">
        <v>2323</v>
      </c>
      <c r="E2180" t="str">
        <f>IF(COUNTIF($B$2:B2180,B2180)&gt;1,"Duplicado","Único")</f>
        <v>Único</v>
      </c>
    </row>
    <row r="2181" spans="1:5" x14ac:dyDescent="0.25">
      <c r="A2181" s="15">
        <v>30726</v>
      </c>
      <c r="B2181" s="7">
        <v>1128127872</v>
      </c>
      <c r="C2181" s="11">
        <v>45901.490289351903</v>
      </c>
      <c r="D2181" s="17" t="s">
        <v>1479</v>
      </c>
      <c r="E2181" t="str">
        <f>IF(COUNTIF($B$2:B2181,B2181)&gt;1,"Duplicado","Único")</f>
        <v>Único</v>
      </c>
    </row>
    <row r="2182" spans="1:5" x14ac:dyDescent="0.25">
      <c r="A2182" s="15">
        <v>13845</v>
      </c>
      <c r="B2182" s="7">
        <v>1128264345</v>
      </c>
      <c r="C2182" s="11">
        <v>46149.650578703702</v>
      </c>
      <c r="D2182" s="17" t="s">
        <v>4547</v>
      </c>
      <c r="E2182" t="str">
        <f>IF(COUNTIF($B$2:B2182,B2182)&gt;1,"Duplicado","Único")</f>
        <v>Único</v>
      </c>
    </row>
    <row r="2183" spans="1:5" hidden="1" x14ac:dyDescent="0.25">
      <c r="A2183" s="15">
        <v>13845</v>
      </c>
      <c r="B2183" s="7">
        <v>1128264345</v>
      </c>
      <c r="C2183" s="11">
        <v>46085.497013888897</v>
      </c>
      <c r="D2183" s="17" t="s">
        <v>3785</v>
      </c>
      <c r="E2183" t="str">
        <f>IF(COUNTIF($B$2:B2183,B2183)&gt;1,"Duplicado","Único")</f>
        <v>Duplicado</v>
      </c>
    </row>
    <row r="2184" spans="1:5" x14ac:dyDescent="0.25">
      <c r="A2184" s="15">
        <v>23882</v>
      </c>
      <c r="B2184" s="7">
        <v>1128265620</v>
      </c>
      <c r="C2184" s="11">
        <v>45852.5175578704</v>
      </c>
      <c r="D2184" s="17" t="s">
        <v>1066</v>
      </c>
      <c r="E2184" t="str">
        <f>IF(COUNTIF($B$2:B2184,B2184)&gt;1,"Duplicado","Único")</f>
        <v>Único</v>
      </c>
    </row>
    <row r="2185" spans="1:5" x14ac:dyDescent="0.25">
      <c r="A2185" s="15">
        <v>14018</v>
      </c>
      <c r="B2185" s="7">
        <v>1128269259</v>
      </c>
      <c r="C2185" s="11">
        <v>46149.527638888903</v>
      </c>
      <c r="D2185" s="17" t="s">
        <v>4537</v>
      </c>
      <c r="E2185" t="str">
        <f>IF(COUNTIF($B$2:B2185,B2185)&gt;1,"Duplicado","Único")</f>
        <v>Único</v>
      </c>
    </row>
    <row r="2186" spans="1:5" hidden="1" x14ac:dyDescent="0.25">
      <c r="A2186" s="15">
        <v>14018</v>
      </c>
      <c r="B2186" s="7">
        <v>1128269259</v>
      </c>
      <c r="C2186" s="11">
        <v>46086.6653703704</v>
      </c>
      <c r="D2186" s="17" t="s">
        <v>3865</v>
      </c>
      <c r="E2186" t="str">
        <f>IF(COUNTIF($B$2:B2186,B2186)&gt;1,"Duplicado","Único")</f>
        <v>Duplicado</v>
      </c>
    </row>
    <row r="2187" spans="1:5" x14ac:dyDescent="0.25">
      <c r="A2187" s="15">
        <v>47729</v>
      </c>
      <c r="B2187" s="7">
        <v>1128270735</v>
      </c>
      <c r="C2187" s="11">
        <v>45973.388946759304</v>
      </c>
      <c r="D2187" s="17" t="s">
        <v>2448</v>
      </c>
      <c r="E2187" t="str">
        <f>IF(COUNTIF($B$2:B2187,B2187)&gt;1,"Duplicado","Único")</f>
        <v>Único</v>
      </c>
    </row>
    <row r="2188" spans="1:5" x14ac:dyDescent="0.25">
      <c r="A2188" s="15">
        <v>27167</v>
      </c>
      <c r="B2188" s="7">
        <v>1128273364</v>
      </c>
      <c r="C2188" s="11">
        <v>45874.456446759301</v>
      </c>
      <c r="D2188" s="17" t="s">
        <v>1250</v>
      </c>
      <c r="E2188" t="str">
        <f>IF(COUNTIF($B$2:B2188,B2188)&gt;1,"Duplicado","Único")</f>
        <v>Único</v>
      </c>
    </row>
    <row r="2189" spans="1:5" x14ac:dyDescent="0.25">
      <c r="A2189" s="15">
        <v>28377</v>
      </c>
      <c r="B2189" s="7">
        <v>1128387277</v>
      </c>
      <c r="C2189" s="11">
        <v>45888.4702314815</v>
      </c>
      <c r="D2189" s="17" t="s">
        <v>1327</v>
      </c>
      <c r="E2189" t="str">
        <f>IF(COUNTIF($B$2:B2189,B2189)&gt;1,"Duplicado","Único")</f>
        <v>Único</v>
      </c>
    </row>
    <row r="2190" spans="1:5" x14ac:dyDescent="0.25">
      <c r="A2190" s="15">
        <v>49564</v>
      </c>
      <c r="B2190" s="7">
        <v>1128418574</v>
      </c>
      <c r="C2190" s="11">
        <v>46050.473946759303</v>
      </c>
      <c r="D2190" s="17" t="s">
        <v>3258</v>
      </c>
      <c r="E2190" t="str">
        <f>IF(COUNTIF($B$2:B2190,B2190)&gt;1,"Duplicado","Único")</f>
        <v>Único</v>
      </c>
    </row>
    <row r="2191" spans="1:5" hidden="1" x14ac:dyDescent="0.25">
      <c r="A2191" s="15">
        <v>49564</v>
      </c>
      <c r="B2191" s="7">
        <v>1128418574</v>
      </c>
      <c r="C2191" s="11">
        <v>45985.364560185197</v>
      </c>
      <c r="D2191" s="17" t="s">
        <v>2671</v>
      </c>
      <c r="E2191" t="str">
        <f>IF(COUNTIF($B$2:B2191,B2191)&gt;1,"Duplicado","Único")</f>
        <v>Duplicado</v>
      </c>
    </row>
    <row r="2192" spans="1:5" x14ac:dyDescent="0.25">
      <c r="A2192" s="15">
        <v>48616</v>
      </c>
      <c r="B2192" s="7">
        <v>1128422313</v>
      </c>
      <c r="C2192" s="11">
        <v>45979.600601851896</v>
      </c>
      <c r="D2192" s="17" t="s">
        <v>2563</v>
      </c>
      <c r="E2192" t="str">
        <f>IF(COUNTIF($B$2:B2192,B2192)&gt;1,"Duplicado","Único")</f>
        <v>Único</v>
      </c>
    </row>
    <row r="2193" spans="1:5" x14ac:dyDescent="0.25">
      <c r="A2193" s="15">
        <v>49369</v>
      </c>
      <c r="B2193" s="7">
        <v>1128435019</v>
      </c>
      <c r="C2193" s="11">
        <v>45982.4061111111</v>
      </c>
      <c r="D2193" s="17" t="s">
        <v>2665</v>
      </c>
      <c r="E2193" t="str">
        <f>IF(COUNTIF($B$2:B2193,B2193)&gt;1,"Duplicado","Único")</f>
        <v>Único</v>
      </c>
    </row>
    <row r="2194" spans="1:5" x14ac:dyDescent="0.25">
      <c r="A2194" s="15">
        <v>15338</v>
      </c>
      <c r="B2194" s="7">
        <v>1128443360</v>
      </c>
      <c r="C2194" s="11">
        <v>46120.657719907402</v>
      </c>
      <c r="D2194" s="17" t="s">
        <v>4334</v>
      </c>
      <c r="E2194" t="str">
        <f>IF(COUNTIF($B$2:B2194,B2194)&gt;1,"Duplicado","Único")</f>
        <v>Único</v>
      </c>
    </row>
    <row r="2195" spans="1:5" hidden="1" x14ac:dyDescent="0.25">
      <c r="A2195" s="15">
        <v>15338</v>
      </c>
      <c r="B2195" s="7">
        <v>1128443360</v>
      </c>
      <c r="C2195" s="11">
        <v>46094.519629629598</v>
      </c>
      <c r="D2195" s="17" t="s">
        <v>4083</v>
      </c>
      <c r="E2195" t="str">
        <f>IF(COUNTIF($B$2:B2195,B2195)&gt;1,"Duplicado","Único")</f>
        <v>Duplicado</v>
      </c>
    </row>
    <row r="2196" spans="1:5" x14ac:dyDescent="0.25">
      <c r="A2196" s="15">
        <v>45345</v>
      </c>
      <c r="B2196" s="7">
        <v>1128478927</v>
      </c>
      <c r="C2196" s="11">
        <v>45959.359699074099</v>
      </c>
      <c r="D2196" s="17" t="s">
        <v>2211</v>
      </c>
      <c r="E2196" t="str">
        <f>IF(COUNTIF($B$2:B2196,B2196)&gt;1,"Duplicado","Único")</f>
        <v>Único</v>
      </c>
    </row>
    <row r="2197" spans="1:5" x14ac:dyDescent="0.25">
      <c r="A2197" s="15">
        <v>32064</v>
      </c>
      <c r="B2197" s="7">
        <v>1128481287</v>
      </c>
      <c r="C2197" s="11">
        <v>45908.366979166698</v>
      </c>
      <c r="D2197" s="17" t="s">
        <v>1588</v>
      </c>
      <c r="E2197" t="str">
        <f>IF(COUNTIF($B$2:B2197,B2197)&gt;1,"Duplicado","Único")</f>
        <v>Único</v>
      </c>
    </row>
    <row r="2198" spans="1:5" x14ac:dyDescent="0.25">
      <c r="A2198" s="15">
        <v>33807</v>
      </c>
      <c r="B2198" s="7">
        <v>1129500403</v>
      </c>
      <c r="C2198" s="11">
        <v>45916.340706018498</v>
      </c>
      <c r="D2198" s="17" t="s">
        <v>1713</v>
      </c>
      <c r="E2198" t="str">
        <f>IF(COUNTIF($B$2:B2198,B2198)&gt;1,"Duplicado","Único")</f>
        <v>Único</v>
      </c>
    </row>
    <row r="2199" spans="1:5" x14ac:dyDescent="0.25">
      <c r="A2199" s="15">
        <v>48213</v>
      </c>
      <c r="B2199" s="7">
        <v>1129525261</v>
      </c>
      <c r="C2199" s="11">
        <v>45974.456643518497</v>
      </c>
      <c r="D2199" s="17" t="s">
        <v>2510</v>
      </c>
      <c r="E2199" t="str">
        <f>IF(COUNTIF($B$2:B2199,B2199)&gt;1,"Duplicado","Único")</f>
        <v>Único</v>
      </c>
    </row>
    <row r="2200" spans="1:5" x14ac:dyDescent="0.25">
      <c r="A2200" s="15">
        <v>14636</v>
      </c>
      <c r="B2200" s="7">
        <v>1129564497</v>
      </c>
      <c r="C2200" s="11">
        <v>46120.490347222199</v>
      </c>
      <c r="D2200" s="17" t="s">
        <v>4276</v>
      </c>
      <c r="E2200" t="str">
        <f>IF(COUNTIF($B$2:B2200,B2200)&gt;1,"Duplicado","Único")</f>
        <v>Único</v>
      </c>
    </row>
    <row r="2201" spans="1:5" hidden="1" x14ac:dyDescent="0.25">
      <c r="A2201" s="15">
        <v>14636</v>
      </c>
      <c r="B2201" s="7">
        <v>1129564497</v>
      </c>
      <c r="C2201" s="11">
        <v>46090.686273148101</v>
      </c>
      <c r="D2201" s="17" t="s">
        <v>1029</v>
      </c>
      <c r="E2201" t="str">
        <f>IF(COUNTIF($B$2:B2201,B2201)&gt;1,"Duplicado","Único")</f>
        <v>Duplicado</v>
      </c>
    </row>
    <row r="2202" spans="1:5" x14ac:dyDescent="0.25">
      <c r="A2202" s="15">
        <v>29952</v>
      </c>
      <c r="B2202" s="7">
        <v>1129579230</v>
      </c>
      <c r="C2202" s="11">
        <v>45898.464131944398</v>
      </c>
      <c r="D2202" s="17" t="s">
        <v>1454</v>
      </c>
      <c r="E2202" t="str">
        <f>IF(COUNTIF($B$2:B2202,B2202)&gt;1,"Duplicado","Único")</f>
        <v>Único</v>
      </c>
    </row>
    <row r="2203" spans="1:5" x14ac:dyDescent="0.25">
      <c r="A2203" s="15">
        <v>47869</v>
      </c>
      <c r="B2203" s="7">
        <v>1129580301</v>
      </c>
      <c r="C2203" s="11">
        <v>45973.6257638889</v>
      </c>
      <c r="D2203" s="17" t="s">
        <v>2456</v>
      </c>
      <c r="E2203" t="str">
        <f>IF(COUNTIF($B$2:B2203,B2203)&gt;1,"Duplicado","Único")</f>
        <v>Único</v>
      </c>
    </row>
    <row r="2204" spans="1:5" x14ac:dyDescent="0.25">
      <c r="A2204" s="15">
        <v>48871</v>
      </c>
      <c r="B2204" s="7">
        <v>1130595253</v>
      </c>
      <c r="C2204" s="11">
        <v>45980.454328703701</v>
      </c>
      <c r="D2204" s="17" t="s">
        <v>2613</v>
      </c>
      <c r="E2204" t="str">
        <f>IF(COUNTIF($B$2:B2204,B2204)&gt;1,"Duplicado","Único")</f>
        <v>Único</v>
      </c>
    </row>
    <row r="2205" spans="1:5" x14ac:dyDescent="0.25">
      <c r="A2205" s="15">
        <v>48738</v>
      </c>
      <c r="B2205" s="7">
        <v>1130606468</v>
      </c>
      <c r="C2205" s="11">
        <v>45979.602025462998</v>
      </c>
      <c r="D2205" s="17" t="s">
        <v>2565</v>
      </c>
      <c r="E2205" t="str">
        <f>IF(COUNTIF($B$2:B2205,B2205)&gt;1,"Duplicado","Único")</f>
        <v>Único</v>
      </c>
    </row>
    <row r="2206" spans="1:5" x14ac:dyDescent="0.25">
      <c r="A2206" s="15">
        <v>30687</v>
      </c>
      <c r="B2206" s="7">
        <v>1130610467</v>
      </c>
      <c r="C2206" s="11">
        <v>45901.466261574104</v>
      </c>
      <c r="D2206" s="17" t="s">
        <v>1474</v>
      </c>
      <c r="E2206" t="str">
        <f>IF(COUNTIF($B$2:B2206,B2206)&gt;1,"Duplicado","Único")</f>
        <v>Único</v>
      </c>
    </row>
    <row r="2207" spans="1:5" x14ac:dyDescent="0.25">
      <c r="A2207" s="15">
        <v>16511</v>
      </c>
      <c r="B2207" s="7">
        <v>1130612352</v>
      </c>
      <c r="C2207" s="11">
        <v>46121.52</v>
      </c>
      <c r="D2207" s="17" t="s">
        <v>1224</v>
      </c>
      <c r="E2207" t="str">
        <f>IF(COUNTIF($B$2:B2207,B2207)&gt;1,"Duplicado","Único")</f>
        <v>Único</v>
      </c>
    </row>
    <row r="2208" spans="1:5" hidden="1" x14ac:dyDescent="0.25">
      <c r="A2208" s="15">
        <v>16511</v>
      </c>
      <c r="B2208" s="7">
        <v>1130612352</v>
      </c>
      <c r="C2208" s="11">
        <v>46101.644629629598</v>
      </c>
      <c r="D2208" s="17" t="s">
        <v>4102</v>
      </c>
      <c r="E2208" t="str">
        <f>IF(COUNTIF($B$2:B2208,B2208)&gt;1,"Duplicado","Único")</f>
        <v>Duplicado</v>
      </c>
    </row>
    <row r="2209" spans="1:5" x14ac:dyDescent="0.25">
      <c r="A2209" s="15">
        <v>26467</v>
      </c>
      <c r="B2209" s="7">
        <v>1130616789</v>
      </c>
      <c r="C2209" s="11">
        <v>45867.457314814797</v>
      </c>
      <c r="D2209" s="17" t="s">
        <v>1203</v>
      </c>
      <c r="E2209" t="str">
        <f>IF(COUNTIF($B$2:B2209,B2209)&gt;1,"Duplicado","Único")</f>
        <v>Único</v>
      </c>
    </row>
    <row r="2210" spans="1:5" x14ac:dyDescent="0.25">
      <c r="A2210" s="15">
        <v>40090</v>
      </c>
      <c r="B2210" s="7">
        <v>1130666060</v>
      </c>
      <c r="C2210" s="11">
        <v>45932.491840277798</v>
      </c>
      <c r="D2210" s="17" t="s">
        <v>1916</v>
      </c>
      <c r="E2210" t="str">
        <f>IF(COUNTIF($B$2:B2210,B2210)&gt;1,"Duplicado","Único")</f>
        <v>Único</v>
      </c>
    </row>
    <row r="2211" spans="1:5" x14ac:dyDescent="0.25">
      <c r="A2211" s="15">
        <v>44235</v>
      </c>
      <c r="B2211" s="7">
        <v>1130669348</v>
      </c>
      <c r="C2211" s="11">
        <v>45958.421215277798</v>
      </c>
      <c r="D2211" s="17" t="s">
        <v>2115</v>
      </c>
      <c r="E2211" t="str">
        <f>IF(COUNTIF($B$2:B2211,B2211)&gt;1,"Duplicado","Único")</f>
        <v>Único</v>
      </c>
    </row>
    <row r="2212" spans="1:5" x14ac:dyDescent="0.25">
      <c r="A2212" s="15">
        <v>15026</v>
      </c>
      <c r="B2212" s="7">
        <v>1130674198</v>
      </c>
      <c r="C2212" s="11">
        <v>46120.6581365741</v>
      </c>
      <c r="D2212" s="17" t="s">
        <v>4335</v>
      </c>
      <c r="E2212" t="str">
        <f>IF(COUNTIF($B$2:B2212,B2212)&gt;1,"Duplicado","Único")</f>
        <v>Único</v>
      </c>
    </row>
    <row r="2213" spans="1:5" hidden="1" x14ac:dyDescent="0.25">
      <c r="A2213" s="15">
        <v>15026</v>
      </c>
      <c r="B2213" s="7">
        <v>1130674198</v>
      </c>
      <c r="C2213" s="11">
        <v>46094.422847222202</v>
      </c>
      <c r="D2213" s="17" t="s">
        <v>4029</v>
      </c>
      <c r="E2213" t="str">
        <f>IF(COUNTIF($B$2:B2213,B2213)&gt;1,"Duplicado","Único")</f>
        <v>Duplicado</v>
      </c>
    </row>
    <row r="2214" spans="1:5" x14ac:dyDescent="0.25">
      <c r="A2214" s="15">
        <v>44799</v>
      </c>
      <c r="B2214" s="7">
        <v>1130677561</v>
      </c>
      <c r="C2214" s="11">
        <v>45958.616585648102</v>
      </c>
      <c r="D2214" s="17" t="s">
        <v>2166</v>
      </c>
      <c r="E2214" t="str">
        <f>IF(COUNTIF($B$2:B2214,B2214)&gt;1,"Duplicado","Único")</f>
        <v>Único</v>
      </c>
    </row>
    <row r="2215" spans="1:5" x14ac:dyDescent="0.25">
      <c r="A2215" s="15">
        <v>47893</v>
      </c>
      <c r="B2215" s="7">
        <v>11349592</v>
      </c>
      <c r="C2215" s="11">
        <v>45973.6711574074</v>
      </c>
      <c r="D2215" s="17" t="s">
        <v>2475</v>
      </c>
      <c r="E2215" t="str">
        <f>IF(COUNTIF($B$2:B2215,B2215)&gt;1,"Duplicado","Único")</f>
        <v>Único</v>
      </c>
    </row>
    <row r="2216" spans="1:5" x14ac:dyDescent="0.25">
      <c r="A2216" s="15">
        <v>19220</v>
      </c>
      <c r="B2216" s="7">
        <v>11350098</v>
      </c>
      <c r="C2216" s="11">
        <v>45813.7527430556</v>
      </c>
      <c r="D2216" s="17" t="s">
        <v>821</v>
      </c>
      <c r="E2216" t="str">
        <f>IF(COUNTIF($B$2:B2216,B2216)&gt;1,"Duplicado","Único")</f>
        <v>Único</v>
      </c>
    </row>
    <row r="2217" spans="1:5" x14ac:dyDescent="0.25">
      <c r="A2217" s="15">
        <v>688</v>
      </c>
      <c r="B2217" s="7">
        <v>1136881101</v>
      </c>
      <c r="C2217" s="11">
        <v>46086.540868055599</v>
      </c>
      <c r="D2217" s="17" t="s">
        <v>3840</v>
      </c>
      <c r="E2217" t="str">
        <f>IF(COUNTIF($B$2:B2217,B2217)&gt;1,"Duplicado","Único")</f>
        <v>Único</v>
      </c>
    </row>
    <row r="2218" spans="1:5" hidden="1" x14ac:dyDescent="0.25">
      <c r="A2218" s="15">
        <v>688</v>
      </c>
      <c r="B2218" s="7">
        <v>1136881101</v>
      </c>
      <c r="C2218" s="11">
        <v>46035.432476851798</v>
      </c>
      <c r="D2218" s="17" t="s">
        <v>3137</v>
      </c>
      <c r="E2218" t="str">
        <f>IF(COUNTIF($B$2:B2218,B2218)&gt;1,"Duplicado","Único")</f>
        <v>Duplicado</v>
      </c>
    </row>
    <row r="2219" spans="1:5" x14ac:dyDescent="0.25">
      <c r="A2219" s="15">
        <v>26565</v>
      </c>
      <c r="B2219" s="7">
        <v>1136883150</v>
      </c>
      <c r="C2219" s="11">
        <v>45867.6124305556</v>
      </c>
      <c r="D2219" s="17" t="s">
        <v>1213</v>
      </c>
      <c r="E2219" t="str">
        <f>IF(COUNTIF($B$2:B2219,B2219)&gt;1,"Duplicado","Único")</f>
        <v>Único</v>
      </c>
    </row>
    <row r="2220" spans="1:5" x14ac:dyDescent="0.25">
      <c r="A2220" s="15">
        <v>39515</v>
      </c>
      <c r="B2220" s="7">
        <v>1136884384</v>
      </c>
      <c r="C2220" s="11">
        <v>45930.404918981498</v>
      </c>
      <c r="D2220" s="17" t="s">
        <v>1883</v>
      </c>
      <c r="E2220" t="str">
        <f>IF(COUNTIF($B$2:B2220,B2220)&gt;1,"Duplicado","Único")</f>
        <v>Único</v>
      </c>
    </row>
    <row r="2221" spans="1:5" x14ac:dyDescent="0.25">
      <c r="A2221" s="15">
        <v>51481</v>
      </c>
      <c r="B2221" s="7">
        <v>1136885996</v>
      </c>
      <c r="C2221" s="11">
        <v>46051.470833333296</v>
      </c>
      <c r="D2221" s="17" t="s">
        <v>3492</v>
      </c>
      <c r="E2221" t="str">
        <f>IF(COUNTIF($B$2:B2221,B2221)&gt;1,"Duplicado","Único")</f>
        <v>Único</v>
      </c>
    </row>
    <row r="2222" spans="1:5" hidden="1" x14ac:dyDescent="0.25">
      <c r="A2222" s="15">
        <v>51481</v>
      </c>
      <c r="B2222" s="7">
        <v>1136885996</v>
      </c>
      <c r="C2222" s="11">
        <v>46002.625196759298</v>
      </c>
      <c r="D2222" s="17" t="s">
        <v>2892</v>
      </c>
      <c r="E2222" t="str">
        <f>IF(COUNTIF($B$2:B2222,B2222)&gt;1,"Duplicado","Único")</f>
        <v>Duplicado</v>
      </c>
    </row>
    <row r="2223" spans="1:5" x14ac:dyDescent="0.25">
      <c r="A2223" s="15">
        <v>45948</v>
      </c>
      <c r="B2223" s="7">
        <v>11373946</v>
      </c>
      <c r="C2223" s="11">
        <v>45961.458379629599</v>
      </c>
      <c r="D2223" s="17" t="s">
        <v>2275</v>
      </c>
      <c r="E2223" t="str">
        <f>IF(COUNTIF($B$2:B2223,B2223)&gt;1,"Duplicado","Único")</f>
        <v>Único</v>
      </c>
    </row>
    <row r="2224" spans="1:5" x14ac:dyDescent="0.25">
      <c r="A2224" s="15">
        <v>2786</v>
      </c>
      <c r="B2224" s="7">
        <v>1140815230</v>
      </c>
      <c r="C2224" s="11">
        <v>46086.739629629599</v>
      </c>
      <c r="D2224" s="17" t="s">
        <v>3925</v>
      </c>
      <c r="E2224" t="str">
        <f>IF(COUNTIF($B$2:B2224,B2224)&gt;1,"Duplicado","Único")</f>
        <v>Único</v>
      </c>
    </row>
    <row r="2225" spans="1:5" hidden="1" x14ac:dyDescent="0.25">
      <c r="A2225" s="15">
        <v>2786</v>
      </c>
      <c r="B2225" s="7">
        <v>1140815230</v>
      </c>
      <c r="C2225" s="11">
        <v>46050.462615740696</v>
      </c>
      <c r="D2225" s="17" t="s">
        <v>3255</v>
      </c>
      <c r="E2225" t="str">
        <f>IF(COUNTIF($B$2:B2225,B2225)&gt;1,"Duplicado","Único")</f>
        <v>Duplicado</v>
      </c>
    </row>
    <row r="2226" spans="1:5" x14ac:dyDescent="0.25">
      <c r="A2226" s="15">
        <v>18023</v>
      </c>
      <c r="B2226" s="7">
        <v>1140819165</v>
      </c>
      <c r="C2226" s="11">
        <v>45798.4123958333</v>
      </c>
      <c r="D2226" s="17" t="s">
        <v>742</v>
      </c>
      <c r="E2226" t="str">
        <f>IF(COUNTIF($B$2:B2226,B2226)&gt;1,"Duplicado","Único")</f>
        <v>Único</v>
      </c>
    </row>
    <row r="2227" spans="1:5" x14ac:dyDescent="0.25">
      <c r="A2227" s="15">
        <v>25397</v>
      </c>
      <c r="B2227" s="7">
        <v>1140819532</v>
      </c>
      <c r="C2227" s="11">
        <v>45860.443587962996</v>
      </c>
      <c r="D2227" s="17" t="s">
        <v>1125</v>
      </c>
      <c r="E2227" t="str">
        <f>IF(COUNTIF($B$2:B2227,B2227)&gt;1,"Duplicado","Único")</f>
        <v>Único</v>
      </c>
    </row>
    <row r="2228" spans="1:5" x14ac:dyDescent="0.25">
      <c r="A2228" s="15">
        <v>50403</v>
      </c>
      <c r="B2228" s="7">
        <v>1140819834</v>
      </c>
      <c r="C2228" s="11">
        <v>46050.624664351897</v>
      </c>
      <c r="D2228" s="17" t="s">
        <v>3336</v>
      </c>
      <c r="E2228" t="str">
        <f>IF(COUNTIF($B$2:B2228,B2228)&gt;1,"Duplicado","Único")</f>
        <v>Único</v>
      </c>
    </row>
    <row r="2229" spans="1:5" hidden="1" x14ac:dyDescent="0.25">
      <c r="A2229" s="15">
        <v>50403</v>
      </c>
      <c r="B2229" s="7">
        <v>1140819834</v>
      </c>
      <c r="C2229" s="11">
        <v>45988.393136574101</v>
      </c>
      <c r="D2229" s="17" t="s">
        <v>2759</v>
      </c>
      <c r="E2229" t="str">
        <f>IF(COUNTIF($B$2:B2229,B2229)&gt;1,"Duplicado","Único")</f>
        <v>Duplicado</v>
      </c>
    </row>
    <row r="2230" spans="1:5" x14ac:dyDescent="0.25">
      <c r="A2230" s="15">
        <v>52806</v>
      </c>
      <c r="B2230" s="7">
        <v>1140823692</v>
      </c>
      <c r="C2230" s="11">
        <v>46052.266284722202</v>
      </c>
      <c r="D2230" s="17" t="s">
        <v>3556</v>
      </c>
      <c r="E2230" t="str">
        <f>IF(COUNTIF($B$2:B2230,B2230)&gt;1,"Duplicado","Único")</f>
        <v>Único</v>
      </c>
    </row>
    <row r="2231" spans="1:5" hidden="1" x14ac:dyDescent="0.25">
      <c r="A2231" s="15">
        <v>52806</v>
      </c>
      <c r="B2231" s="7">
        <v>1140823692</v>
      </c>
      <c r="C2231" s="11">
        <v>46009.387847222199</v>
      </c>
      <c r="D2231" s="17" t="s">
        <v>2971</v>
      </c>
      <c r="E2231" t="str">
        <f>IF(COUNTIF($B$2:B2231,B2231)&gt;1,"Duplicado","Único")</f>
        <v>Duplicado</v>
      </c>
    </row>
    <row r="2232" spans="1:5" x14ac:dyDescent="0.25">
      <c r="A2232" s="15">
        <v>3860</v>
      </c>
      <c r="B2232" s="7">
        <v>1140825715</v>
      </c>
      <c r="C2232" s="11">
        <v>46086.793229166702</v>
      </c>
      <c r="D2232" s="17" t="s">
        <v>3989</v>
      </c>
      <c r="E2232" t="str">
        <f>IF(COUNTIF($B$2:B2232,B2232)&gt;1,"Duplicado","Único")</f>
        <v>Único</v>
      </c>
    </row>
    <row r="2233" spans="1:5" hidden="1" x14ac:dyDescent="0.25">
      <c r="A2233" s="15">
        <v>3860</v>
      </c>
      <c r="B2233" s="7">
        <v>1140825715</v>
      </c>
      <c r="C2233" s="11">
        <v>46055.415150462999</v>
      </c>
      <c r="D2233" s="17" t="s">
        <v>3590</v>
      </c>
      <c r="E2233" t="str">
        <f>IF(COUNTIF($B$2:B2233,B2233)&gt;1,"Duplicado","Único")</f>
        <v>Duplicado</v>
      </c>
    </row>
    <row r="2234" spans="1:5" x14ac:dyDescent="0.25">
      <c r="A2234" s="15">
        <v>43196</v>
      </c>
      <c r="B2234" s="7">
        <v>1140829843</v>
      </c>
      <c r="C2234" s="11">
        <v>45953.522442129601</v>
      </c>
      <c r="D2234" s="17" t="s">
        <v>2051</v>
      </c>
      <c r="E2234" t="str">
        <f>IF(COUNTIF($B$2:B2234,B2234)&gt;1,"Duplicado","Único")</f>
        <v>Único</v>
      </c>
    </row>
    <row r="2235" spans="1:5" x14ac:dyDescent="0.25">
      <c r="A2235" s="15">
        <v>53921</v>
      </c>
      <c r="B2235" s="7">
        <v>1140833726</v>
      </c>
      <c r="C2235" s="11">
        <v>46057.395405092597</v>
      </c>
      <c r="D2235" s="17" t="s">
        <v>3670</v>
      </c>
      <c r="E2235" t="str">
        <f>IF(COUNTIF($B$2:B2235,B2235)&gt;1,"Duplicado","Único")</f>
        <v>Único</v>
      </c>
    </row>
    <row r="2236" spans="1:5" hidden="1" x14ac:dyDescent="0.25">
      <c r="A2236" s="15">
        <v>53921</v>
      </c>
      <c r="B2236" s="7">
        <v>1140833726</v>
      </c>
      <c r="C2236" s="11">
        <v>46013.632754629602</v>
      </c>
      <c r="D2236" s="17" t="s">
        <v>3051</v>
      </c>
      <c r="E2236" t="str">
        <f>IF(COUNTIF($B$2:B2236,B2236)&gt;1,"Duplicado","Único")</f>
        <v>Duplicado</v>
      </c>
    </row>
    <row r="2237" spans="1:5" x14ac:dyDescent="0.25">
      <c r="A2237" s="15">
        <v>17756</v>
      </c>
      <c r="B2237" s="7">
        <v>1140836304</v>
      </c>
      <c r="C2237" s="11">
        <v>46149.5091203704</v>
      </c>
      <c r="D2237" s="17" t="s">
        <v>4514</v>
      </c>
      <c r="E2237" t="str">
        <f>IF(COUNTIF($B$2:B2237,B2237)&gt;1,"Duplicado","Único")</f>
        <v>Único</v>
      </c>
    </row>
    <row r="2238" spans="1:5" hidden="1" x14ac:dyDescent="0.25">
      <c r="A2238" s="15">
        <v>17756</v>
      </c>
      <c r="B2238" s="7">
        <v>1140836304</v>
      </c>
      <c r="C2238" s="11">
        <v>46108.830092592601</v>
      </c>
      <c r="D2238" s="17" t="s">
        <v>4233</v>
      </c>
      <c r="E2238" t="str">
        <f>IF(COUNTIF($B$2:B2238,B2238)&gt;1,"Duplicado","Único")</f>
        <v>Duplicado</v>
      </c>
    </row>
    <row r="2239" spans="1:5" x14ac:dyDescent="0.25">
      <c r="A2239" s="15">
        <v>50089</v>
      </c>
      <c r="B2239" s="7">
        <v>1140836558</v>
      </c>
      <c r="C2239" s="11">
        <v>46050.606874999998</v>
      </c>
      <c r="D2239" s="17" t="s">
        <v>3309</v>
      </c>
      <c r="E2239" t="str">
        <f>IF(COUNTIF($B$2:B2239,B2239)&gt;1,"Duplicado","Único")</f>
        <v>Único</v>
      </c>
    </row>
    <row r="2240" spans="1:5" hidden="1" x14ac:dyDescent="0.25">
      <c r="A2240" s="15">
        <v>50089</v>
      </c>
      <c r="B2240" s="7">
        <v>1140836558</v>
      </c>
      <c r="C2240" s="11">
        <v>45987.402511574102</v>
      </c>
      <c r="D2240" s="17" t="s">
        <v>2722</v>
      </c>
      <c r="E2240" t="str">
        <f>IF(COUNTIF($B$2:B2240,B2240)&gt;1,"Duplicado","Único")</f>
        <v>Duplicado</v>
      </c>
    </row>
    <row r="2241" spans="1:5" x14ac:dyDescent="0.25">
      <c r="A2241" s="15">
        <v>30232</v>
      </c>
      <c r="B2241" s="7">
        <v>1140837009</v>
      </c>
      <c r="C2241" s="11">
        <v>45901.389675925901</v>
      </c>
      <c r="D2241" s="17" t="s">
        <v>1472</v>
      </c>
      <c r="E2241" t="str">
        <f>IF(COUNTIF($B$2:B2241,B2241)&gt;1,"Duplicado","Único")</f>
        <v>Único</v>
      </c>
    </row>
    <row r="2242" spans="1:5" x14ac:dyDescent="0.25">
      <c r="A2242" s="15">
        <v>17624</v>
      </c>
      <c r="B2242" s="7">
        <v>1140839712</v>
      </c>
      <c r="C2242" s="11">
        <v>45804.628275463001</v>
      </c>
      <c r="D2242" s="17" t="s">
        <v>784</v>
      </c>
      <c r="E2242" t="str">
        <f>IF(COUNTIF($B$2:B2242,B2242)&gt;1,"Duplicado","Único")</f>
        <v>Único</v>
      </c>
    </row>
    <row r="2243" spans="1:5" hidden="1" x14ac:dyDescent="0.25">
      <c r="A2243" s="15">
        <v>17624</v>
      </c>
      <c r="B2243" s="7">
        <v>1140839712</v>
      </c>
      <c r="C2243" s="11">
        <v>45797.602083333302</v>
      </c>
      <c r="D2243" s="17" t="s">
        <v>719</v>
      </c>
      <c r="E2243" t="str">
        <f>IF(COUNTIF($B$2:B2243,B2243)&gt;1,"Duplicado","Único")</f>
        <v>Duplicado</v>
      </c>
    </row>
    <row r="2244" spans="1:5" x14ac:dyDescent="0.25">
      <c r="A2244" s="15">
        <v>40498</v>
      </c>
      <c r="B2244" s="7">
        <v>1140841052</v>
      </c>
      <c r="C2244" s="11">
        <v>45933.679062499999</v>
      </c>
      <c r="D2244" s="17" t="s">
        <v>1924</v>
      </c>
      <c r="E2244" t="str">
        <f>IF(COUNTIF($B$2:B2244,B2244)&gt;1,"Duplicado","Único")</f>
        <v>Único</v>
      </c>
    </row>
    <row r="2245" spans="1:5" x14ac:dyDescent="0.25">
      <c r="A2245" s="15">
        <v>14156</v>
      </c>
      <c r="B2245" s="7">
        <v>1140841729</v>
      </c>
      <c r="C2245" s="11">
        <v>46149.604016203702</v>
      </c>
      <c r="D2245" s="17" t="s">
        <v>4538</v>
      </c>
      <c r="E2245" t="str">
        <f>IF(COUNTIF($B$2:B2245,B2245)&gt;1,"Duplicado","Único")</f>
        <v>Único</v>
      </c>
    </row>
    <row r="2246" spans="1:5" hidden="1" x14ac:dyDescent="0.25">
      <c r="A2246" s="15">
        <v>14156</v>
      </c>
      <c r="B2246" s="7">
        <v>1140841729</v>
      </c>
      <c r="C2246" s="11">
        <v>46086.6766319444</v>
      </c>
      <c r="D2246" s="17" t="s">
        <v>3870</v>
      </c>
      <c r="E2246" t="str">
        <f>IF(COUNTIF($B$2:B2246,B2246)&gt;1,"Duplicado","Único")</f>
        <v>Duplicado</v>
      </c>
    </row>
    <row r="2247" spans="1:5" x14ac:dyDescent="0.25">
      <c r="A2247" s="15">
        <v>50199</v>
      </c>
      <c r="B2247" s="7">
        <v>1140841827</v>
      </c>
      <c r="C2247" s="11">
        <v>46050.607453703698</v>
      </c>
      <c r="D2247" s="17" t="s">
        <v>3310</v>
      </c>
      <c r="E2247" t="str">
        <f>IF(COUNTIF($B$2:B2247,B2247)&gt;1,"Duplicado","Único")</f>
        <v>Único</v>
      </c>
    </row>
    <row r="2248" spans="1:5" hidden="1" x14ac:dyDescent="0.25">
      <c r="A2248" s="15">
        <v>50199</v>
      </c>
      <c r="B2248" s="7">
        <v>1140841827</v>
      </c>
      <c r="C2248" s="11">
        <v>45987.437106481499</v>
      </c>
      <c r="D2248" s="17" t="s">
        <v>2732</v>
      </c>
      <c r="E2248" t="str">
        <f>IF(COUNTIF($B$2:B2248,B2248)&gt;1,"Duplicado","Único")</f>
        <v>Duplicado</v>
      </c>
    </row>
    <row r="2249" spans="1:5" x14ac:dyDescent="0.25">
      <c r="A2249" s="15">
        <v>44635</v>
      </c>
      <c r="B2249" s="7">
        <v>1140842377</v>
      </c>
      <c r="C2249" s="11">
        <v>45958.533449074101</v>
      </c>
      <c r="D2249" s="17" t="s">
        <v>2148</v>
      </c>
      <c r="E2249" t="str">
        <f>IF(COUNTIF($B$2:B2249,B2249)&gt;1,"Duplicado","Único")</f>
        <v>Único</v>
      </c>
    </row>
    <row r="2250" spans="1:5" x14ac:dyDescent="0.25">
      <c r="A2250" s="15">
        <v>17357</v>
      </c>
      <c r="B2250" s="7">
        <v>1140849059</v>
      </c>
      <c r="C2250" s="11">
        <v>45796.717210648101</v>
      </c>
      <c r="D2250" s="17" t="s">
        <v>706</v>
      </c>
      <c r="E2250" t="str">
        <f>IF(COUNTIF($B$2:B2250,B2250)&gt;1,"Duplicado","Único")</f>
        <v>Único</v>
      </c>
    </row>
    <row r="2251" spans="1:5" x14ac:dyDescent="0.25">
      <c r="A2251" s="15">
        <v>29038</v>
      </c>
      <c r="B2251" s="7">
        <v>1140850059</v>
      </c>
      <c r="C2251" s="11">
        <v>45908.356736111098</v>
      </c>
      <c r="D2251" s="17" t="s">
        <v>1580</v>
      </c>
      <c r="E2251" t="str">
        <f>IF(COUNTIF($B$2:B2251,B2251)&gt;1,"Duplicado","Único")</f>
        <v>Único</v>
      </c>
    </row>
    <row r="2252" spans="1:5" hidden="1" x14ac:dyDescent="0.25">
      <c r="A2252" s="15">
        <v>29038</v>
      </c>
      <c r="B2252" s="7">
        <v>1140850059</v>
      </c>
      <c r="C2252" s="11">
        <v>45890.694629629601</v>
      </c>
      <c r="D2252" s="17" t="s">
        <v>1375</v>
      </c>
      <c r="E2252" t="str">
        <f>IF(COUNTIF($B$2:B2252,B2252)&gt;1,"Duplicado","Único")</f>
        <v>Duplicado</v>
      </c>
    </row>
    <row r="2253" spans="1:5" x14ac:dyDescent="0.25">
      <c r="A2253" s="15">
        <v>47506</v>
      </c>
      <c r="B2253" s="7">
        <v>1140850676</v>
      </c>
      <c r="C2253" s="11">
        <v>45972.419525463003</v>
      </c>
      <c r="D2253" s="17" t="s">
        <v>2422</v>
      </c>
      <c r="E2253" t="str">
        <f>IF(COUNTIF($B$2:B2253,B2253)&gt;1,"Duplicado","Único")</f>
        <v>Único</v>
      </c>
    </row>
    <row r="2254" spans="1:5" x14ac:dyDescent="0.25">
      <c r="A2254" s="15">
        <v>39871</v>
      </c>
      <c r="B2254" s="7">
        <v>1140858577</v>
      </c>
      <c r="C2254" s="11">
        <v>45931.384270833303</v>
      </c>
      <c r="D2254" s="17" t="s">
        <v>1903</v>
      </c>
      <c r="E2254" t="str">
        <f>IF(COUNTIF($B$2:B2254,B2254)&gt;1,"Duplicado","Único")</f>
        <v>Único</v>
      </c>
    </row>
    <row r="2255" spans="1:5" x14ac:dyDescent="0.25">
      <c r="A2255" s="15">
        <v>43927</v>
      </c>
      <c r="B2255" s="7">
        <v>1140860948</v>
      </c>
      <c r="C2255" s="11">
        <v>45957.718055555597</v>
      </c>
      <c r="D2255" s="17" t="s">
        <v>2100</v>
      </c>
      <c r="E2255" t="str">
        <f>IF(COUNTIF($B$2:B2255,B2255)&gt;1,"Duplicado","Único")</f>
        <v>Único</v>
      </c>
    </row>
    <row r="2256" spans="1:5" x14ac:dyDescent="0.25">
      <c r="A2256" s="15">
        <v>764</v>
      </c>
      <c r="B2256" s="7">
        <v>1140868162</v>
      </c>
      <c r="C2256" s="11">
        <v>46086.541423611103</v>
      </c>
      <c r="D2256" s="17" t="s">
        <v>3841</v>
      </c>
      <c r="E2256" t="str">
        <f>IF(COUNTIF($B$2:B2256,B2256)&gt;1,"Duplicado","Único")</f>
        <v>Único</v>
      </c>
    </row>
    <row r="2257" spans="1:5" hidden="1" x14ac:dyDescent="0.25">
      <c r="A2257" s="15">
        <v>764</v>
      </c>
      <c r="B2257" s="7">
        <v>1140868162</v>
      </c>
      <c r="C2257" s="11">
        <v>46035.501539351899</v>
      </c>
      <c r="D2257" s="17" t="s">
        <v>3145</v>
      </c>
      <c r="E2257" t="str">
        <f>IF(COUNTIF($B$2:B2257,B2257)&gt;1,"Duplicado","Único")</f>
        <v>Duplicado</v>
      </c>
    </row>
    <row r="2258" spans="1:5" x14ac:dyDescent="0.25">
      <c r="A2258" s="15">
        <v>303</v>
      </c>
      <c r="B2258" s="7">
        <v>1140868286</v>
      </c>
      <c r="C2258" s="11">
        <v>46086.497997685197</v>
      </c>
      <c r="D2258" s="17" t="s">
        <v>3816</v>
      </c>
      <c r="E2258" t="str">
        <f>IF(COUNTIF($B$2:B2258,B2258)&gt;1,"Duplicado","Único")</f>
        <v>Único</v>
      </c>
    </row>
    <row r="2259" spans="1:5" hidden="1" x14ac:dyDescent="0.25">
      <c r="A2259" s="15">
        <v>303</v>
      </c>
      <c r="B2259" s="7">
        <v>1140868286</v>
      </c>
      <c r="C2259" s="11">
        <v>46031.639988425901</v>
      </c>
      <c r="D2259" s="17" t="s">
        <v>3124</v>
      </c>
      <c r="E2259" t="str">
        <f>IF(COUNTIF($B$2:B2259,B2259)&gt;1,"Duplicado","Único")</f>
        <v>Duplicado</v>
      </c>
    </row>
    <row r="2260" spans="1:5" x14ac:dyDescent="0.25">
      <c r="A2260" s="15">
        <v>4001</v>
      </c>
      <c r="B2260" s="7">
        <v>1140870105</v>
      </c>
      <c r="C2260" s="11">
        <v>46086.793692129599</v>
      </c>
      <c r="D2260" s="17" t="s">
        <v>3990</v>
      </c>
      <c r="E2260" t="str">
        <f>IF(COUNTIF($B$2:B2260,B2260)&gt;1,"Duplicado","Único")</f>
        <v>Único</v>
      </c>
    </row>
    <row r="2261" spans="1:5" hidden="1" x14ac:dyDescent="0.25">
      <c r="A2261" s="15">
        <v>4001</v>
      </c>
      <c r="B2261" s="7">
        <v>1140870105</v>
      </c>
      <c r="C2261" s="11">
        <v>46055.480266203696</v>
      </c>
      <c r="D2261" s="17" t="s">
        <v>3610</v>
      </c>
      <c r="E2261" t="str">
        <f>IF(COUNTIF($B$2:B2261,B2261)&gt;1,"Duplicado","Único")</f>
        <v>Duplicado</v>
      </c>
    </row>
    <row r="2262" spans="1:5" x14ac:dyDescent="0.25">
      <c r="A2262" s="15">
        <v>36623</v>
      </c>
      <c r="B2262" s="7">
        <v>1140875069</v>
      </c>
      <c r="C2262" s="11">
        <v>45919.3824537037</v>
      </c>
      <c r="D2262" s="17" t="s">
        <v>1756</v>
      </c>
      <c r="E2262" t="str">
        <f>IF(COUNTIF($B$2:B2262,B2262)&gt;1,"Duplicado","Único")</f>
        <v>Único</v>
      </c>
    </row>
    <row r="2263" spans="1:5" x14ac:dyDescent="0.25">
      <c r="A2263" s="15">
        <v>52393</v>
      </c>
      <c r="B2263" s="7">
        <v>1140877239</v>
      </c>
      <c r="C2263" s="11">
        <v>46057.348900463003</v>
      </c>
      <c r="D2263" s="17" t="s">
        <v>3631</v>
      </c>
      <c r="E2263" t="str">
        <f>IF(COUNTIF($B$2:B2263,B2263)&gt;1,"Duplicado","Único")</f>
        <v>Único</v>
      </c>
    </row>
    <row r="2264" spans="1:5" hidden="1" x14ac:dyDescent="0.25">
      <c r="A2264" s="15">
        <v>52393</v>
      </c>
      <c r="B2264" s="7">
        <v>1140877239</v>
      </c>
      <c r="C2264" s="11">
        <v>46009.431909722203</v>
      </c>
      <c r="D2264" s="17" t="s">
        <v>2983</v>
      </c>
      <c r="E2264" t="str">
        <f>IF(COUNTIF($B$2:B2264,B2264)&gt;1,"Duplicado","Único")</f>
        <v>Duplicado</v>
      </c>
    </row>
    <row r="2265" spans="1:5" x14ac:dyDescent="0.25">
      <c r="A2265" s="15">
        <v>20065</v>
      </c>
      <c r="B2265" s="7">
        <v>1140877263</v>
      </c>
      <c r="C2265" s="11">
        <v>45819.683263888903</v>
      </c>
      <c r="D2265" s="17" t="s">
        <v>859</v>
      </c>
      <c r="E2265" t="str">
        <f>IF(COUNTIF($B$2:B2265,B2265)&gt;1,"Duplicado","Único")</f>
        <v>Único</v>
      </c>
    </row>
    <row r="2266" spans="1:5" x14ac:dyDescent="0.25">
      <c r="A2266" s="15">
        <v>28151</v>
      </c>
      <c r="B2266" s="7">
        <v>1140879907</v>
      </c>
      <c r="C2266" s="11">
        <v>45884.618020833303</v>
      </c>
      <c r="D2266" s="17" t="s">
        <v>1314</v>
      </c>
      <c r="E2266" t="str">
        <f>IF(COUNTIF($B$2:B2266,B2266)&gt;1,"Duplicado","Único")</f>
        <v>Único</v>
      </c>
    </row>
    <row r="2267" spans="1:5" x14ac:dyDescent="0.25">
      <c r="A2267" s="15">
        <v>39291</v>
      </c>
      <c r="B2267" s="7">
        <v>1140882455</v>
      </c>
      <c r="C2267" s="11">
        <v>45930.389305555596</v>
      </c>
      <c r="D2267" s="17" t="s">
        <v>1875</v>
      </c>
      <c r="E2267" t="str">
        <f>IF(COUNTIF($B$2:B2267,B2267)&gt;1,"Duplicado","Único")</f>
        <v>Único</v>
      </c>
    </row>
    <row r="2268" spans="1:5" x14ac:dyDescent="0.25">
      <c r="A2268" s="15">
        <v>53628</v>
      </c>
      <c r="B2268" s="7">
        <v>1140885048</v>
      </c>
      <c r="C2268" s="11">
        <v>46057.396076388897</v>
      </c>
      <c r="D2268" s="17" t="s">
        <v>3671</v>
      </c>
      <c r="E2268" t="str">
        <f>IF(COUNTIF($B$2:B2268,B2268)&gt;1,"Duplicado","Único")</f>
        <v>Único</v>
      </c>
    </row>
    <row r="2269" spans="1:5" hidden="1" x14ac:dyDescent="0.25">
      <c r="A2269" s="15">
        <v>53628</v>
      </c>
      <c r="B2269" s="7">
        <v>1140885048</v>
      </c>
      <c r="C2269" s="11">
        <v>46013.491840277798</v>
      </c>
      <c r="D2269" s="17" t="s">
        <v>3028</v>
      </c>
      <c r="E2269" t="str">
        <f>IF(COUNTIF($B$2:B2269,B2269)&gt;1,"Duplicado","Único")</f>
        <v>Duplicado</v>
      </c>
    </row>
    <row r="2270" spans="1:5" x14ac:dyDescent="0.25">
      <c r="A2270" s="15">
        <v>46899</v>
      </c>
      <c r="B2270" s="7">
        <v>1140886141</v>
      </c>
      <c r="C2270" s="11">
        <v>45975.493657407402</v>
      </c>
      <c r="D2270" s="17" t="s">
        <v>2518</v>
      </c>
      <c r="E2270" t="str">
        <f>IF(COUNTIF($B$2:B2270,B2270)&gt;1,"Duplicado","Único")</f>
        <v>Único</v>
      </c>
    </row>
    <row r="2271" spans="1:5" hidden="1" x14ac:dyDescent="0.25">
      <c r="A2271" s="15">
        <v>46899</v>
      </c>
      <c r="B2271" s="7">
        <v>1140886141</v>
      </c>
      <c r="C2271" s="11">
        <v>45967.729085648098</v>
      </c>
      <c r="D2271" s="17" t="s">
        <v>2370</v>
      </c>
      <c r="E2271" t="str">
        <f>IF(COUNTIF($B$2:B2271,B2271)&gt;1,"Duplicado","Único")</f>
        <v>Duplicado</v>
      </c>
    </row>
    <row r="2272" spans="1:5" x14ac:dyDescent="0.25">
      <c r="A2272" s="15">
        <v>3775</v>
      </c>
      <c r="B2272" s="7">
        <v>1140887453</v>
      </c>
      <c r="C2272" s="11">
        <v>46086.7941319444</v>
      </c>
      <c r="D2272" s="17" t="s">
        <v>3991</v>
      </c>
      <c r="E2272" t="str">
        <f>IF(COUNTIF($B$2:B2272,B2272)&gt;1,"Duplicado","Único")</f>
        <v>Único</v>
      </c>
    </row>
    <row r="2273" spans="1:5" hidden="1" x14ac:dyDescent="0.25">
      <c r="A2273" s="15">
        <v>3775</v>
      </c>
      <c r="B2273" s="7">
        <v>1140887453</v>
      </c>
      <c r="C2273" s="11">
        <v>46055.396886574097</v>
      </c>
      <c r="D2273" s="17" t="s">
        <v>3578</v>
      </c>
      <c r="E2273" t="str">
        <f>IF(COUNTIF($B$2:B2273,B2273)&gt;1,"Duplicado","Único")</f>
        <v>Duplicado</v>
      </c>
    </row>
    <row r="2274" spans="1:5" x14ac:dyDescent="0.25">
      <c r="A2274" s="15">
        <v>26695</v>
      </c>
      <c r="B2274" s="7">
        <v>1140893291</v>
      </c>
      <c r="C2274" s="11">
        <v>45867.622731481497</v>
      </c>
      <c r="D2274" s="17" t="s">
        <v>1217</v>
      </c>
      <c r="E2274" t="str">
        <f>IF(COUNTIF($B$2:B2274,B2274)&gt;1,"Duplicado","Único")</f>
        <v>Único</v>
      </c>
    </row>
    <row r="2275" spans="1:5" x14ac:dyDescent="0.25">
      <c r="A2275" s="15">
        <v>32772</v>
      </c>
      <c r="B2275" s="7">
        <v>1140893992</v>
      </c>
      <c r="C2275" s="11">
        <v>45910.495937500003</v>
      </c>
      <c r="D2275" s="17" t="s">
        <v>1651</v>
      </c>
      <c r="E2275" t="str">
        <f>IF(COUNTIF($B$2:B2275,B2275)&gt;1,"Duplicado","Único")</f>
        <v>Único</v>
      </c>
    </row>
    <row r="2276" spans="1:5" x14ac:dyDescent="0.25">
      <c r="A2276" s="15">
        <v>1824</v>
      </c>
      <c r="B2276" s="7">
        <v>1140901681</v>
      </c>
      <c r="C2276" s="11">
        <v>46086.712731481501</v>
      </c>
      <c r="D2276" s="17" t="s">
        <v>3898</v>
      </c>
      <c r="E2276" t="str">
        <f>IF(COUNTIF($B$2:B2276,B2276)&gt;1,"Duplicado","Único")</f>
        <v>Único</v>
      </c>
    </row>
    <row r="2277" spans="1:5" hidden="1" x14ac:dyDescent="0.25">
      <c r="A2277" s="15">
        <v>1824</v>
      </c>
      <c r="B2277" s="7">
        <v>1140901681</v>
      </c>
      <c r="C2277" s="11">
        <v>46048.481874999998</v>
      </c>
      <c r="D2277" s="17" t="s">
        <v>3196</v>
      </c>
      <c r="E2277" t="str">
        <f>IF(COUNTIF($B$2:B2277,B2277)&gt;1,"Duplicado","Único")</f>
        <v>Duplicado</v>
      </c>
    </row>
    <row r="2278" spans="1:5" x14ac:dyDescent="0.25">
      <c r="A2278" s="15">
        <v>32091</v>
      </c>
      <c r="B2278" s="7">
        <v>1143116067</v>
      </c>
      <c r="C2278" s="11">
        <v>45908.371585648201</v>
      </c>
      <c r="D2278" s="17" t="s">
        <v>1590</v>
      </c>
      <c r="E2278" t="str">
        <f>IF(COUNTIF($B$2:B2278,B2278)&gt;1,"Duplicado","Único")</f>
        <v>Único</v>
      </c>
    </row>
    <row r="2279" spans="1:5" x14ac:dyDescent="0.25">
      <c r="A2279" s="15">
        <v>15302</v>
      </c>
      <c r="B2279" s="7">
        <v>1143143662</v>
      </c>
      <c r="C2279" s="11">
        <v>46120.659247685202</v>
      </c>
      <c r="D2279" s="17" t="s">
        <v>4336</v>
      </c>
      <c r="E2279" t="str">
        <f>IF(COUNTIF($B$2:B2279,B2279)&gt;1,"Duplicado","Único")</f>
        <v>Único</v>
      </c>
    </row>
    <row r="2280" spans="1:5" hidden="1" x14ac:dyDescent="0.25">
      <c r="A2280" s="15">
        <v>15302</v>
      </c>
      <c r="B2280" s="7">
        <v>1143143662</v>
      </c>
      <c r="C2280" s="11">
        <v>46094.5176967593</v>
      </c>
      <c r="D2280" s="17" t="s">
        <v>4079</v>
      </c>
      <c r="E2280" t="str">
        <f>IF(COUNTIF($B$2:B2280,B2280)&gt;1,"Duplicado","Único")</f>
        <v>Duplicado</v>
      </c>
    </row>
    <row r="2281" spans="1:5" x14ac:dyDescent="0.25">
      <c r="A2281" s="15">
        <v>43517</v>
      </c>
      <c r="B2281" s="7">
        <v>1143148673</v>
      </c>
      <c r="C2281" s="11">
        <v>45957.403090277803</v>
      </c>
      <c r="D2281" s="17" t="s">
        <v>2084</v>
      </c>
      <c r="E2281" t="str">
        <f>IF(COUNTIF($B$2:B2281,B2281)&gt;1,"Duplicado","Único")</f>
        <v>Único</v>
      </c>
    </row>
    <row r="2282" spans="1:5" x14ac:dyDescent="0.25">
      <c r="A2282" s="15">
        <v>2504</v>
      </c>
      <c r="B2282" s="7">
        <v>1143149929</v>
      </c>
      <c r="C2282" s="11">
        <v>46086.756168981497</v>
      </c>
      <c r="D2282" s="17" t="s">
        <v>3945</v>
      </c>
      <c r="E2282" t="str">
        <f>IF(COUNTIF($B$2:B2282,B2282)&gt;1,"Duplicado","Único")</f>
        <v>Único</v>
      </c>
    </row>
    <row r="2283" spans="1:5" hidden="1" x14ac:dyDescent="0.25">
      <c r="A2283" s="15">
        <v>2504</v>
      </c>
      <c r="B2283" s="7">
        <v>1143149929</v>
      </c>
      <c r="C2283" s="11">
        <v>46051.400312500002</v>
      </c>
      <c r="D2283" s="17" t="s">
        <v>3437</v>
      </c>
      <c r="E2283" t="str">
        <f>IF(COUNTIF($B$2:B2283,B2283)&gt;1,"Duplicado","Único")</f>
        <v>Duplicado</v>
      </c>
    </row>
    <row r="2284" spans="1:5" x14ac:dyDescent="0.25">
      <c r="A2284" s="15">
        <v>52269</v>
      </c>
      <c r="B2284" s="7">
        <v>1143153249</v>
      </c>
      <c r="C2284" s="11">
        <v>46051.525081018503</v>
      </c>
      <c r="D2284" s="17" t="s">
        <v>3522</v>
      </c>
      <c r="E2284" t="str">
        <f>IF(COUNTIF($B$2:B2284,B2284)&gt;1,"Duplicado","Único")</f>
        <v>Único</v>
      </c>
    </row>
    <row r="2285" spans="1:5" hidden="1" x14ac:dyDescent="0.25">
      <c r="A2285" s="15">
        <v>52269</v>
      </c>
      <c r="B2285" s="7">
        <v>1143153249</v>
      </c>
      <c r="C2285" s="11">
        <v>46007.381273148101</v>
      </c>
      <c r="D2285" s="17" t="s">
        <v>2929</v>
      </c>
      <c r="E2285" t="str">
        <f>IF(COUNTIF($B$2:B2285,B2285)&gt;1,"Duplicado","Único")</f>
        <v>Duplicado</v>
      </c>
    </row>
    <row r="2286" spans="1:5" x14ac:dyDescent="0.25">
      <c r="A2286" s="15">
        <v>15648</v>
      </c>
      <c r="B2286" s="7">
        <v>1143155797</v>
      </c>
      <c r="C2286" s="11">
        <v>46121.520532407398</v>
      </c>
      <c r="D2286" s="17" t="s">
        <v>4423</v>
      </c>
      <c r="E2286" t="str">
        <f>IF(COUNTIF($B$2:B2286,B2286)&gt;1,"Duplicado","Único")</f>
        <v>Único</v>
      </c>
    </row>
    <row r="2287" spans="1:5" hidden="1" x14ac:dyDescent="0.25">
      <c r="A2287" s="15">
        <v>15648</v>
      </c>
      <c r="B2287" s="7">
        <v>1143155797</v>
      </c>
      <c r="C2287" s="11">
        <v>46101.666712963</v>
      </c>
      <c r="D2287" s="17" t="s">
        <v>4104</v>
      </c>
      <c r="E2287" t="str">
        <f>IF(COUNTIF($B$2:B2287,B2287)&gt;1,"Duplicado","Único")</f>
        <v>Duplicado</v>
      </c>
    </row>
    <row r="2288" spans="1:5" x14ac:dyDescent="0.25">
      <c r="A2288" s="15">
        <v>45432</v>
      </c>
      <c r="B2288" s="7">
        <v>1143156696</v>
      </c>
      <c r="C2288" s="11">
        <v>45975.400648148097</v>
      </c>
      <c r="D2288" s="17" t="s">
        <v>2514</v>
      </c>
      <c r="E2288" t="str">
        <f>IF(COUNTIF($B$2:B2288,B2288)&gt;1,"Duplicado","Único")</f>
        <v>Único</v>
      </c>
    </row>
    <row r="2289" spans="1:5" hidden="1" x14ac:dyDescent="0.25">
      <c r="A2289" s="15">
        <v>45432</v>
      </c>
      <c r="B2289" s="7">
        <v>1143156696</v>
      </c>
      <c r="C2289" s="11">
        <v>45960.407604166699</v>
      </c>
      <c r="D2289" s="17" t="s">
        <v>2238</v>
      </c>
      <c r="E2289" t="str">
        <f>IF(COUNTIF($B$2:B2289,B2289)&gt;1,"Duplicado","Único")</f>
        <v>Duplicado</v>
      </c>
    </row>
    <row r="2290" spans="1:5" x14ac:dyDescent="0.25">
      <c r="A2290" s="15">
        <v>26299</v>
      </c>
      <c r="B2290" s="7">
        <v>1143160404</v>
      </c>
      <c r="C2290" s="11">
        <v>45867.394999999997</v>
      </c>
      <c r="D2290" s="17" t="s">
        <v>1190</v>
      </c>
      <c r="E2290" t="str">
        <f>IF(COUNTIF($B$2:B2290,B2290)&gt;1,"Duplicado","Único")</f>
        <v>Único</v>
      </c>
    </row>
    <row r="2291" spans="1:5" x14ac:dyDescent="0.25">
      <c r="A2291" s="15">
        <v>26810</v>
      </c>
      <c r="B2291" s="7">
        <v>1143171380</v>
      </c>
      <c r="C2291" s="11">
        <v>45873.603101851899</v>
      </c>
      <c r="D2291" s="17" t="s">
        <v>1226</v>
      </c>
      <c r="E2291" t="str">
        <f>IF(COUNTIF($B$2:B2291,B2291)&gt;1,"Duplicado","Único")</f>
        <v>Único</v>
      </c>
    </row>
    <row r="2292" spans="1:5" x14ac:dyDescent="0.25">
      <c r="A2292" s="15">
        <v>49740</v>
      </c>
      <c r="B2292" s="7">
        <v>1143244745</v>
      </c>
      <c r="C2292" s="11">
        <v>46050.4748958333</v>
      </c>
      <c r="D2292" s="17" t="s">
        <v>3259</v>
      </c>
      <c r="E2292" t="str">
        <f>IF(COUNTIF($B$2:B2292,B2292)&gt;1,"Duplicado","Único")</f>
        <v>Único</v>
      </c>
    </row>
    <row r="2293" spans="1:5" hidden="1" x14ac:dyDescent="0.25">
      <c r="A2293" s="15">
        <v>49740</v>
      </c>
      <c r="B2293" s="7">
        <v>1143244745</v>
      </c>
      <c r="C2293" s="11">
        <v>45985.586805555598</v>
      </c>
      <c r="D2293" s="17" t="s">
        <v>2693</v>
      </c>
      <c r="E2293" t="str">
        <f>IF(COUNTIF($B$2:B2293,B2293)&gt;1,"Duplicado","Único")</f>
        <v>Duplicado</v>
      </c>
    </row>
    <row r="2294" spans="1:5" x14ac:dyDescent="0.25">
      <c r="A2294" s="15">
        <v>31472</v>
      </c>
      <c r="B2294" s="7">
        <v>1143337488</v>
      </c>
      <c r="C2294" s="11">
        <v>45905.3539467593</v>
      </c>
      <c r="D2294" s="17" t="s">
        <v>1552</v>
      </c>
      <c r="E2294" t="str">
        <f>IF(COUNTIF($B$2:B2294,B2294)&gt;1,"Duplicado","Único")</f>
        <v>Único</v>
      </c>
    </row>
    <row r="2295" spans="1:5" x14ac:dyDescent="0.25">
      <c r="A2295" s="15">
        <v>49473</v>
      </c>
      <c r="B2295" s="7">
        <v>1143342691</v>
      </c>
      <c r="C2295" s="11">
        <v>46051.475474537001</v>
      </c>
      <c r="D2295" s="17" t="s">
        <v>3499</v>
      </c>
      <c r="E2295" t="str">
        <f>IF(COUNTIF($B$2:B2295,B2295)&gt;1,"Duplicado","Único")</f>
        <v>Único</v>
      </c>
    </row>
    <row r="2296" spans="1:5" hidden="1" x14ac:dyDescent="0.25">
      <c r="A2296" s="15">
        <v>49473</v>
      </c>
      <c r="B2296" s="7">
        <v>1143342691</v>
      </c>
      <c r="C2296" s="11">
        <v>46003.642303240696</v>
      </c>
      <c r="D2296" s="17" t="s">
        <v>2917</v>
      </c>
      <c r="E2296" t="str">
        <f>IF(COUNTIF($B$2:B2296,B2296)&gt;1,"Duplicado","Único")</f>
        <v>Duplicado</v>
      </c>
    </row>
    <row r="2297" spans="1:5" hidden="1" x14ac:dyDescent="0.25">
      <c r="A2297" s="15">
        <v>49473</v>
      </c>
      <c r="B2297" s="7">
        <v>1143342691</v>
      </c>
      <c r="C2297" s="11">
        <v>45982.461851851898</v>
      </c>
      <c r="D2297" s="17" t="s">
        <v>2669</v>
      </c>
      <c r="E2297" t="str">
        <f>IF(COUNTIF($B$2:B2297,B2297)&gt;1,"Duplicado","Único")</f>
        <v>Duplicado</v>
      </c>
    </row>
    <row r="2298" spans="1:5" x14ac:dyDescent="0.25">
      <c r="A2298" s="15">
        <v>31557</v>
      </c>
      <c r="B2298" s="7">
        <v>1143346768</v>
      </c>
      <c r="C2298" s="11">
        <v>45905.3741435185</v>
      </c>
      <c r="D2298" s="17" t="s">
        <v>1553</v>
      </c>
      <c r="E2298" t="str">
        <f>IF(COUNTIF($B$2:B2298,B2298)&gt;1,"Duplicado","Único")</f>
        <v>Único</v>
      </c>
    </row>
    <row r="2299" spans="1:5" x14ac:dyDescent="0.25">
      <c r="A2299" s="15">
        <v>17865</v>
      </c>
      <c r="B2299" s="7">
        <v>1143354316</v>
      </c>
      <c r="C2299" s="11">
        <v>45797.717418981498</v>
      </c>
      <c r="D2299" s="17" t="s">
        <v>730</v>
      </c>
      <c r="E2299" t="str">
        <f>IF(COUNTIF($B$2:B2299,B2299)&gt;1,"Duplicado","Único")</f>
        <v>Único</v>
      </c>
    </row>
    <row r="2300" spans="1:5" x14ac:dyDescent="0.25">
      <c r="A2300" s="15">
        <v>41819</v>
      </c>
      <c r="B2300" s="7">
        <v>1143357090</v>
      </c>
      <c r="C2300" s="11">
        <v>45950.659236111103</v>
      </c>
      <c r="D2300" s="17" t="s">
        <v>2007</v>
      </c>
      <c r="E2300" t="str">
        <f>IF(COUNTIF($B$2:B2300,B2300)&gt;1,"Duplicado","Único")</f>
        <v>Único</v>
      </c>
    </row>
    <row r="2301" spans="1:5" x14ac:dyDescent="0.25">
      <c r="A2301" s="15">
        <v>47003</v>
      </c>
      <c r="B2301" s="7">
        <v>1143359968</v>
      </c>
      <c r="C2301" s="11">
        <v>45968.406041666698</v>
      </c>
      <c r="D2301" s="17" t="s">
        <v>2382</v>
      </c>
      <c r="E2301" t="str">
        <f>IF(COUNTIF($B$2:B2301,B2301)&gt;1,"Duplicado","Único")</f>
        <v>Único</v>
      </c>
    </row>
    <row r="2302" spans="1:5" x14ac:dyDescent="0.25">
      <c r="A2302" s="15">
        <v>21101</v>
      </c>
      <c r="B2302" s="7">
        <v>1143360089</v>
      </c>
      <c r="C2302" s="11">
        <v>45824.363495370402</v>
      </c>
      <c r="D2302" s="17" t="s">
        <v>924</v>
      </c>
      <c r="E2302" t="str">
        <f>IF(COUNTIF($B$2:B2302,B2302)&gt;1,"Duplicado","Único")</f>
        <v>Único</v>
      </c>
    </row>
    <row r="2303" spans="1:5" x14ac:dyDescent="0.25">
      <c r="A2303" s="15">
        <v>45421</v>
      </c>
      <c r="B2303" s="7">
        <v>1143361965</v>
      </c>
      <c r="C2303" s="11">
        <v>45959.406215277799</v>
      </c>
      <c r="D2303" s="17" t="s">
        <v>2220</v>
      </c>
      <c r="E2303" t="str">
        <f>IF(COUNTIF($B$2:B2303,B2303)&gt;1,"Duplicado","Único")</f>
        <v>Único</v>
      </c>
    </row>
    <row r="2304" spans="1:5" x14ac:dyDescent="0.25">
      <c r="A2304" s="15">
        <v>27734</v>
      </c>
      <c r="B2304" s="7">
        <v>1143362760</v>
      </c>
      <c r="C2304" s="11">
        <v>45881.3531365741</v>
      </c>
      <c r="D2304" s="17" t="s">
        <v>1297</v>
      </c>
      <c r="E2304" t="str">
        <f>IF(COUNTIF($B$2:B2304,B2304)&gt;1,"Duplicado","Único")</f>
        <v>Único</v>
      </c>
    </row>
    <row r="2305" spans="1:5" x14ac:dyDescent="0.25">
      <c r="A2305" s="15">
        <v>29942</v>
      </c>
      <c r="B2305" s="7">
        <v>1143362906</v>
      </c>
      <c r="C2305" s="11">
        <v>45898.457106481503</v>
      </c>
      <c r="D2305" s="17" t="s">
        <v>1450</v>
      </c>
      <c r="E2305" t="str">
        <f>IF(COUNTIF($B$2:B2305,B2305)&gt;1,"Duplicado","Único")</f>
        <v>Único</v>
      </c>
    </row>
    <row r="2306" spans="1:5" x14ac:dyDescent="0.25">
      <c r="A2306" s="15">
        <v>2955</v>
      </c>
      <c r="B2306" s="7">
        <v>1143364445</v>
      </c>
      <c r="C2306" s="11">
        <v>46086.740162037</v>
      </c>
      <c r="D2306" s="17" t="s">
        <v>3926</v>
      </c>
      <c r="E2306" t="str">
        <f>IF(COUNTIF($B$2:B2306,B2306)&gt;1,"Duplicado","Único")</f>
        <v>Único</v>
      </c>
    </row>
    <row r="2307" spans="1:5" hidden="1" x14ac:dyDescent="0.25">
      <c r="A2307" s="15">
        <v>2955</v>
      </c>
      <c r="B2307" s="7">
        <v>1143364445</v>
      </c>
      <c r="C2307" s="11">
        <v>46050.611770833297</v>
      </c>
      <c r="D2307" s="17" t="s">
        <v>3319</v>
      </c>
      <c r="E2307" t="str">
        <f>IF(COUNTIF($B$2:B2307,B2307)&gt;1,"Duplicado","Único")</f>
        <v>Duplicado</v>
      </c>
    </row>
    <row r="2308" spans="1:5" x14ac:dyDescent="0.25">
      <c r="A2308" s="15">
        <v>52441</v>
      </c>
      <c r="B2308" s="7">
        <v>1143371414</v>
      </c>
      <c r="C2308" s="11">
        <v>46057.350104166697</v>
      </c>
      <c r="D2308" s="17" t="s">
        <v>3632</v>
      </c>
      <c r="E2308" t="str">
        <f>IF(COUNTIF($B$2:B2308,B2308)&gt;1,"Duplicado","Único")</f>
        <v>Único</v>
      </c>
    </row>
    <row r="2309" spans="1:5" hidden="1" x14ac:dyDescent="0.25">
      <c r="A2309" s="15">
        <v>52441</v>
      </c>
      <c r="B2309" s="7">
        <v>1143371414</v>
      </c>
      <c r="C2309" s="11">
        <v>46009.441620370402</v>
      </c>
      <c r="D2309" s="17" t="s">
        <v>2986</v>
      </c>
      <c r="E2309" t="str">
        <f>IF(COUNTIF($B$2:B2309,B2309)&gt;1,"Duplicado","Único")</f>
        <v>Duplicado</v>
      </c>
    </row>
    <row r="2310" spans="1:5" x14ac:dyDescent="0.25">
      <c r="A2310" s="15">
        <v>26916</v>
      </c>
      <c r="B2310" s="7">
        <v>1143373291</v>
      </c>
      <c r="C2310" s="11">
        <v>45873.639490740701</v>
      </c>
      <c r="D2310" s="17" t="s">
        <v>1228</v>
      </c>
      <c r="E2310" t="str">
        <f>IF(COUNTIF($B$2:B2310,B2310)&gt;1,"Duplicado","Único")</f>
        <v>Único</v>
      </c>
    </row>
    <row r="2311" spans="1:5" x14ac:dyDescent="0.25">
      <c r="A2311" s="15">
        <v>22305</v>
      </c>
      <c r="B2311" s="7">
        <v>1143374513</v>
      </c>
      <c r="C2311" s="11">
        <v>45835.725671296299</v>
      </c>
      <c r="D2311" s="17" t="s">
        <v>1004</v>
      </c>
      <c r="E2311" t="str">
        <f>IF(COUNTIF($B$2:B2311,B2311)&gt;1,"Duplicado","Único")</f>
        <v>Único</v>
      </c>
    </row>
    <row r="2312" spans="1:5" x14ac:dyDescent="0.25">
      <c r="A2312" s="15">
        <v>44911</v>
      </c>
      <c r="B2312" s="7">
        <v>1143378284</v>
      </c>
      <c r="C2312" s="11">
        <v>45958.669745370396</v>
      </c>
      <c r="D2312" s="17" t="s">
        <v>2178</v>
      </c>
      <c r="E2312" t="str">
        <f>IF(COUNTIF($B$2:B2312,B2312)&gt;1,"Duplicado","Único")</f>
        <v>Único</v>
      </c>
    </row>
    <row r="2313" spans="1:5" x14ac:dyDescent="0.25">
      <c r="A2313" s="15">
        <v>21300</v>
      </c>
      <c r="B2313" s="7">
        <v>1143378881</v>
      </c>
      <c r="C2313" s="11">
        <v>45824.426608796297</v>
      </c>
      <c r="D2313" s="17" t="s">
        <v>934</v>
      </c>
      <c r="E2313" t="str">
        <f>IF(COUNTIF($B$2:B2313,B2313)&gt;1,"Duplicado","Único")</f>
        <v>Único</v>
      </c>
    </row>
    <row r="2314" spans="1:5" x14ac:dyDescent="0.25">
      <c r="A2314" s="15">
        <v>33258</v>
      </c>
      <c r="B2314" s="7">
        <v>1143397181</v>
      </c>
      <c r="C2314" s="11">
        <v>45912.710150462997</v>
      </c>
      <c r="D2314" s="17" t="s">
        <v>1688</v>
      </c>
      <c r="E2314" t="str">
        <f>IF(COUNTIF($B$2:B2314,B2314)&gt;1,"Duplicado","Único")</f>
        <v>Único</v>
      </c>
    </row>
    <row r="2315" spans="1:5" x14ac:dyDescent="0.25">
      <c r="A2315" s="15">
        <v>780</v>
      </c>
      <c r="B2315" s="7">
        <v>1143401490</v>
      </c>
      <c r="C2315" s="11">
        <v>46086.541967592602</v>
      </c>
      <c r="D2315" s="17" t="s">
        <v>3842</v>
      </c>
      <c r="E2315" t="str">
        <f>IF(COUNTIF($B$2:B2315,B2315)&gt;1,"Duplicado","Único")</f>
        <v>Único</v>
      </c>
    </row>
    <row r="2316" spans="1:5" hidden="1" x14ac:dyDescent="0.25">
      <c r="A2316" s="15">
        <v>780</v>
      </c>
      <c r="B2316" s="7">
        <v>1143401490</v>
      </c>
      <c r="C2316" s="11">
        <v>46035.504837963003</v>
      </c>
      <c r="D2316" s="17" t="s">
        <v>3146</v>
      </c>
      <c r="E2316" t="str">
        <f>IF(COUNTIF($B$2:B2316,B2316)&gt;1,"Duplicado","Único")</f>
        <v>Duplicado</v>
      </c>
    </row>
    <row r="2317" spans="1:5" x14ac:dyDescent="0.25">
      <c r="A2317" s="15">
        <v>3002</v>
      </c>
      <c r="B2317" s="7">
        <v>1143413509</v>
      </c>
      <c r="C2317" s="11">
        <v>46086.756620370397</v>
      </c>
      <c r="D2317" s="17" t="s">
        <v>994</v>
      </c>
      <c r="E2317" t="str">
        <f>IF(COUNTIF($B$2:B2317,B2317)&gt;1,"Duplicado","Único")</f>
        <v>Único</v>
      </c>
    </row>
    <row r="2318" spans="1:5" hidden="1" x14ac:dyDescent="0.25">
      <c r="A2318" s="15">
        <v>3002</v>
      </c>
      <c r="B2318" s="7">
        <v>1143413509</v>
      </c>
      <c r="C2318" s="11">
        <v>46051.402395833298</v>
      </c>
      <c r="D2318" s="17" t="s">
        <v>3438</v>
      </c>
      <c r="E2318" t="str">
        <f>IF(COUNTIF($B$2:B2318,B2318)&gt;1,"Duplicado","Único")</f>
        <v>Duplicado</v>
      </c>
    </row>
    <row r="2319" spans="1:5" x14ac:dyDescent="0.25">
      <c r="A2319" s="15">
        <v>44667</v>
      </c>
      <c r="B2319" s="7">
        <v>1143430116</v>
      </c>
      <c r="C2319" s="11">
        <v>45958.605173611097</v>
      </c>
      <c r="D2319" s="17" t="s">
        <v>2156</v>
      </c>
      <c r="E2319" t="str">
        <f>IF(COUNTIF($B$2:B2319,B2319)&gt;1,"Duplicado","Único")</f>
        <v>Único</v>
      </c>
    </row>
    <row r="2320" spans="1:5" x14ac:dyDescent="0.25">
      <c r="A2320" s="15">
        <v>41508</v>
      </c>
      <c r="B2320" s="7">
        <v>1143440173</v>
      </c>
      <c r="C2320" s="11">
        <v>45938.4231828704</v>
      </c>
      <c r="D2320" s="17" t="s">
        <v>1982</v>
      </c>
      <c r="E2320" t="str">
        <f>IF(COUNTIF($B$2:B2320,B2320)&gt;1,"Duplicado","Único")</f>
        <v>Único</v>
      </c>
    </row>
    <row r="2321" spans="1:5" x14ac:dyDescent="0.25">
      <c r="A2321" s="15">
        <v>3353</v>
      </c>
      <c r="B2321" s="7">
        <v>1143444529</v>
      </c>
      <c r="C2321" s="11">
        <v>46086.794641203698</v>
      </c>
      <c r="D2321" s="17" t="s">
        <v>3992</v>
      </c>
      <c r="E2321" t="str">
        <f>IF(COUNTIF($B$2:B2321,B2321)&gt;1,"Duplicado","Único")</f>
        <v>Único</v>
      </c>
    </row>
    <row r="2322" spans="1:5" hidden="1" x14ac:dyDescent="0.25">
      <c r="A2322" s="15">
        <v>3353</v>
      </c>
      <c r="B2322" s="7">
        <v>1143444529</v>
      </c>
      <c r="C2322" s="11">
        <v>46055.512453703697</v>
      </c>
      <c r="D2322" s="17" t="s">
        <v>3614</v>
      </c>
      <c r="E2322" t="str">
        <f>IF(COUNTIF($B$2:B2322,B2322)&gt;1,"Duplicado","Único")</f>
        <v>Duplicado</v>
      </c>
    </row>
    <row r="2323" spans="1:5" x14ac:dyDescent="0.25">
      <c r="A2323" s="15">
        <v>27746</v>
      </c>
      <c r="B2323" s="7">
        <v>1143829230</v>
      </c>
      <c r="C2323" s="11">
        <v>45884.370694444398</v>
      </c>
      <c r="D2323" s="17" t="s">
        <v>1300</v>
      </c>
      <c r="E2323" t="str">
        <f>IF(COUNTIF($B$2:B2323,B2323)&gt;1,"Duplicado","Único")</f>
        <v>Único</v>
      </c>
    </row>
    <row r="2324" spans="1:5" x14ac:dyDescent="0.25">
      <c r="A2324" s="15">
        <v>16488</v>
      </c>
      <c r="B2324" s="7">
        <v>1143834378</v>
      </c>
      <c r="C2324" s="11">
        <v>46149.5141435185</v>
      </c>
      <c r="D2324" s="17" t="s">
        <v>4521</v>
      </c>
      <c r="E2324" t="str">
        <f>IF(COUNTIF($B$2:B2324,B2324)&gt;1,"Duplicado","Único")</f>
        <v>Único</v>
      </c>
    </row>
    <row r="2325" spans="1:5" hidden="1" x14ac:dyDescent="0.25">
      <c r="A2325" s="15">
        <v>16488</v>
      </c>
      <c r="B2325" s="7">
        <v>1143834378</v>
      </c>
      <c r="C2325" s="11">
        <v>46101.641539351898</v>
      </c>
      <c r="D2325" s="17" t="s">
        <v>4100</v>
      </c>
      <c r="E2325" t="str">
        <f>IF(COUNTIF($B$2:B2325,B2325)&gt;1,"Duplicado","Único")</f>
        <v>Duplicado</v>
      </c>
    </row>
    <row r="2326" spans="1:5" x14ac:dyDescent="0.25">
      <c r="A2326" s="15">
        <v>54438</v>
      </c>
      <c r="B2326" s="7">
        <v>1143843983</v>
      </c>
      <c r="C2326" s="11">
        <v>46057.447881944398</v>
      </c>
      <c r="D2326" s="17" t="s">
        <v>3720</v>
      </c>
      <c r="E2326" t="str">
        <f>IF(COUNTIF($B$2:B2326,B2326)&gt;1,"Duplicado","Único")</f>
        <v>Único</v>
      </c>
    </row>
    <row r="2327" spans="1:5" hidden="1" x14ac:dyDescent="0.25">
      <c r="A2327" s="15">
        <v>54438</v>
      </c>
      <c r="B2327" s="7">
        <v>1143843983</v>
      </c>
      <c r="C2327" s="11">
        <v>46015.430972222202</v>
      </c>
      <c r="D2327" s="17" t="s">
        <v>3077</v>
      </c>
      <c r="E2327" t="str">
        <f>IF(COUNTIF($B$2:B2327,B2327)&gt;1,"Duplicado","Único")</f>
        <v>Duplicado</v>
      </c>
    </row>
    <row r="2328" spans="1:5" x14ac:dyDescent="0.25">
      <c r="A2328" s="15">
        <v>21745</v>
      </c>
      <c r="B2328" s="7">
        <v>1143852120</v>
      </c>
      <c r="C2328" s="11">
        <v>45834.500613425902</v>
      </c>
      <c r="D2328" s="17" t="s">
        <v>968</v>
      </c>
      <c r="E2328" t="str">
        <f>IF(COUNTIF($B$2:B2328,B2328)&gt;1,"Duplicado","Único")</f>
        <v>Único</v>
      </c>
    </row>
    <row r="2329" spans="1:5" x14ac:dyDescent="0.25">
      <c r="A2329" s="15">
        <v>41070</v>
      </c>
      <c r="B2329" s="7">
        <v>1143853418</v>
      </c>
      <c r="C2329" s="11">
        <v>45937.296504629601</v>
      </c>
      <c r="D2329" s="17" t="s">
        <v>1956</v>
      </c>
      <c r="E2329" t="str">
        <f>IF(COUNTIF($B$2:B2329,B2329)&gt;1,"Duplicado","Único")</f>
        <v>Único</v>
      </c>
    </row>
    <row r="2330" spans="1:5" x14ac:dyDescent="0.25">
      <c r="A2330" s="15">
        <v>38018</v>
      </c>
      <c r="B2330" s="7">
        <v>1143855157</v>
      </c>
      <c r="C2330" s="11">
        <v>45924.423564814802</v>
      </c>
      <c r="D2330" s="17" t="s">
        <v>1806</v>
      </c>
      <c r="E2330" t="str">
        <f>IF(COUNTIF($B$2:B2330,B2330)&gt;1,"Duplicado","Único")</f>
        <v>Único</v>
      </c>
    </row>
    <row r="2331" spans="1:5" x14ac:dyDescent="0.25">
      <c r="A2331" s="15">
        <v>48792</v>
      </c>
      <c r="B2331" s="7">
        <v>1143859922</v>
      </c>
      <c r="C2331" s="11">
        <v>45979.711145833302</v>
      </c>
      <c r="D2331" s="17" t="s">
        <v>2573</v>
      </c>
      <c r="E2331" t="str">
        <f>IF(COUNTIF($B$2:B2331,B2331)&gt;1,"Duplicado","Único")</f>
        <v>Único</v>
      </c>
    </row>
    <row r="2332" spans="1:5" x14ac:dyDescent="0.25">
      <c r="A2332" s="15">
        <v>26977</v>
      </c>
      <c r="B2332" s="7">
        <v>1143864465</v>
      </c>
      <c r="C2332" s="11">
        <v>45874.363796296297</v>
      </c>
      <c r="D2332" s="17" t="s">
        <v>1236</v>
      </c>
      <c r="E2332" t="str">
        <f>IF(COUNTIF($B$2:B2332,B2332)&gt;1,"Duplicado","Único")</f>
        <v>Único</v>
      </c>
    </row>
    <row r="2333" spans="1:5" x14ac:dyDescent="0.25">
      <c r="A2333" s="15">
        <v>43632</v>
      </c>
      <c r="B2333" s="7">
        <v>1143867317</v>
      </c>
      <c r="C2333" s="11">
        <v>45957.412337962996</v>
      </c>
      <c r="D2333" s="17" t="s">
        <v>2089</v>
      </c>
      <c r="E2333" t="str">
        <f>IF(COUNTIF($B$2:B2333,B2333)&gt;1,"Duplicado","Único")</f>
        <v>Único</v>
      </c>
    </row>
    <row r="2334" spans="1:5" x14ac:dyDescent="0.25">
      <c r="A2334" s="15">
        <v>3610</v>
      </c>
      <c r="B2334" s="7">
        <v>1143869451</v>
      </c>
      <c r="C2334" s="11">
        <v>46086.768136574101</v>
      </c>
      <c r="D2334" s="17" t="s">
        <v>3951</v>
      </c>
      <c r="E2334" t="str">
        <f>IF(COUNTIF($B$2:B2334,B2334)&gt;1,"Duplicado","Único")</f>
        <v>Único</v>
      </c>
    </row>
    <row r="2335" spans="1:5" hidden="1" x14ac:dyDescent="0.25">
      <c r="A2335" s="15">
        <v>3610</v>
      </c>
      <c r="B2335" s="7">
        <v>1143869451</v>
      </c>
      <c r="C2335" s="11">
        <v>46052.501458333303</v>
      </c>
      <c r="D2335" s="17" t="s">
        <v>3565</v>
      </c>
      <c r="E2335" t="str">
        <f>IF(COUNTIF($B$2:B2335,B2335)&gt;1,"Duplicado","Único")</f>
        <v>Duplicado</v>
      </c>
    </row>
    <row r="2336" spans="1:5" x14ac:dyDescent="0.25">
      <c r="A2336" s="15">
        <v>50295</v>
      </c>
      <c r="B2336" s="7">
        <v>1143869823</v>
      </c>
      <c r="C2336" s="11">
        <v>46050.6253125</v>
      </c>
      <c r="D2336" s="17" t="s">
        <v>3337</v>
      </c>
      <c r="E2336" t="str">
        <f>IF(COUNTIF($B$2:B2336,B2336)&gt;1,"Duplicado","Único")</f>
        <v>Único</v>
      </c>
    </row>
    <row r="2337" spans="1:5" hidden="1" x14ac:dyDescent="0.25">
      <c r="A2337" s="15">
        <v>50295</v>
      </c>
      <c r="B2337" s="7">
        <v>1143869823</v>
      </c>
      <c r="C2337" s="11">
        <v>45988.348414351902</v>
      </c>
      <c r="D2337" s="17" t="s">
        <v>2747</v>
      </c>
      <c r="E2337" t="str">
        <f>IF(COUNTIF($B$2:B2337,B2337)&gt;1,"Duplicado","Único")</f>
        <v>Duplicado</v>
      </c>
    </row>
    <row r="2338" spans="1:5" x14ac:dyDescent="0.25">
      <c r="A2338" s="15">
        <v>47930</v>
      </c>
      <c r="B2338" s="7">
        <v>1143871823</v>
      </c>
      <c r="C2338" s="11">
        <v>45973.694652777798</v>
      </c>
      <c r="D2338" s="17" t="s">
        <v>2480</v>
      </c>
      <c r="E2338" t="str">
        <f>IF(COUNTIF($B$2:B2338,B2338)&gt;1,"Duplicado","Único")</f>
        <v>Único</v>
      </c>
    </row>
    <row r="2339" spans="1:5" x14ac:dyDescent="0.25">
      <c r="A2339" s="15">
        <v>26097</v>
      </c>
      <c r="B2339" s="7">
        <v>1143876794</v>
      </c>
      <c r="C2339" s="11">
        <v>45866.689236111102</v>
      </c>
      <c r="D2339" s="17" t="s">
        <v>1172</v>
      </c>
      <c r="E2339" t="str">
        <f>IF(COUNTIF($B$2:B2339,B2339)&gt;1,"Duplicado","Único")</f>
        <v>Único</v>
      </c>
    </row>
    <row r="2340" spans="1:5" x14ac:dyDescent="0.25">
      <c r="A2340" s="15">
        <v>33697</v>
      </c>
      <c r="B2340" s="7">
        <v>1143955899</v>
      </c>
      <c r="C2340" s="11">
        <v>45915.500960648104</v>
      </c>
      <c r="D2340" s="17" t="s">
        <v>1705</v>
      </c>
      <c r="E2340" t="str">
        <f>IF(COUNTIF($B$2:B2340,B2340)&gt;1,"Duplicado","Único")</f>
        <v>Único</v>
      </c>
    </row>
    <row r="2341" spans="1:5" x14ac:dyDescent="0.25">
      <c r="A2341" s="15">
        <v>50449</v>
      </c>
      <c r="B2341" s="7">
        <v>1143958494</v>
      </c>
      <c r="C2341" s="11">
        <v>46050.625937500001</v>
      </c>
      <c r="D2341" s="17" t="s">
        <v>3338</v>
      </c>
      <c r="E2341" t="str">
        <f>IF(COUNTIF($B$2:B2341,B2341)&gt;1,"Duplicado","Único")</f>
        <v>Único</v>
      </c>
    </row>
    <row r="2342" spans="1:5" hidden="1" x14ac:dyDescent="0.25">
      <c r="A2342" s="15">
        <v>50449</v>
      </c>
      <c r="B2342" s="7">
        <v>1143958494</v>
      </c>
      <c r="C2342" s="11">
        <v>45988.397592592599</v>
      </c>
      <c r="D2342" s="17" t="s">
        <v>2762</v>
      </c>
      <c r="E2342" t="str">
        <f>IF(COUNTIF($B$2:B2342,B2342)&gt;1,"Duplicado","Único")</f>
        <v>Duplicado</v>
      </c>
    </row>
    <row r="2343" spans="1:5" x14ac:dyDescent="0.25">
      <c r="A2343" s="15">
        <v>50601</v>
      </c>
      <c r="B2343" s="7">
        <v>1144024256</v>
      </c>
      <c r="C2343" s="11">
        <v>46059.5461574074</v>
      </c>
      <c r="D2343" s="17" t="s">
        <v>3749</v>
      </c>
      <c r="E2343" t="str">
        <f>IF(COUNTIF($B$2:B2343,B2343)&gt;1,"Duplicado","Único")</f>
        <v>Único</v>
      </c>
    </row>
    <row r="2344" spans="1:5" hidden="1" x14ac:dyDescent="0.25">
      <c r="A2344" s="15">
        <v>50601</v>
      </c>
      <c r="B2344" s="7">
        <v>1144024256</v>
      </c>
      <c r="C2344" s="11">
        <v>46050.6531944444</v>
      </c>
      <c r="D2344" s="17" t="s">
        <v>3365</v>
      </c>
      <c r="E2344" t="str">
        <f>IF(COUNTIF($B$2:B2344,B2344)&gt;1,"Duplicado","Único")</f>
        <v>Duplicado</v>
      </c>
    </row>
    <row r="2345" spans="1:5" hidden="1" x14ac:dyDescent="0.25">
      <c r="A2345" s="15">
        <v>50601</v>
      </c>
      <c r="B2345" s="7">
        <v>1144024256</v>
      </c>
      <c r="C2345" s="11">
        <v>45989.5101041667</v>
      </c>
      <c r="D2345" s="17" t="s">
        <v>2792</v>
      </c>
      <c r="E2345" t="str">
        <f>IF(COUNTIF($B$2:B2345,B2345)&gt;1,"Duplicado","Único")</f>
        <v>Duplicado</v>
      </c>
    </row>
    <row r="2346" spans="1:5" x14ac:dyDescent="0.25">
      <c r="A2346" s="15">
        <v>48013</v>
      </c>
      <c r="B2346" s="7">
        <v>1144039627</v>
      </c>
      <c r="C2346" s="11">
        <v>45974.377673611103</v>
      </c>
      <c r="D2346" s="17" t="s">
        <v>2489</v>
      </c>
      <c r="E2346" t="str">
        <f>IF(COUNTIF($B$2:B2346,B2346)&gt;1,"Duplicado","Único")</f>
        <v>Único</v>
      </c>
    </row>
    <row r="2347" spans="1:5" x14ac:dyDescent="0.25">
      <c r="A2347" s="15">
        <v>49938</v>
      </c>
      <c r="B2347" s="7">
        <v>1144044273</v>
      </c>
      <c r="C2347" s="11">
        <v>46050.511550925898</v>
      </c>
      <c r="D2347" s="17" t="s">
        <v>3278</v>
      </c>
      <c r="E2347" t="str">
        <f>IF(COUNTIF($B$2:B2347,B2347)&gt;1,"Duplicado","Único")</f>
        <v>Único</v>
      </c>
    </row>
    <row r="2348" spans="1:5" hidden="1" x14ac:dyDescent="0.25">
      <c r="A2348" s="15">
        <v>49938</v>
      </c>
      <c r="B2348" s="7">
        <v>1144044273</v>
      </c>
      <c r="C2348" s="11">
        <v>45986.368009259299</v>
      </c>
      <c r="D2348" s="17" t="s">
        <v>2708</v>
      </c>
      <c r="E2348" t="str">
        <f>IF(COUNTIF($B$2:B2348,B2348)&gt;1,"Duplicado","Único")</f>
        <v>Duplicado</v>
      </c>
    </row>
    <row r="2349" spans="1:5" x14ac:dyDescent="0.25">
      <c r="A2349" s="15">
        <v>30932</v>
      </c>
      <c r="B2349" s="7">
        <v>1144052372</v>
      </c>
      <c r="C2349" s="11">
        <v>45926.701354166697</v>
      </c>
      <c r="D2349" s="17" t="s">
        <v>1849</v>
      </c>
      <c r="E2349" t="str">
        <f>IF(COUNTIF($B$2:B2349,B2349)&gt;1,"Duplicado","Único")</f>
        <v>Único</v>
      </c>
    </row>
    <row r="2350" spans="1:5" hidden="1" x14ac:dyDescent="0.25">
      <c r="A2350" s="15">
        <v>30932</v>
      </c>
      <c r="B2350" s="7">
        <v>1144052372</v>
      </c>
      <c r="C2350" s="11">
        <v>45919.520266203697</v>
      </c>
      <c r="D2350" s="17" t="s">
        <v>1767</v>
      </c>
      <c r="E2350" t="str">
        <f>IF(COUNTIF($B$2:B2350,B2350)&gt;1,"Duplicado","Único")</f>
        <v>Duplicado</v>
      </c>
    </row>
    <row r="2351" spans="1:5" x14ac:dyDescent="0.25">
      <c r="A2351" s="15">
        <v>48198</v>
      </c>
      <c r="B2351" s="7">
        <v>1144054120</v>
      </c>
      <c r="C2351" s="11">
        <v>45974.646932870397</v>
      </c>
      <c r="D2351" s="17" t="s">
        <v>2513</v>
      </c>
      <c r="E2351" t="str">
        <f>IF(COUNTIF($B$2:B2351,B2351)&gt;1,"Duplicado","Único")</f>
        <v>Único</v>
      </c>
    </row>
    <row r="2352" spans="1:5" x14ac:dyDescent="0.25">
      <c r="A2352" s="15">
        <v>26318</v>
      </c>
      <c r="B2352" s="7">
        <v>1144056259</v>
      </c>
      <c r="C2352" s="11">
        <v>45867.400532407402</v>
      </c>
      <c r="D2352" s="17" t="s">
        <v>1192</v>
      </c>
      <c r="E2352" t="str">
        <f>IF(COUNTIF($B$2:B2352,B2352)&gt;1,"Duplicado","Único")</f>
        <v>Único</v>
      </c>
    </row>
    <row r="2353" spans="1:5" x14ac:dyDescent="0.25">
      <c r="A2353" s="15">
        <v>14714</v>
      </c>
      <c r="B2353" s="7">
        <v>1144058287</v>
      </c>
      <c r="C2353" s="11">
        <v>46120.497777777797</v>
      </c>
      <c r="D2353" s="17" t="s">
        <v>4277</v>
      </c>
      <c r="E2353" t="str">
        <f>IF(COUNTIF($B$2:B2353,B2353)&gt;1,"Duplicado","Único")</f>
        <v>Único</v>
      </c>
    </row>
    <row r="2354" spans="1:5" hidden="1" x14ac:dyDescent="0.25">
      <c r="A2354" s="15">
        <v>14714</v>
      </c>
      <c r="B2354" s="7">
        <v>1144058287</v>
      </c>
      <c r="C2354" s="11">
        <v>46090.690324074101</v>
      </c>
      <c r="D2354" s="17" t="s">
        <v>4024</v>
      </c>
      <c r="E2354" t="str">
        <f>IF(COUNTIF($B$2:B2354,B2354)&gt;1,"Duplicado","Único")</f>
        <v>Duplicado</v>
      </c>
    </row>
    <row r="2355" spans="1:5" x14ac:dyDescent="0.25">
      <c r="A2355" s="15">
        <v>14452</v>
      </c>
      <c r="B2355" s="7">
        <v>1144061236</v>
      </c>
      <c r="C2355" s="11">
        <v>46120.499826388899</v>
      </c>
      <c r="D2355" s="17" t="s">
        <v>4278</v>
      </c>
      <c r="E2355" t="str">
        <f>IF(COUNTIF($B$2:B2355,B2355)&gt;1,"Duplicado","Único")</f>
        <v>Único</v>
      </c>
    </row>
    <row r="2356" spans="1:5" hidden="1" x14ac:dyDescent="0.25">
      <c r="A2356" s="15">
        <v>14452</v>
      </c>
      <c r="B2356" s="7">
        <v>1144061236</v>
      </c>
      <c r="C2356" s="11">
        <v>46090.6699421296</v>
      </c>
      <c r="D2356" s="17" t="s">
        <v>1018</v>
      </c>
      <c r="E2356" t="str">
        <f>IF(COUNTIF($B$2:B2356,B2356)&gt;1,"Duplicado","Único")</f>
        <v>Duplicado</v>
      </c>
    </row>
    <row r="2357" spans="1:5" x14ac:dyDescent="0.25">
      <c r="A2357" s="15">
        <v>24493</v>
      </c>
      <c r="B2357" s="7">
        <v>1144064227</v>
      </c>
      <c r="C2357" s="11">
        <v>45856.496041666702</v>
      </c>
      <c r="D2357" s="17" t="s">
        <v>1083</v>
      </c>
      <c r="E2357" t="str">
        <f>IF(COUNTIF($B$2:B2357,B2357)&gt;1,"Duplicado","Único")</f>
        <v>Único</v>
      </c>
    </row>
    <row r="2358" spans="1:5" x14ac:dyDescent="0.25">
      <c r="A2358" s="15">
        <v>42817</v>
      </c>
      <c r="B2358" s="7">
        <v>1144068925</v>
      </c>
      <c r="C2358" s="11">
        <v>45954.594131944403</v>
      </c>
      <c r="D2358" s="17" t="s">
        <v>2066</v>
      </c>
      <c r="E2358" t="str">
        <f>IF(COUNTIF($B$2:B2358,B2358)&gt;1,"Duplicado","Único")</f>
        <v>Único</v>
      </c>
    </row>
    <row r="2359" spans="1:5" x14ac:dyDescent="0.25">
      <c r="A2359" s="15">
        <v>50541</v>
      </c>
      <c r="B2359" s="7">
        <v>1144069252</v>
      </c>
      <c r="C2359" s="11">
        <v>46050.653796296298</v>
      </c>
      <c r="D2359" s="17" t="s">
        <v>3366</v>
      </c>
      <c r="E2359" t="str">
        <f>IF(COUNTIF($B$2:B2359,B2359)&gt;1,"Duplicado","Único")</f>
        <v>Único</v>
      </c>
    </row>
    <row r="2360" spans="1:5" hidden="1" x14ac:dyDescent="0.25">
      <c r="A2360" s="15">
        <v>50541</v>
      </c>
      <c r="B2360" s="7">
        <v>1144069252</v>
      </c>
      <c r="C2360" s="11">
        <v>45989.342453703699</v>
      </c>
      <c r="D2360" s="17" t="s">
        <v>2775</v>
      </c>
      <c r="E2360" t="str">
        <f>IF(COUNTIF($B$2:B2360,B2360)&gt;1,"Duplicado","Único")</f>
        <v>Duplicado</v>
      </c>
    </row>
    <row r="2361" spans="1:5" x14ac:dyDescent="0.25">
      <c r="A2361" s="15">
        <v>17400</v>
      </c>
      <c r="B2361" s="7">
        <v>1144071439</v>
      </c>
      <c r="C2361" s="11">
        <v>45797.480266203696</v>
      </c>
      <c r="D2361" s="17" t="s">
        <v>710</v>
      </c>
      <c r="E2361" t="str">
        <f>IF(COUNTIF($B$2:B2361,B2361)&gt;1,"Duplicado","Único")</f>
        <v>Único</v>
      </c>
    </row>
    <row r="2362" spans="1:5" x14ac:dyDescent="0.25">
      <c r="A2362" s="15">
        <v>25260</v>
      </c>
      <c r="B2362" s="7">
        <v>1144071522</v>
      </c>
      <c r="C2362" s="11">
        <v>45860.4116782407</v>
      </c>
      <c r="D2362" s="17" t="s">
        <v>1117</v>
      </c>
      <c r="E2362" t="str">
        <f>IF(COUNTIF($B$2:B2362,B2362)&gt;1,"Duplicado","Único")</f>
        <v>Único</v>
      </c>
    </row>
    <row r="2363" spans="1:5" x14ac:dyDescent="0.25">
      <c r="A2363" s="15">
        <v>48288</v>
      </c>
      <c r="B2363" s="7">
        <v>1144073565</v>
      </c>
      <c r="C2363" s="11">
        <v>45979.360844907402</v>
      </c>
      <c r="D2363" s="17" t="s">
        <v>2541</v>
      </c>
      <c r="E2363" t="str">
        <f>IF(COUNTIF($B$2:B2363,B2363)&gt;1,"Duplicado","Único")</f>
        <v>Único</v>
      </c>
    </row>
    <row r="2364" spans="1:5" x14ac:dyDescent="0.25">
      <c r="A2364" s="15">
        <v>36433</v>
      </c>
      <c r="B2364" s="7">
        <v>1144107595</v>
      </c>
      <c r="C2364" s="11">
        <v>45919.361909722204</v>
      </c>
      <c r="D2364" s="17" t="s">
        <v>1749</v>
      </c>
      <c r="E2364" t="str">
        <f>IF(COUNTIF($B$2:B2364,B2364)&gt;1,"Duplicado","Único")</f>
        <v>Único</v>
      </c>
    </row>
    <row r="2365" spans="1:5" x14ac:dyDescent="0.25">
      <c r="A2365" s="15">
        <v>48340</v>
      </c>
      <c r="B2365" s="7">
        <v>1144107889</v>
      </c>
      <c r="C2365" s="11">
        <v>45975.678495370397</v>
      </c>
      <c r="D2365" s="17" t="s">
        <v>2529</v>
      </c>
      <c r="E2365" t="str">
        <f>IF(COUNTIF($B$2:B2365,B2365)&gt;1,"Duplicado","Único")</f>
        <v>Único</v>
      </c>
    </row>
    <row r="2366" spans="1:5" x14ac:dyDescent="0.25">
      <c r="A2366" s="15">
        <v>16970</v>
      </c>
      <c r="B2366" s="7">
        <v>1144132126</v>
      </c>
      <c r="C2366" s="11">
        <v>46149.509687500002</v>
      </c>
      <c r="D2366" s="17" t="s">
        <v>4515</v>
      </c>
      <c r="E2366" t="str">
        <f>IF(COUNTIF($B$2:B2366,B2366)&gt;1,"Duplicado","Único")</f>
        <v>Único</v>
      </c>
    </row>
    <row r="2367" spans="1:5" hidden="1" x14ac:dyDescent="0.25">
      <c r="A2367" s="15">
        <v>16970</v>
      </c>
      <c r="B2367" s="7">
        <v>1144132126</v>
      </c>
      <c r="C2367" s="11">
        <v>46108.499895833302</v>
      </c>
      <c r="D2367" s="17" t="s">
        <v>4200</v>
      </c>
      <c r="E2367" t="str">
        <f>IF(COUNTIF($B$2:B2367,B2367)&gt;1,"Duplicado","Único")</f>
        <v>Duplicado</v>
      </c>
    </row>
    <row r="2368" spans="1:5" x14ac:dyDescent="0.25">
      <c r="A2368" s="15">
        <v>51378</v>
      </c>
      <c r="B2368" s="7">
        <v>1144138140</v>
      </c>
      <c r="C2368" s="11">
        <v>46051.471377314803</v>
      </c>
      <c r="D2368" s="17" t="s">
        <v>3493</v>
      </c>
      <c r="E2368" t="str">
        <f>IF(COUNTIF($B$2:B2368,B2368)&gt;1,"Duplicado","Único")</f>
        <v>Único</v>
      </c>
    </row>
    <row r="2369" spans="1:5" hidden="1" x14ac:dyDescent="0.25">
      <c r="A2369" s="15">
        <v>51378</v>
      </c>
      <c r="B2369" s="7">
        <v>1144138140</v>
      </c>
      <c r="C2369" s="11">
        <v>46002.614421296297</v>
      </c>
      <c r="D2369" s="17" t="s">
        <v>2886</v>
      </c>
      <c r="E2369" t="str">
        <f>IF(COUNTIF($B$2:B2369,B2369)&gt;1,"Duplicado","Único")</f>
        <v>Duplicado</v>
      </c>
    </row>
    <row r="2370" spans="1:5" x14ac:dyDescent="0.25">
      <c r="A2370" s="15">
        <v>40747</v>
      </c>
      <c r="B2370" s="7">
        <v>1144156694</v>
      </c>
      <c r="C2370" s="11">
        <v>45936.449004629598</v>
      </c>
      <c r="D2370" s="17" t="s">
        <v>1937</v>
      </c>
      <c r="E2370" t="str">
        <f>IF(COUNTIF($B$2:B2370,B2370)&gt;1,"Duplicado","Único")</f>
        <v>Único</v>
      </c>
    </row>
    <row r="2371" spans="1:5" x14ac:dyDescent="0.25">
      <c r="A2371" s="15">
        <v>40801</v>
      </c>
      <c r="B2371" s="7">
        <v>1144162272</v>
      </c>
      <c r="C2371" s="11">
        <v>45936.4746759259</v>
      </c>
      <c r="D2371" s="17" t="s">
        <v>1945</v>
      </c>
      <c r="E2371" t="str">
        <f>IF(COUNTIF($B$2:B2371,B2371)&gt;1,"Duplicado","Único")</f>
        <v>Único</v>
      </c>
    </row>
    <row r="2372" spans="1:5" x14ac:dyDescent="0.25">
      <c r="A2372" s="15">
        <v>48544</v>
      </c>
      <c r="B2372" s="7">
        <v>1144164887</v>
      </c>
      <c r="C2372" s="11">
        <v>45979.506469907399</v>
      </c>
      <c r="D2372" s="17" t="s">
        <v>2558</v>
      </c>
      <c r="E2372" t="str">
        <f>IF(COUNTIF($B$2:B2372,B2372)&gt;1,"Duplicado","Único")</f>
        <v>Único</v>
      </c>
    </row>
    <row r="2373" spans="1:5" x14ac:dyDescent="0.25">
      <c r="A2373" s="15">
        <v>27452</v>
      </c>
      <c r="B2373" s="7">
        <v>1144173038</v>
      </c>
      <c r="C2373" s="11">
        <v>45874.626250000001</v>
      </c>
      <c r="D2373" s="17" t="s">
        <v>1269</v>
      </c>
      <c r="E2373" t="str">
        <f>IF(COUNTIF($B$2:B2373,B2373)&gt;1,"Duplicado","Único")</f>
        <v>Único</v>
      </c>
    </row>
    <row r="2374" spans="1:5" x14ac:dyDescent="0.25">
      <c r="A2374" s="15">
        <v>31178</v>
      </c>
      <c r="B2374" s="7">
        <v>1144197065</v>
      </c>
      <c r="C2374" s="11">
        <v>45903.691793981503</v>
      </c>
      <c r="D2374" s="17" t="s">
        <v>1514</v>
      </c>
      <c r="E2374" t="str">
        <f>IF(COUNTIF($B$2:B2374,B2374)&gt;1,"Duplicado","Único")</f>
        <v>Único</v>
      </c>
    </row>
    <row r="2375" spans="1:5" x14ac:dyDescent="0.25">
      <c r="A2375" s="15">
        <v>38401</v>
      </c>
      <c r="B2375" s="7">
        <v>1144202484</v>
      </c>
      <c r="C2375" s="11">
        <v>45926.420671296299</v>
      </c>
      <c r="D2375" s="17" t="s">
        <v>1843</v>
      </c>
      <c r="E2375" t="str">
        <f>IF(COUNTIF($B$2:B2375,B2375)&gt;1,"Duplicado","Único")</f>
        <v>Único</v>
      </c>
    </row>
    <row r="2376" spans="1:5" x14ac:dyDescent="0.25">
      <c r="A2376" s="15">
        <v>30093</v>
      </c>
      <c r="B2376" s="7">
        <v>1144209765</v>
      </c>
      <c r="C2376" s="11">
        <v>45897.699988425898</v>
      </c>
      <c r="D2376" s="17" t="s">
        <v>1443</v>
      </c>
      <c r="E2376" t="str">
        <f>IF(COUNTIF($B$2:B2376,B2376)&gt;1,"Duplicado","Único")</f>
        <v>Único</v>
      </c>
    </row>
    <row r="2377" spans="1:5" x14ac:dyDescent="0.25">
      <c r="A2377" s="15">
        <v>1966</v>
      </c>
      <c r="B2377" s="7">
        <v>11443795</v>
      </c>
      <c r="C2377" s="11">
        <v>46086.692754629599</v>
      </c>
      <c r="D2377" s="17" t="s">
        <v>3879</v>
      </c>
      <c r="E2377" t="str">
        <f>IF(COUNTIF($B$2:B2377,B2377)&gt;1,"Duplicado","Único")</f>
        <v>Único</v>
      </c>
    </row>
    <row r="2378" spans="1:5" hidden="1" x14ac:dyDescent="0.25">
      <c r="A2378" s="15">
        <v>1966</v>
      </c>
      <c r="B2378" s="7">
        <v>11443795</v>
      </c>
      <c r="C2378" s="11">
        <v>46048.620613425897</v>
      </c>
      <c r="D2378" s="17" t="s">
        <v>3203</v>
      </c>
      <c r="E2378" t="str">
        <f>IF(COUNTIF($B$2:B2378,B2378)&gt;1,"Duplicado","Único")</f>
        <v>Duplicado</v>
      </c>
    </row>
    <row r="2379" spans="1:5" x14ac:dyDescent="0.25">
      <c r="A2379" s="15">
        <v>2563</v>
      </c>
      <c r="B2379" s="7">
        <v>11451865</v>
      </c>
      <c r="C2379" s="11">
        <v>46086.742013888899</v>
      </c>
      <c r="D2379" s="17" t="s">
        <v>3929</v>
      </c>
      <c r="E2379" t="str">
        <f>IF(COUNTIF($B$2:B2379,B2379)&gt;1,"Duplicado","Único")</f>
        <v>Único</v>
      </c>
    </row>
    <row r="2380" spans="1:5" hidden="1" x14ac:dyDescent="0.25">
      <c r="A2380" s="15">
        <v>2563</v>
      </c>
      <c r="B2380" s="7">
        <v>11451865</v>
      </c>
      <c r="C2380" s="11">
        <v>46051.440590277802</v>
      </c>
      <c r="D2380" s="17" t="s">
        <v>3463</v>
      </c>
      <c r="E2380" t="str">
        <f>IF(COUNTIF($B$2:B2380,B2380)&gt;1,"Duplicado","Único")</f>
        <v>Duplicado</v>
      </c>
    </row>
    <row r="2381" spans="1:5" x14ac:dyDescent="0.25">
      <c r="A2381" s="15">
        <v>1593</v>
      </c>
      <c r="B2381" s="7">
        <v>1151942319</v>
      </c>
      <c r="C2381" s="11">
        <v>46086.681388888901</v>
      </c>
      <c r="D2381" s="17" t="s">
        <v>982</v>
      </c>
      <c r="E2381" t="str">
        <f>IF(COUNTIF($B$2:B2381,B2381)&gt;1,"Duplicado","Único")</f>
        <v>Único</v>
      </c>
    </row>
    <row r="2382" spans="1:5" hidden="1" x14ac:dyDescent="0.25">
      <c r="A2382" s="15">
        <v>1593</v>
      </c>
      <c r="B2382" s="7">
        <v>1151942319</v>
      </c>
      <c r="C2382" s="11">
        <v>46036.6627546296</v>
      </c>
      <c r="D2382" s="17" t="s">
        <v>3183</v>
      </c>
      <c r="E2382" t="str">
        <f>IF(COUNTIF($B$2:B2382,B2382)&gt;1,"Duplicado","Único")</f>
        <v>Duplicado</v>
      </c>
    </row>
    <row r="2383" spans="1:5" x14ac:dyDescent="0.25">
      <c r="A2383" s="15">
        <v>37692</v>
      </c>
      <c r="B2383" s="7">
        <v>1151946045</v>
      </c>
      <c r="C2383" s="11">
        <v>45923.422523148103</v>
      </c>
      <c r="D2383" s="17" t="s">
        <v>1795</v>
      </c>
      <c r="E2383" t="str">
        <f>IF(COUNTIF($B$2:B2383,B2383)&gt;1,"Duplicado","Único")</f>
        <v>Único</v>
      </c>
    </row>
    <row r="2384" spans="1:5" x14ac:dyDescent="0.25">
      <c r="A2384" s="15">
        <v>17444</v>
      </c>
      <c r="B2384" s="7">
        <v>1151958968</v>
      </c>
      <c r="C2384" s="11">
        <v>46149.510138888902</v>
      </c>
      <c r="D2384" s="17" t="s">
        <v>4516</v>
      </c>
      <c r="E2384" t="str">
        <f>IF(COUNTIF($B$2:B2384,B2384)&gt;1,"Duplicado","Único")</f>
        <v>Único</v>
      </c>
    </row>
    <row r="2385" spans="1:5" hidden="1" x14ac:dyDescent="0.25">
      <c r="A2385" s="15">
        <v>17444</v>
      </c>
      <c r="B2385" s="7">
        <v>1151958968</v>
      </c>
      <c r="C2385" s="11">
        <v>46108.564444444397</v>
      </c>
      <c r="D2385" s="17" t="s">
        <v>4223</v>
      </c>
      <c r="E2385" t="str">
        <f>IF(COUNTIF($B$2:B2385,B2385)&gt;1,"Duplicado","Único")</f>
        <v>Duplicado</v>
      </c>
    </row>
    <row r="2386" spans="1:5" x14ac:dyDescent="0.25">
      <c r="A2386" s="15">
        <v>19529</v>
      </c>
      <c r="B2386" s="7">
        <v>1151967540</v>
      </c>
      <c r="C2386" s="11">
        <v>45814.3038773148</v>
      </c>
      <c r="D2386" s="17" t="s">
        <v>836</v>
      </c>
      <c r="E2386" t="str">
        <f>IF(COUNTIF($B$2:B2386,B2386)&gt;1,"Duplicado","Único")</f>
        <v>Único</v>
      </c>
    </row>
    <row r="2387" spans="1:5" x14ac:dyDescent="0.25">
      <c r="A2387" s="15">
        <v>31236</v>
      </c>
      <c r="B2387" s="7">
        <v>1152186104</v>
      </c>
      <c r="C2387" s="11">
        <v>45904.521377314799</v>
      </c>
      <c r="D2387" s="17" t="s">
        <v>1520</v>
      </c>
      <c r="E2387" t="str">
        <f>IF(COUNTIF($B$2:B2387,B2387)&gt;1,"Duplicado","Único")</f>
        <v>Único</v>
      </c>
    </row>
    <row r="2388" spans="1:5" x14ac:dyDescent="0.25">
      <c r="A2388" s="15">
        <v>17138</v>
      </c>
      <c r="B2388" s="7">
        <v>1152189596</v>
      </c>
      <c r="C2388" s="11">
        <v>46149.510972222197</v>
      </c>
      <c r="D2388" s="17" t="s">
        <v>4517</v>
      </c>
      <c r="E2388" t="str">
        <f>IF(COUNTIF($B$2:B2388,B2388)&gt;1,"Duplicado","Único")</f>
        <v>Único</v>
      </c>
    </row>
    <row r="2389" spans="1:5" hidden="1" x14ac:dyDescent="0.25">
      <c r="A2389" s="15">
        <v>17138</v>
      </c>
      <c r="B2389" s="7">
        <v>1152189596</v>
      </c>
      <c r="C2389" s="11">
        <v>46108.465810185196</v>
      </c>
      <c r="D2389" s="17" t="s">
        <v>4182</v>
      </c>
      <c r="E2389" t="str">
        <f>IF(COUNTIF($B$2:B2389,B2389)&gt;1,"Duplicado","Único")</f>
        <v>Duplicado</v>
      </c>
    </row>
    <row r="2390" spans="1:5" x14ac:dyDescent="0.25">
      <c r="A2390" s="15">
        <v>29984</v>
      </c>
      <c r="B2390" s="7">
        <v>1152195850</v>
      </c>
      <c r="C2390" s="11">
        <v>45898.4753935185</v>
      </c>
      <c r="D2390" s="17" t="s">
        <v>1459</v>
      </c>
      <c r="E2390" t="str">
        <f>IF(COUNTIF($B$2:B2390,B2390)&gt;1,"Duplicado","Único")</f>
        <v>Único</v>
      </c>
    </row>
    <row r="2391" spans="1:5" x14ac:dyDescent="0.25">
      <c r="A2391" s="15">
        <v>38147</v>
      </c>
      <c r="B2391" s="7">
        <v>1152197756</v>
      </c>
      <c r="C2391" s="11">
        <v>45925.3691203704</v>
      </c>
      <c r="D2391" s="17" t="s">
        <v>1819</v>
      </c>
      <c r="E2391" t="str">
        <f>IF(COUNTIF($B$2:B2391,B2391)&gt;1,"Duplicado","Único")</f>
        <v>Único</v>
      </c>
    </row>
    <row r="2392" spans="1:5" x14ac:dyDescent="0.25">
      <c r="A2392" s="15">
        <v>51906</v>
      </c>
      <c r="B2392" s="7">
        <v>1152199513</v>
      </c>
      <c r="C2392" s="11">
        <v>46051.446516203701</v>
      </c>
      <c r="D2392" s="17" t="s">
        <v>3467</v>
      </c>
      <c r="E2392" t="str">
        <f>IF(COUNTIF($B$2:B2392,B2392)&gt;1,"Duplicado","Único")</f>
        <v>Único</v>
      </c>
    </row>
    <row r="2393" spans="1:5" hidden="1" x14ac:dyDescent="0.25">
      <c r="A2393" s="15">
        <v>51906</v>
      </c>
      <c r="B2393" s="7">
        <v>1152199513</v>
      </c>
      <c r="C2393" s="11">
        <v>46002.706597222197</v>
      </c>
      <c r="D2393" s="17" t="s">
        <v>2907</v>
      </c>
      <c r="E2393" t="str">
        <f>IF(COUNTIF($B$2:B2393,B2393)&gt;1,"Duplicado","Único")</f>
        <v>Duplicado</v>
      </c>
    </row>
    <row r="2394" spans="1:5" x14ac:dyDescent="0.25">
      <c r="A2394" s="15">
        <v>46287</v>
      </c>
      <c r="B2394" s="7">
        <v>1152202411</v>
      </c>
      <c r="C2394" s="11">
        <v>45965.473564814798</v>
      </c>
      <c r="D2394" s="17" t="s">
        <v>2304</v>
      </c>
      <c r="E2394" t="str">
        <f>IF(COUNTIF($B$2:B2394,B2394)&gt;1,"Duplicado","Único")</f>
        <v>Único</v>
      </c>
    </row>
    <row r="2395" spans="1:5" x14ac:dyDescent="0.25">
      <c r="A2395" s="15">
        <v>31451</v>
      </c>
      <c r="B2395" s="7">
        <v>1152202820</v>
      </c>
      <c r="C2395" s="11">
        <v>45905.351840277799</v>
      </c>
      <c r="D2395" s="17" t="s">
        <v>1551</v>
      </c>
      <c r="E2395" t="str">
        <f>IF(COUNTIF($B$2:B2395,B2395)&gt;1,"Duplicado","Único")</f>
        <v>Único</v>
      </c>
    </row>
    <row r="2396" spans="1:5" x14ac:dyDescent="0.25">
      <c r="A2396" s="15">
        <v>33158</v>
      </c>
      <c r="B2396" s="7">
        <v>1152205930</v>
      </c>
      <c r="C2396" s="11">
        <v>45912.619826388902</v>
      </c>
      <c r="D2396" s="17" t="s">
        <v>1681</v>
      </c>
      <c r="E2396" t="str">
        <f>IF(COUNTIF($B$2:B2396,B2396)&gt;1,"Duplicado","Único")</f>
        <v>Único</v>
      </c>
    </row>
    <row r="2397" spans="1:5" x14ac:dyDescent="0.25">
      <c r="A2397" s="15">
        <v>48893</v>
      </c>
      <c r="B2397" s="7">
        <v>1152211539</v>
      </c>
      <c r="C2397" s="11">
        <v>45980.376469907402</v>
      </c>
      <c r="D2397" s="17" t="s">
        <v>2587</v>
      </c>
      <c r="E2397" t="str">
        <f>IF(COUNTIF($B$2:B2397,B2397)&gt;1,"Duplicado","Único")</f>
        <v>Único</v>
      </c>
    </row>
    <row r="2398" spans="1:5" x14ac:dyDescent="0.25">
      <c r="A2398" s="15">
        <v>15084</v>
      </c>
      <c r="B2398" s="7">
        <v>1152213811</v>
      </c>
      <c r="C2398" s="11">
        <v>46120.659780092603</v>
      </c>
      <c r="D2398" s="17" t="s">
        <v>4337</v>
      </c>
      <c r="E2398" t="str">
        <f>IF(COUNTIF($B$2:B2398,B2398)&gt;1,"Duplicado","Único")</f>
        <v>Único</v>
      </c>
    </row>
    <row r="2399" spans="1:5" hidden="1" x14ac:dyDescent="0.25">
      <c r="A2399" s="15">
        <v>15084</v>
      </c>
      <c r="B2399" s="7">
        <v>1152213811</v>
      </c>
      <c r="C2399" s="11">
        <v>46094.501631944397</v>
      </c>
      <c r="D2399" s="17" t="s">
        <v>4064</v>
      </c>
      <c r="E2399" t="str">
        <f>IF(COUNTIF($B$2:B2399,B2399)&gt;1,"Duplicado","Único")</f>
        <v>Duplicado</v>
      </c>
    </row>
    <row r="2400" spans="1:5" x14ac:dyDescent="0.25">
      <c r="A2400" s="15">
        <v>48124</v>
      </c>
      <c r="B2400" s="7">
        <v>11524042</v>
      </c>
      <c r="C2400" s="11">
        <v>45974.414004629602</v>
      </c>
      <c r="D2400" s="17" t="s">
        <v>2497</v>
      </c>
      <c r="E2400" t="str">
        <f>IF(COUNTIF($B$2:B2400,B2400)&gt;1,"Duplicado","Único")</f>
        <v>Único</v>
      </c>
    </row>
    <row r="2401" spans="1:5" x14ac:dyDescent="0.25">
      <c r="A2401" s="15">
        <v>29480</v>
      </c>
      <c r="B2401" s="7">
        <v>1152437012</v>
      </c>
      <c r="C2401" s="11">
        <v>45894.624074074098</v>
      </c>
      <c r="D2401" s="17" t="s">
        <v>1413</v>
      </c>
      <c r="E2401" t="str">
        <f>IF(COUNTIF($B$2:B2401,B2401)&gt;1,"Duplicado","Único")</f>
        <v>Único</v>
      </c>
    </row>
    <row r="2402" spans="1:5" x14ac:dyDescent="0.25">
      <c r="A2402" s="15">
        <v>27477</v>
      </c>
      <c r="B2402" s="7">
        <v>1152442187</v>
      </c>
      <c r="C2402" s="11">
        <v>45874.636481481502</v>
      </c>
      <c r="D2402" s="17" t="s">
        <v>1272</v>
      </c>
      <c r="E2402" t="str">
        <f>IF(COUNTIF($B$2:B2402,B2402)&gt;1,"Duplicado","Único")</f>
        <v>Único</v>
      </c>
    </row>
    <row r="2403" spans="1:5" x14ac:dyDescent="0.25">
      <c r="A2403" s="15">
        <v>36074</v>
      </c>
      <c r="B2403" s="7">
        <v>1152443331</v>
      </c>
      <c r="C2403" s="11">
        <v>45918.415335648097</v>
      </c>
      <c r="D2403" s="17" t="s">
        <v>1743</v>
      </c>
      <c r="E2403" t="str">
        <f>IF(COUNTIF($B$2:B2403,B2403)&gt;1,"Duplicado","Único")</f>
        <v>Único</v>
      </c>
    </row>
    <row r="2404" spans="1:5" x14ac:dyDescent="0.25">
      <c r="A2404" s="15">
        <v>18387</v>
      </c>
      <c r="B2404" s="7">
        <v>1152446170</v>
      </c>
      <c r="C2404" s="11">
        <v>46149.425300925897</v>
      </c>
      <c r="D2404" s="17" t="s">
        <v>4463</v>
      </c>
      <c r="E2404" t="str">
        <f>IF(COUNTIF($B$2:B2404,B2404)&gt;1,"Duplicado","Único")</f>
        <v>Único</v>
      </c>
    </row>
    <row r="2405" spans="1:5" hidden="1" x14ac:dyDescent="0.25">
      <c r="A2405" s="15">
        <v>18387</v>
      </c>
      <c r="B2405" s="7">
        <v>1152446170</v>
      </c>
      <c r="C2405" s="11">
        <v>46118.402997685203</v>
      </c>
      <c r="D2405" s="17" t="s">
        <v>1192</v>
      </c>
      <c r="E2405" t="str">
        <f>IF(COUNTIF($B$2:B2405,B2405)&gt;1,"Duplicado","Único")</f>
        <v>Duplicado</v>
      </c>
    </row>
    <row r="2406" spans="1:5" x14ac:dyDescent="0.25">
      <c r="A2406" s="15">
        <v>18223</v>
      </c>
      <c r="B2406" s="7">
        <v>1152447244</v>
      </c>
      <c r="C2406" s="11">
        <v>46149.425868055601</v>
      </c>
      <c r="D2406" s="17" t="s">
        <v>4464</v>
      </c>
      <c r="E2406" t="str">
        <f>IF(COUNTIF($B$2:B2406,B2406)&gt;1,"Duplicado","Único")</f>
        <v>Único</v>
      </c>
    </row>
    <row r="2407" spans="1:5" hidden="1" x14ac:dyDescent="0.25">
      <c r="A2407" s="15">
        <v>18223</v>
      </c>
      <c r="B2407" s="7">
        <v>1152447244</v>
      </c>
      <c r="C2407" s="11">
        <v>46118.389976851897</v>
      </c>
      <c r="D2407" s="17" t="s">
        <v>1182</v>
      </c>
      <c r="E2407" t="str">
        <f>IF(COUNTIF($B$2:B2407,B2407)&gt;1,"Duplicado","Único")</f>
        <v>Duplicado</v>
      </c>
    </row>
    <row r="2408" spans="1:5" x14ac:dyDescent="0.25">
      <c r="A2408" s="15">
        <v>2509</v>
      </c>
      <c r="B2408" s="7">
        <v>1152447805</v>
      </c>
      <c r="C2408" s="11">
        <v>46086.757256944402</v>
      </c>
      <c r="D2408" s="17" t="s">
        <v>3946</v>
      </c>
      <c r="E2408" t="str">
        <f>IF(COUNTIF($B$2:B2408,B2408)&gt;1,"Duplicado","Único")</f>
        <v>Único</v>
      </c>
    </row>
    <row r="2409" spans="1:5" hidden="1" x14ac:dyDescent="0.25">
      <c r="A2409" s="15">
        <v>2509</v>
      </c>
      <c r="B2409" s="7">
        <v>1152447805</v>
      </c>
      <c r="C2409" s="11">
        <v>46051.405775462998</v>
      </c>
      <c r="D2409" s="17" t="s">
        <v>3442</v>
      </c>
      <c r="E2409" t="str">
        <f>IF(COUNTIF($B$2:B2409,B2409)&gt;1,"Duplicado","Único")</f>
        <v>Duplicado</v>
      </c>
    </row>
    <row r="2410" spans="1:5" x14ac:dyDescent="0.25">
      <c r="A2410" s="15">
        <v>4003</v>
      </c>
      <c r="B2410" s="7">
        <v>1152450488</v>
      </c>
      <c r="C2410" s="11">
        <v>46086.795115740701</v>
      </c>
      <c r="D2410" s="17" t="s">
        <v>3993</v>
      </c>
      <c r="E2410" t="str">
        <f>IF(COUNTIF($B$2:B2410,B2410)&gt;1,"Duplicado","Único")</f>
        <v>Único</v>
      </c>
    </row>
    <row r="2411" spans="1:5" hidden="1" x14ac:dyDescent="0.25">
      <c r="A2411" s="15">
        <v>4003</v>
      </c>
      <c r="B2411" s="7">
        <v>1152450488</v>
      </c>
      <c r="C2411" s="11">
        <v>46055.483460648102</v>
      </c>
      <c r="D2411" s="17" t="s">
        <v>3611</v>
      </c>
      <c r="E2411" t="str">
        <f>IF(COUNTIF($B$2:B2411,B2411)&gt;1,"Duplicado","Único")</f>
        <v>Duplicado</v>
      </c>
    </row>
    <row r="2412" spans="1:5" x14ac:dyDescent="0.25">
      <c r="A2412" s="15">
        <v>46626</v>
      </c>
      <c r="B2412" s="7">
        <v>1152452685</v>
      </c>
      <c r="C2412" s="11">
        <v>45966.669502314799</v>
      </c>
      <c r="D2412" s="17" t="s">
        <v>2342</v>
      </c>
      <c r="E2412" t="str">
        <f>IF(COUNTIF($B$2:B2412,B2412)&gt;1,"Duplicado","Único")</f>
        <v>Único</v>
      </c>
    </row>
    <row r="2413" spans="1:5" x14ac:dyDescent="0.25">
      <c r="A2413" s="15">
        <v>51988</v>
      </c>
      <c r="B2413" s="7">
        <v>1152456875</v>
      </c>
      <c r="C2413" s="11">
        <v>46051.497951388897</v>
      </c>
      <c r="D2413" s="17" t="s">
        <v>3506</v>
      </c>
      <c r="E2413" t="str">
        <f>IF(COUNTIF($B$2:B2413,B2413)&gt;1,"Duplicado","Único")</f>
        <v>Único</v>
      </c>
    </row>
    <row r="2414" spans="1:5" hidden="1" x14ac:dyDescent="0.25">
      <c r="A2414" s="15">
        <v>51988</v>
      </c>
      <c r="B2414" s="7">
        <v>1152456875</v>
      </c>
      <c r="C2414" s="11">
        <v>46003.700347222199</v>
      </c>
      <c r="D2414" s="17" t="s">
        <v>2926</v>
      </c>
      <c r="E2414" t="str">
        <f>IF(COUNTIF($B$2:B2414,B2414)&gt;1,"Duplicado","Único")</f>
        <v>Duplicado</v>
      </c>
    </row>
    <row r="2415" spans="1:5" x14ac:dyDescent="0.25">
      <c r="A2415" s="15">
        <v>49446</v>
      </c>
      <c r="B2415" s="7">
        <v>1152463554</v>
      </c>
      <c r="C2415" s="11">
        <v>45981.683831018498</v>
      </c>
      <c r="D2415" s="17" t="s">
        <v>2655</v>
      </c>
      <c r="E2415" t="str">
        <f>IF(COUNTIF($B$2:B2415,B2415)&gt;1,"Duplicado","Único")</f>
        <v>Único</v>
      </c>
    </row>
    <row r="2416" spans="1:5" x14ac:dyDescent="0.25">
      <c r="A2416" s="15">
        <v>48822</v>
      </c>
      <c r="B2416" s="7">
        <v>1152466479</v>
      </c>
      <c r="C2416" s="11">
        <v>45980.397615740701</v>
      </c>
      <c r="D2416" s="17" t="s">
        <v>2598</v>
      </c>
      <c r="E2416" t="str">
        <f>IF(COUNTIF($B$2:B2416,B2416)&gt;1,"Duplicado","Único")</f>
        <v>Único</v>
      </c>
    </row>
    <row r="2417" spans="1:5" x14ac:dyDescent="0.25">
      <c r="A2417" s="15">
        <v>33366</v>
      </c>
      <c r="B2417" s="7">
        <v>1152683829</v>
      </c>
      <c r="C2417" s="11">
        <v>45915.3815046296</v>
      </c>
      <c r="D2417" s="17" t="s">
        <v>1695</v>
      </c>
      <c r="E2417" t="str">
        <f>IF(COUNTIF($B$2:B2417,B2417)&gt;1,"Duplicado","Único")</f>
        <v>Único</v>
      </c>
    </row>
    <row r="2418" spans="1:5" x14ac:dyDescent="0.25">
      <c r="A2418" s="15">
        <v>33409</v>
      </c>
      <c r="B2418" s="7">
        <v>1152687388</v>
      </c>
      <c r="C2418" s="11">
        <v>45915.389108796298</v>
      </c>
      <c r="D2418" s="17" t="s">
        <v>1697</v>
      </c>
      <c r="E2418" t="str">
        <f>IF(COUNTIF($B$2:B2418,B2418)&gt;1,"Duplicado","Único")</f>
        <v>Único</v>
      </c>
    </row>
    <row r="2419" spans="1:5" x14ac:dyDescent="0.25">
      <c r="A2419" s="15">
        <v>31431</v>
      </c>
      <c r="B2419" s="7">
        <v>1152711835</v>
      </c>
      <c r="C2419" s="11">
        <v>45904.633032407401</v>
      </c>
      <c r="D2419" s="17" t="s">
        <v>1528</v>
      </c>
      <c r="E2419" t="str">
        <f>IF(COUNTIF($B$2:B2419,B2419)&gt;1,"Duplicado","Único")</f>
        <v>Único</v>
      </c>
    </row>
    <row r="2420" spans="1:5" x14ac:dyDescent="0.25">
      <c r="A2420" s="15">
        <v>29738</v>
      </c>
      <c r="B2420" s="7">
        <v>1152716014</v>
      </c>
      <c r="C2420" s="11">
        <v>45895.448182870401</v>
      </c>
      <c r="D2420" s="17" t="s">
        <v>1428</v>
      </c>
      <c r="E2420" t="str">
        <f>IF(COUNTIF($B$2:B2420,B2420)&gt;1,"Duplicado","Único")</f>
        <v>Único</v>
      </c>
    </row>
    <row r="2421" spans="1:5" x14ac:dyDescent="0.25">
      <c r="A2421" s="15">
        <v>54186</v>
      </c>
      <c r="B2421" s="7">
        <v>11803346</v>
      </c>
      <c r="C2421" s="11">
        <v>46057.434305555602</v>
      </c>
      <c r="D2421" s="17" t="s">
        <v>3705</v>
      </c>
      <c r="E2421" t="str">
        <f>IF(COUNTIF($B$2:B2421,B2421)&gt;1,"Duplicado","Único")</f>
        <v>Único</v>
      </c>
    </row>
    <row r="2422" spans="1:5" hidden="1" x14ac:dyDescent="0.25">
      <c r="A2422" s="15">
        <v>54186</v>
      </c>
      <c r="B2422" s="7">
        <v>11803346</v>
      </c>
      <c r="C2422" s="11">
        <v>46014.383645833303</v>
      </c>
      <c r="D2422" s="17" t="s">
        <v>3065</v>
      </c>
      <c r="E2422" t="str">
        <f>IF(COUNTIF($B$2:B2422,B2422)&gt;1,"Duplicado","Único")</f>
        <v>Duplicado</v>
      </c>
    </row>
    <row r="2423" spans="1:5" x14ac:dyDescent="0.25">
      <c r="A2423" s="15">
        <v>35507</v>
      </c>
      <c r="B2423" s="7">
        <v>1192735123</v>
      </c>
      <c r="C2423" s="11">
        <v>45917.4915162037</v>
      </c>
      <c r="D2423" s="17" t="s">
        <v>1737</v>
      </c>
      <c r="E2423" t="str">
        <f>IF(COUNTIF($B$2:B2423,B2423)&gt;1,"Duplicado","Único")</f>
        <v>Único</v>
      </c>
    </row>
    <row r="2424" spans="1:5" x14ac:dyDescent="0.25">
      <c r="A2424" s="15">
        <v>44005</v>
      </c>
      <c r="B2424" s="7">
        <v>1192756282</v>
      </c>
      <c r="C2424" s="11">
        <v>45957.706562500003</v>
      </c>
      <c r="D2424" s="17" t="s">
        <v>2096</v>
      </c>
      <c r="E2424" t="str">
        <f>IF(COUNTIF($B$2:B2424,B2424)&gt;1,"Duplicado","Único")</f>
        <v>Único</v>
      </c>
    </row>
    <row r="2425" spans="1:5" x14ac:dyDescent="0.25">
      <c r="A2425" s="15">
        <v>26222</v>
      </c>
      <c r="B2425" s="7">
        <v>1192758361</v>
      </c>
      <c r="C2425" s="11">
        <v>45867.357731481497</v>
      </c>
      <c r="D2425" s="17" t="s">
        <v>1179</v>
      </c>
      <c r="E2425" t="str">
        <f>IF(COUNTIF($B$2:B2425,B2425)&gt;1,"Duplicado","Único")</f>
        <v>Único</v>
      </c>
    </row>
    <row r="2426" spans="1:5" x14ac:dyDescent="0.25">
      <c r="A2426" s="15">
        <v>15110</v>
      </c>
      <c r="B2426" s="7">
        <v>1192773090</v>
      </c>
      <c r="C2426" s="11">
        <v>46120.660428240699</v>
      </c>
      <c r="D2426" s="17" t="s">
        <v>4338</v>
      </c>
      <c r="E2426" t="str">
        <f>IF(COUNTIF($B$2:B2426,B2426)&gt;1,"Duplicado","Único")</f>
        <v>Único</v>
      </c>
    </row>
    <row r="2427" spans="1:5" hidden="1" x14ac:dyDescent="0.25">
      <c r="A2427" s="15">
        <v>15110</v>
      </c>
      <c r="B2427" s="7">
        <v>1192773090</v>
      </c>
      <c r="C2427" s="11">
        <v>46094.503368055601</v>
      </c>
      <c r="D2427" s="17" t="s">
        <v>4066</v>
      </c>
      <c r="E2427" t="str">
        <f>IF(COUNTIF($B$2:B2427,B2427)&gt;1,"Duplicado","Único")</f>
        <v>Duplicado</v>
      </c>
    </row>
    <row r="2428" spans="1:5" x14ac:dyDescent="0.25">
      <c r="A2428" s="15">
        <v>932</v>
      </c>
      <c r="B2428" s="7">
        <v>1192778457</v>
      </c>
      <c r="C2428" s="11">
        <v>46086.542511574102</v>
      </c>
      <c r="D2428" s="17" t="s">
        <v>3843</v>
      </c>
      <c r="E2428" t="str">
        <f>IF(COUNTIF($B$2:B2428,B2428)&gt;1,"Duplicado","Único")</f>
        <v>Único</v>
      </c>
    </row>
    <row r="2429" spans="1:5" hidden="1" x14ac:dyDescent="0.25">
      <c r="A2429" s="15">
        <v>932</v>
      </c>
      <c r="B2429" s="7">
        <v>1192778457</v>
      </c>
      <c r="C2429" s="11">
        <v>46035.639641203699</v>
      </c>
      <c r="D2429" s="17" t="s">
        <v>3155</v>
      </c>
      <c r="E2429" t="str">
        <f>IF(COUNTIF($B$2:B2429,B2429)&gt;1,"Duplicado","Único")</f>
        <v>Duplicado</v>
      </c>
    </row>
    <row r="2430" spans="1:5" x14ac:dyDescent="0.25">
      <c r="A2430" s="15">
        <v>20379</v>
      </c>
      <c r="B2430" s="7">
        <v>1192780555</v>
      </c>
      <c r="C2430" s="11">
        <v>45820.452152777798</v>
      </c>
      <c r="D2430" s="17" t="s">
        <v>882</v>
      </c>
      <c r="E2430" t="str">
        <f>IF(COUNTIF($B$2:B2430,B2430)&gt;1,"Duplicado","Único")</f>
        <v>Único</v>
      </c>
    </row>
    <row r="2431" spans="1:5" x14ac:dyDescent="0.25">
      <c r="A2431" s="15">
        <v>31843</v>
      </c>
      <c r="B2431" s="7">
        <v>1192800144</v>
      </c>
      <c r="C2431" s="11">
        <v>45905.660011574102</v>
      </c>
      <c r="D2431" s="17" t="s">
        <v>1571</v>
      </c>
      <c r="E2431" t="str">
        <f>IF(COUNTIF($B$2:B2431,B2431)&gt;1,"Duplicado","Único")</f>
        <v>Único</v>
      </c>
    </row>
    <row r="2432" spans="1:5" x14ac:dyDescent="0.25">
      <c r="A2432" s="15">
        <v>29419</v>
      </c>
      <c r="B2432" s="7">
        <v>1192811497</v>
      </c>
      <c r="C2432" s="11">
        <v>45894.534525463001</v>
      </c>
      <c r="D2432" s="17" t="s">
        <v>1408</v>
      </c>
      <c r="E2432" t="str">
        <f>IF(COUNTIF($B$2:B2432,B2432)&gt;1,"Duplicado","Único")</f>
        <v>Único</v>
      </c>
    </row>
    <row r="2433" spans="1:5" x14ac:dyDescent="0.25">
      <c r="A2433" s="15">
        <v>39211</v>
      </c>
      <c r="B2433" s="7">
        <v>1192911481</v>
      </c>
      <c r="C2433" s="11">
        <v>45930.368472222202</v>
      </c>
      <c r="D2433" s="17" t="s">
        <v>1871</v>
      </c>
      <c r="E2433" t="str">
        <f>IF(COUNTIF($B$2:B2433,B2433)&gt;1,"Duplicado","Único")</f>
        <v>Único</v>
      </c>
    </row>
    <row r="2434" spans="1:5" x14ac:dyDescent="0.25">
      <c r="A2434" s="15">
        <v>55226</v>
      </c>
      <c r="B2434" s="7">
        <v>1193030632</v>
      </c>
      <c r="C2434" s="11">
        <v>46086.461527777799</v>
      </c>
      <c r="D2434" s="17" t="s">
        <v>3798</v>
      </c>
      <c r="E2434" t="str">
        <f>IF(COUNTIF($B$2:B2434,B2434)&gt;1,"Duplicado","Único")</f>
        <v>Único</v>
      </c>
    </row>
    <row r="2435" spans="1:5" hidden="1" x14ac:dyDescent="0.25">
      <c r="A2435" s="15">
        <v>55226</v>
      </c>
      <c r="B2435" s="7">
        <v>1193030632</v>
      </c>
      <c r="C2435" s="11">
        <v>46021.410092592603</v>
      </c>
      <c r="D2435" s="17" t="s">
        <v>3106</v>
      </c>
      <c r="E2435" t="str">
        <f>IF(COUNTIF($B$2:B2435,B2435)&gt;1,"Duplicado","Único")</f>
        <v>Duplicado</v>
      </c>
    </row>
    <row r="2436" spans="1:5" x14ac:dyDescent="0.25">
      <c r="A2436" s="15">
        <v>27950</v>
      </c>
      <c r="B2436" s="7">
        <v>1193031138</v>
      </c>
      <c r="C2436" s="11">
        <v>45884.468263888899</v>
      </c>
      <c r="D2436" s="17" t="s">
        <v>1305</v>
      </c>
      <c r="E2436" t="str">
        <f>IF(COUNTIF($B$2:B2436,B2436)&gt;1,"Duplicado","Único")</f>
        <v>Único</v>
      </c>
    </row>
    <row r="2437" spans="1:5" x14ac:dyDescent="0.25">
      <c r="A2437" s="15">
        <v>27410</v>
      </c>
      <c r="B2437" s="7">
        <v>1193077048</v>
      </c>
      <c r="C2437" s="11">
        <v>45874.612974536998</v>
      </c>
      <c r="D2437" s="17" t="s">
        <v>1268</v>
      </c>
      <c r="E2437" t="str">
        <f>IF(COUNTIF($B$2:B2437,B2437)&gt;1,"Duplicado","Único")</f>
        <v>Único</v>
      </c>
    </row>
    <row r="2438" spans="1:5" x14ac:dyDescent="0.25">
      <c r="A2438" s="15">
        <v>18771</v>
      </c>
      <c r="B2438" s="7">
        <v>1193078920</v>
      </c>
      <c r="C2438" s="11">
        <v>45813.546493055597</v>
      </c>
      <c r="D2438" s="17" t="s">
        <v>804</v>
      </c>
      <c r="E2438" t="str">
        <f>IF(COUNTIF($B$2:B2438,B2438)&gt;1,"Duplicado","Único")</f>
        <v>Único</v>
      </c>
    </row>
    <row r="2439" spans="1:5" hidden="1" x14ac:dyDescent="0.25">
      <c r="A2439" s="15">
        <v>18771</v>
      </c>
      <c r="B2439" s="7">
        <v>1193078920</v>
      </c>
      <c r="C2439" s="11">
        <v>45805.466689814799</v>
      </c>
      <c r="D2439" s="17" t="s">
        <v>788</v>
      </c>
      <c r="E2439" t="str">
        <f>IF(COUNTIF($B$2:B2439,B2439)&gt;1,"Duplicado","Único")</f>
        <v>Duplicado</v>
      </c>
    </row>
    <row r="2440" spans="1:5" hidden="1" x14ac:dyDescent="0.25">
      <c r="A2440" s="15">
        <v>18771</v>
      </c>
      <c r="B2440" s="7">
        <v>1193078920</v>
      </c>
      <c r="C2440" s="11">
        <v>45803.700983796298</v>
      </c>
      <c r="D2440" s="17" t="s">
        <v>779</v>
      </c>
      <c r="E2440" t="str">
        <f>IF(COUNTIF($B$2:B2440,B2440)&gt;1,"Duplicado","Único")</f>
        <v>Duplicado</v>
      </c>
    </row>
    <row r="2441" spans="1:5" x14ac:dyDescent="0.25">
      <c r="A2441" s="15">
        <v>23185</v>
      </c>
      <c r="B2441" s="7">
        <v>1193135028</v>
      </c>
      <c r="C2441" s="11">
        <v>45842.423750000002</v>
      </c>
      <c r="D2441" s="17" t="s">
        <v>1040</v>
      </c>
      <c r="E2441" t="str">
        <f>IF(COUNTIF($B$2:B2441,B2441)&gt;1,"Duplicado","Único")</f>
        <v>Único</v>
      </c>
    </row>
    <row r="2442" spans="1:5" x14ac:dyDescent="0.25">
      <c r="A2442" s="15">
        <v>17296</v>
      </c>
      <c r="B2442" s="7">
        <v>1193136487</v>
      </c>
      <c r="C2442" s="11">
        <v>45790.703923611101</v>
      </c>
      <c r="D2442" s="17" t="s">
        <v>696</v>
      </c>
      <c r="E2442" t="str">
        <f>IF(COUNTIF($B$2:B2442,B2442)&gt;1,"Duplicado","Único")</f>
        <v>Único</v>
      </c>
    </row>
    <row r="2443" spans="1:5" x14ac:dyDescent="0.25">
      <c r="A2443" s="15">
        <v>17432</v>
      </c>
      <c r="B2443" s="7">
        <v>1193140588</v>
      </c>
      <c r="C2443" s="11">
        <v>46149.512013888903</v>
      </c>
      <c r="D2443" s="17" t="s">
        <v>4518</v>
      </c>
      <c r="E2443" t="str">
        <f>IF(COUNTIF($B$2:B2443,B2443)&gt;1,"Duplicado","Único")</f>
        <v>Único</v>
      </c>
    </row>
    <row r="2444" spans="1:5" hidden="1" x14ac:dyDescent="0.25">
      <c r="A2444" s="15">
        <v>17432</v>
      </c>
      <c r="B2444" s="7">
        <v>1193140588</v>
      </c>
      <c r="C2444" s="11">
        <v>46108.561168981498</v>
      </c>
      <c r="D2444" s="17" t="s">
        <v>4221</v>
      </c>
      <c r="E2444" t="str">
        <f>IF(COUNTIF($B$2:B2444,B2444)&gt;1,"Duplicado","Único")</f>
        <v>Duplicado</v>
      </c>
    </row>
    <row r="2445" spans="1:5" x14ac:dyDescent="0.25">
      <c r="A2445" s="15">
        <v>20592</v>
      </c>
      <c r="B2445" s="7">
        <v>1193145042</v>
      </c>
      <c r="C2445" s="11">
        <v>45821.585185185198</v>
      </c>
      <c r="D2445" s="17" t="s">
        <v>899</v>
      </c>
      <c r="E2445" t="str">
        <f>IF(COUNTIF($B$2:B2445,B2445)&gt;1,"Duplicado","Único")</f>
        <v>Único</v>
      </c>
    </row>
    <row r="2446" spans="1:5" x14ac:dyDescent="0.25">
      <c r="A2446" s="15">
        <v>27694</v>
      </c>
      <c r="B2446" s="7">
        <v>1193239742</v>
      </c>
      <c r="C2446" s="11">
        <v>45877.463171296302</v>
      </c>
      <c r="D2446" s="17" t="s">
        <v>1290</v>
      </c>
      <c r="E2446" t="str">
        <f>IF(COUNTIF($B$2:B2446,B2446)&gt;1,"Duplicado","Único")</f>
        <v>Único</v>
      </c>
    </row>
    <row r="2447" spans="1:5" x14ac:dyDescent="0.25">
      <c r="A2447" s="15">
        <v>52273</v>
      </c>
      <c r="B2447" s="7">
        <v>1193247277</v>
      </c>
      <c r="C2447" s="11">
        <v>46051.525601851798</v>
      </c>
      <c r="D2447" s="17" t="s">
        <v>3523</v>
      </c>
      <c r="E2447" t="str">
        <f>IF(COUNTIF($B$2:B2447,B2447)&gt;1,"Duplicado","Único")</f>
        <v>Único</v>
      </c>
    </row>
    <row r="2448" spans="1:5" hidden="1" x14ac:dyDescent="0.25">
      <c r="A2448" s="15">
        <v>52273</v>
      </c>
      <c r="B2448" s="7">
        <v>1193247277</v>
      </c>
      <c r="C2448" s="11">
        <v>46007.382708333302</v>
      </c>
      <c r="D2448" s="17" t="s">
        <v>2930</v>
      </c>
      <c r="E2448" t="str">
        <f>IF(COUNTIF($B$2:B2448,B2448)&gt;1,"Duplicado","Único")</f>
        <v>Duplicado</v>
      </c>
    </row>
    <row r="2449" spans="1:5" x14ac:dyDescent="0.25">
      <c r="A2449" s="15">
        <v>54290</v>
      </c>
      <c r="B2449" s="7">
        <v>1193275361</v>
      </c>
      <c r="C2449" s="11">
        <v>46057.440092592602</v>
      </c>
      <c r="D2449" s="17" t="s">
        <v>3712</v>
      </c>
      <c r="E2449" t="str">
        <f>IF(COUNTIF($B$2:B2449,B2449)&gt;1,"Duplicado","Único")</f>
        <v>Único</v>
      </c>
    </row>
    <row r="2450" spans="1:5" hidden="1" x14ac:dyDescent="0.25">
      <c r="A2450" s="15">
        <v>54290</v>
      </c>
      <c r="B2450" s="7">
        <v>1193275361</v>
      </c>
      <c r="C2450" s="11">
        <v>46014.386539351799</v>
      </c>
      <c r="D2450" s="17" t="s">
        <v>3068</v>
      </c>
      <c r="E2450" t="str">
        <f>IF(COUNTIF($B$2:B2450,B2450)&gt;1,"Duplicado","Único")</f>
        <v>Duplicado</v>
      </c>
    </row>
    <row r="2451" spans="1:5" x14ac:dyDescent="0.25">
      <c r="A2451" s="15">
        <v>42344</v>
      </c>
      <c r="B2451" s="7">
        <v>1193519457</v>
      </c>
      <c r="C2451" s="11">
        <v>45951.607939814799</v>
      </c>
      <c r="D2451" s="17" t="s">
        <v>2022</v>
      </c>
      <c r="E2451" t="str">
        <f>IF(COUNTIF($B$2:B2451,B2451)&gt;1,"Duplicado","Único")</f>
        <v>Único</v>
      </c>
    </row>
    <row r="2452" spans="1:5" x14ac:dyDescent="0.25">
      <c r="A2452" s="15">
        <v>39080</v>
      </c>
      <c r="B2452" s="7">
        <v>1193520099</v>
      </c>
      <c r="C2452" s="11">
        <v>45929.5088888889</v>
      </c>
      <c r="D2452" s="17" t="s">
        <v>1863</v>
      </c>
      <c r="E2452" t="str">
        <f>IF(COUNTIF($B$2:B2452,B2452)&gt;1,"Duplicado","Único")</f>
        <v>Único</v>
      </c>
    </row>
    <row r="2453" spans="1:5" x14ac:dyDescent="0.25">
      <c r="A2453" s="15">
        <v>15223</v>
      </c>
      <c r="B2453" s="7">
        <v>1193536637</v>
      </c>
      <c r="C2453" s="11">
        <v>46120.661030092597</v>
      </c>
      <c r="D2453" s="17" t="s">
        <v>4339</v>
      </c>
      <c r="E2453" t="str">
        <f>IF(COUNTIF($B$2:B2453,B2453)&gt;1,"Duplicado","Único")</f>
        <v>Único</v>
      </c>
    </row>
    <row r="2454" spans="1:5" hidden="1" x14ac:dyDescent="0.25">
      <c r="A2454" s="15">
        <v>15223</v>
      </c>
      <c r="B2454" s="7">
        <v>1193536637</v>
      </c>
      <c r="C2454" s="11">
        <v>46094.507175925901</v>
      </c>
      <c r="D2454" s="17" t="s">
        <v>4071</v>
      </c>
      <c r="E2454" t="str">
        <f>IF(COUNTIF($B$2:B2454,B2454)&gt;1,"Duplicado","Único")</f>
        <v>Duplicado</v>
      </c>
    </row>
    <row r="2455" spans="1:5" x14ac:dyDescent="0.25">
      <c r="A2455" s="15">
        <v>33673</v>
      </c>
      <c r="B2455" s="7">
        <v>1193540387</v>
      </c>
      <c r="C2455" s="11">
        <v>45915.499606481499</v>
      </c>
      <c r="D2455" s="17" t="s">
        <v>1704</v>
      </c>
      <c r="E2455" t="str">
        <f>IF(COUNTIF($B$2:B2455,B2455)&gt;1,"Duplicado","Único")</f>
        <v>Único</v>
      </c>
    </row>
    <row r="2456" spans="1:5" x14ac:dyDescent="0.25">
      <c r="A2456" s="15">
        <v>32828</v>
      </c>
      <c r="B2456" s="7">
        <v>1193577584</v>
      </c>
      <c r="C2456" s="11">
        <v>45910.420671296299</v>
      </c>
      <c r="D2456" s="17" t="s">
        <v>1644</v>
      </c>
      <c r="E2456" t="str">
        <f>IF(COUNTIF($B$2:B2456,B2456)&gt;1,"Duplicado","Único")</f>
        <v>Único</v>
      </c>
    </row>
    <row r="2457" spans="1:5" x14ac:dyDescent="0.25">
      <c r="A2457" s="15">
        <v>17531</v>
      </c>
      <c r="B2457" s="7">
        <v>1193583166</v>
      </c>
      <c r="C2457" s="11">
        <v>46149.513009259303</v>
      </c>
      <c r="D2457" s="17" t="s">
        <v>4519</v>
      </c>
      <c r="E2457" t="str">
        <f>IF(COUNTIF($B$2:B2457,B2457)&gt;1,"Duplicado","Único")</f>
        <v>Único</v>
      </c>
    </row>
    <row r="2458" spans="1:5" hidden="1" x14ac:dyDescent="0.25">
      <c r="A2458" s="15">
        <v>17531</v>
      </c>
      <c r="B2458" s="7">
        <v>1193583166</v>
      </c>
      <c r="C2458" s="11">
        <v>46108.774131944403</v>
      </c>
      <c r="D2458" s="17" t="s">
        <v>1144</v>
      </c>
      <c r="E2458" t="str">
        <f>IF(COUNTIF($B$2:B2458,B2458)&gt;1,"Duplicado","Único")</f>
        <v>Duplicado</v>
      </c>
    </row>
    <row r="2459" spans="1:5" x14ac:dyDescent="0.25">
      <c r="A2459" s="15">
        <v>49590</v>
      </c>
      <c r="B2459" s="7">
        <v>12102885</v>
      </c>
      <c r="C2459" s="11">
        <v>46050.420277777797</v>
      </c>
      <c r="D2459" s="17" t="s">
        <v>3227</v>
      </c>
      <c r="E2459" t="str">
        <f>IF(COUNTIF($B$2:B2459,B2459)&gt;1,"Duplicado","Único")</f>
        <v>Único</v>
      </c>
    </row>
    <row r="2460" spans="1:5" hidden="1" x14ac:dyDescent="0.25">
      <c r="A2460" s="15">
        <v>49590</v>
      </c>
      <c r="B2460" s="7">
        <v>12102885</v>
      </c>
      <c r="C2460" s="11">
        <v>45985.368831018503</v>
      </c>
      <c r="D2460" s="17" t="s">
        <v>2673</v>
      </c>
      <c r="E2460" t="str">
        <f>IF(COUNTIF($B$2:B2460,B2460)&gt;1,"Duplicado","Único")</f>
        <v>Duplicado</v>
      </c>
    </row>
    <row r="2461" spans="1:5" x14ac:dyDescent="0.25">
      <c r="A2461" s="15">
        <v>20296</v>
      </c>
      <c r="B2461" s="7">
        <v>12115110</v>
      </c>
      <c r="C2461" s="11">
        <v>45820.372349537</v>
      </c>
      <c r="D2461" s="17" t="s">
        <v>876</v>
      </c>
      <c r="E2461" t="str">
        <f>IF(COUNTIF($B$2:B2461,B2461)&gt;1,"Duplicado","Único")</f>
        <v>Único</v>
      </c>
    </row>
    <row r="2462" spans="1:5" x14ac:dyDescent="0.25">
      <c r="A2462" s="15">
        <v>22009</v>
      </c>
      <c r="B2462" s="7">
        <v>12116886</v>
      </c>
      <c r="C2462" s="11">
        <v>45834.6092361111</v>
      </c>
      <c r="D2462" s="17" t="s">
        <v>981</v>
      </c>
      <c r="E2462" t="str">
        <f>IF(COUNTIF($B$2:B2462,B2462)&gt;1,"Duplicado","Único")</f>
        <v>Único</v>
      </c>
    </row>
    <row r="2463" spans="1:5" x14ac:dyDescent="0.25">
      <c r="A2463" s="15">
        <v>54509</v>
      </c>
      <c r="B2463" s="7">
        <v>12123426</v>
      </c>
      <c r="C2463" s="11">
        <v>46057.448541666701</v>
      </c>
      <c r="D2463" s="17" t="s">
        <v>3721</v>
      </c>
      <c r="E2463" t="str">
        <f>IF(COUNTIF($B$2:B2463,B2463)&gt;1,"Duplicado","Único")</f>
        <v>Único</v>
      </c>
    </row>
    <row r="2464" spans="1:5" hidden="1" x14ac:dyDescent="0.25">
      <c r="A2464" s="15">
        <v>54509</v>
      </c>
      <c r="B2464" s="7">
        <v>12123426</v>
      </c>
      <c r="C2464" s="11">
        <v>46017.638090277796</v>
      </c>
      <c r="D2464" s="17" t="s">
        <v>3093</v>
      </c>
      <c r="E2464" t="str">
        <f>IF(COUNTIF($B$2:B2464,B2464)&gt;1,"Duplicado","Único")</f>
        <v>Duplicado</v>
      </c>
    </row>
    <row r="2465" spans="1:5" x14ac:dyDescent="0.25">
      <c r="A2465" s="15">
        <v>42278</v>
      </c>
      <c r="B2465" s="7">
        <v>1214713734</v>
      </c>
      <c r="C2465" s="11">
        <v>45951.603530092601</v>
      </c>
      <c r="D2465" s="17" t="s">
        <v>2018</v>
      </c>
      <c r="E2465" t="str">
        <f>IF(COUNTIF($B$2:B2465,B2465)&gt;1,"Duplicado","Único")</f>
        <v>Único</v>
      </c>
    </row>
    <row r="2466" spans="1:5" x14ac:dyDescent="0.25">
      <c r="A2466" s="15">
        <v>37416</v>
      </c>
      <c r="B2466" s="7">
        <v>1214714786</v>
      </c>
      <c r="C2466" s="11">
        <v>45923.395590277803</v>
      </c>
      <c r="D2466" s="17" t="s">
        <v>1790</v>
      </c>
      <c r="E2466" t="str">
        <f>IF(COUNTIF($B$2:B2466,B2466)&gt;1,"Duplicado","Único")</f>
        <v>Único</v>
      </c>
    </row>
    <row r="2467" spans="1:5" hidden="1" x14ac:dyDescent="0.25">
      <c r="A2467" s="15">
        <v>25793</v>
      </c>
      <c r="B2467" s="7">
        <v>1214714786</v>
      </c>
      <c r="C2467" s="11">
        <v>45866.595856481501</v>
      </c>
      <c r="D2467" s="17" t="s">
        <v>1145</v>
      </c>
      <c r="E2467" t="str">
        <f>IF(COUNTIF($B$2:B2467,B2467)&gt;1,"Duplicado","Único")</f>
        <v>Duplicado</v>
      </c>
    </row>
    <row r="2468" spans="1:5" x14ac:dyDescent="0.25">
      <c r="A2468" s="15">
        <v>45868</v>
      </c>
      <c r="B2468" s="7">
        <v>1214723545</v>
      </c>
      <c r="C2468" s="11">
        <v>45961.433900463002</v>
      </c>
      <c r="D2468" s="17" t="s">
        <v>2270</v>
      </c>
      <c r="E2468" t="str">
        <f>IF(COUNTIF($B$2:B2468,B2468)&gt;1,"Duplicado","Único")</f>
        <v>Único</v>
      </c>
    </row>
    <row r="2469" spans="1:5" x14ac:dyDescent="0.25">
      <c r="A2469" s="15">
        <v>29946</v>
      </c>
      <c r="B2469" s="7">
        <v>1214724305</v>
      </c>
      <c r="C2469" s="11">
        <v>45898.462094907401</v>
      </c>
      <c r="D2469" s="17" t="s">
        <v>1453</v>
      </c>
      <c r="E2469" t="str">
        <f>IF(COUNTIF($B$2:B2469,B2469)&gt;1,"Duplicado","Único")</f>
        <v>Único</v>
      </c>
    </row>
    <row r="2470" spans="1:5" x14ac:dyDescent="0.25">
      <c r="A2470" s="15">
        <v>47921</v>
      </c>
      <c r="B2470" s="7">
        <v>1214727983</v>
      </c>
      <c r="C2470" s="11">
        <v>45973.674328703702</v>
      </c>
      <c r="D2470" s="17" t="s">
        <v>2477</v>
      </c>
      <c r="E2470" t="str">
        <f>IF(COUNTIF($B$2:B2470,B2470)&gt;1,"Duplicado","Único")</f>
        <v>Único</v>
      </c>
    </row>
    <row r="2471" spans="1:5" x14ac:dyDescent="0.25">
      <c r="A2471" s="15">
        <v>54291</v>
      </c>
      <c r="B2471" s="7">
        <v>1214739156</v>
      </c>
      <c r="C2471" s="11">
        <v>46057.440752314797</v>
      </c>
      <c r="D2471" s="17" t="s">
        <v>3713</v>
      </c>
      <c r="E2471" t="str">
        <f>IF(COUNTIF($B$2:B2471,B2471)&gt;1,"Duplicado","Único")</f>
        <v>Único</v>
      </c>
    </row>
    <row r="2472" spans="1:5" hidden="1" x14ac:dyDescent="0.25">
      <c r="A2472" s="15">
        <v>54291</v>
      </c>
      <c r="B2472" s="7">
        <v>1214739156</v>
      </c>
      <c r="C2472" s="11">
        <v>46014.388356481497</v>
      </c>
      <c r="D2472" s="17" t="s">
        <v>3069</v>
      </c>
      <c r="E2472" t="str">
        <f>IF(COUNTIF($B$2:B2472,B2472)&gt;1,"Duplicado","Único")</f>
        <v>Duplicado</v>
      </c>
    </row>
    <row r="2473" spans="1:5" x14ac:dyDescent="0.25">
      <c r="A2473" s="15">
        <v>47792</v>
      </c>
      <c r="B2473" s="7">
        <v>1216725266</v>
      </c>
      <c r="C2473" s="11">
        <v>45973.6557060185</v>
      </c>
      <c r="D2473" s="17" t="s">
        <v>2464</v>
      </c>
      <c r="E2473" t="str">
        <f>IF(COUNTIF($B$2:B2473,B2473)&gt;1,"Duplicado","Único")</f>
        <v>Único</v>
      </c>
    </row>
    <row r="2474" spans="1:5" x14ac:dyDescent="0.25">
      <c r="A2474" s="15">
        <v>44562</v>
      </c>
      <c r="B2474" s="7">
        <v>1216969633</v>
      </c>
      <c r="C2474" s="11">
        <v>45958.496377314797</v>
      </c>
      <c r="D2474" s="17" t="s">
        <v>2136</v>
      </c>
      <c r="E2474" t="str">
        <f>IF(COUNTIF($B$2:B2474,B2474)&gt;1,"Duplicado","Único")</f>
        <v>Único</v>
      </c>
    </row>
    <row r="2475" spans="1:5" x14ac:dyDescent="0.25">
      <c r="A2475" s="15">
        <v>14811</v>
      </c>
      <c r="B2475" s="7">
        <v>12180407</v>
      </c>
      <c r="C2475" s="11">
        <v>46120.509178240703</v>
      </c>
      <c r="D2475" s="17" t="s">
        <v>4283</v>
      </c>
      <c r="E2475" t="str">
        <f>IF(COUNTIF($B$2:B2475,B2475)&gt;1,"Duplicado","Único")</f>
        <v>Único</v>
      </c>
    </row>
    <row r="2476" spans="1:5" hidden="1" x14ac:dyDescent="0.25">
      <c r="A2476" s="15">
        <v>14811</v>
      </c>
      <c r="B2476" s="7">
        <v>12180407</v>
      </c>
      <c r="C2476" s="11">
        <v>46094.420034722199</v>
      </c>
      <c r="D2476" s="17" t="s">
        <v>4026</v>
      </c>
      <c r="E2476" t="str">
        <f>IF(COUNTIF($B$2:B2476,B2476)&gt;1,"Duplicado","Único")</f>
        <v>Duplicado</v>
      </c>
    </row>
    <row r="2477" spans="1:5" x14ac:dyDescent="0.25">
      <c r="A2477" s="15">
        <v>52160</v>
      </c>
      <c r="B2477" s="7">
        <v>12195873</v>
      </c>
      <c r="C2477" s="11">
        <v>46051.4984259259</v>
      </c>
      <c r="D2477" s="17" t="s">
        <v>3507</v>
      </c>
      <c r="E2477" t="str">
        <f>IF(COUNTIF($B$2:B2477,B2477)&gt;1,"Duplicado","Único")</f>
        <v>Único</v>
      </c>
    </row>
    <row r="2478" spans="1:5" hidden="1" x14ac:dyDescent="0.25">
      <c r="A2478" s="15">
        <v>52160</v>
      </c>
      <c r="B2478" s="7">
        <v>12195873</v>
      </c>
      <c r="C2478" s="11">
        <v>46007.473078703697</v>
      </c>
      <c r="D2478" s="17" t="s">
        <v>2941</v>
      </c>
      <c r="E2478" t="str">
        <f>IF(COUNTIF($B$2:B2478,B2478)&gt;1,"Duplicado","Único")</f>
        <v>Duplicado</v>
      </c>
    </row>
    <row r="2479" spans="1:5" x14ac:dyDescent="0.25">
      <c r="A2479" s="15">
        <v>33221</v>
      </c>
      <c r="B2479" s="7">
        <v>12195924</v>
      </c>
      <c r="C2479" s="11">
        <v>45912.706944444399</v>
      </c>
      <c r="D2479" s="17" t="s">
        <v>1687</v>
      </c>
      <c r="E2479" t="str">
        <f>IF(COUNTIF($B$2:B2479,B2479)&gt;1,"Duplicado","Único")</f>
        <v>Único</v>
      </c>
    </row>
    <row r="2480" spans="1:5" x14ac:dyDescent="0.25">
      <c r="A2480" s="15">
        <v>44387</v>
      </c>
      <c r="B2480" s="7">
        <v>1221963730</v>
      </c>
      <c r="C2480" s="11">
        <v>45958.456527777802</v>
      </c>
      <c r="D2480" s="17" t="s">
        <v>2125</v>
      </c>
      <c r="E2480" t="str">
        <f>IF(COUNTIF($B$2:B2480,B2480)&gt;1,"Duplicado","Único")</f>
        <v>Único</v>
      </c>
    </row>
    <row r="2481" spans="1:5" x14ac:dyDescent="0.25">
      <c r="A2481" s="15">
        <v>17343</v>
      </c>
      <c r="B2481" s="7">
        <v>12266696</v>
      </c>
      <c r="C2481" s="11">
        <v>45796.672349537002</v>
      </c>
      <c r="D2481" s="17" t="s">
        <v>702</v>
      </c>
      <c r="E2481" t="str">
        <f>IF(COUNTIF($B$2:B2481,B2481)&gt;1,"Duplicado","Único")</f>
        <v>Único</v>
      </c>
    </row>
    <row r="2482" spans="1:5" x14ac:dyDescent="0.25">
      <c r="A2482" s="15">
        <v>13755</v>
      </c>
      <c r="B2482" s="7">
        <v>1233191258</v>
      </c>
      <c r="C2482" s="11">
        <v>46149.651087963</v>
      </c>
      <c r="D2482" s="17" t="s">
        <v>4548</v>
      </c>
      <c r="E2482" t="str">
        <f>IF(COUNTIF($B$2:B2482,B2482)&gt;1,"Duplicado","Único")</f>
        <v>Único</v>
      </c>
    </row>
    <row r="2483" spans="1:5" hidden="1" x14ac:dyDescent="0.25">
      <c r="A2483" s="15">
        <v>13755</v>
      </c>
      <c r="B2483" s="7">
        <v>1233191258</v>
      </c>
      <c r="C2483" s="11">
        <v>46085.453148148103</v>
      </c>
      <c r="D2483" s="17" t="s">
        <v>3779</v>
      </c>
      <c r="E2483" t="str">
        <f>IF(COUNTIF($B$2:B2483,B2483)&gt;1,"Duplicado","Único")</f>
        <v>Duplicado</v>
      </c>
    </row>
    <row r="2484" spans="1:5" x14ac:dyDescent="0.25">
      <c r="A2484" s="15">
        <v>30775</v>
      </c>
      <c r="B2484" s="7">
        <v>1233193255</v>
      </c>
      <c r="C2484" s="11">
        <v>45901.500393518501</v>
      </c>
      <c r="D2484" s="17" t="s">
        <v>1484</v>
      </c>
      <c r="E2484" t="str">
        <f>IF(COUNTIF($B$2:B2484,B2484)&gt;1,"Duplicado","Único")</f>
        <v>Único</v>
      </c>
    </row>
    <row r="2485" spans="1:5" x14ac:dyDescent="0.25">
      <c r="A2485" s="15">
        <v>45915</v>
      </c>
      <c r="B2485" s="7">
        <v>1233345587</v>
      </c>
      <c r="C2485" s="11">
        <v>45961.691585648201</v>
      </c>
      <c r="D2485" s="17" t="s">
        <v>2288</v>
      </c>
      <c r="E2485" t="str">
        <f>IF(COUNTIF($B$2:B2485,B2485)&gt;1,"Duplicado","Único")</f>
        <v>Único</v>
      </c>
    </row>
    <row r="2486" spans="1:5" x14ac:dyDescent="0.25">
      <c r="A2486" s="15">
        <v>15285</v>
      </c>
      <c r="B2486" s="7">
        <v>1233507078</v>
      </c>
      <c r="C2486" s="11">
        <v>46120.661736111098</v>
      </c>
      <c r="D2486" s="17" t="s">
        <v>4340</v>
      </c>
      <c r="E2486" t="str">
        <f>IF(COUNTIF($B$2:B2486,B2486)&gt;1,"Duplicado","Único")</f>
        <v>Único</v>
      </c>
    </row>
    <row r="2487" spans="1:5" hidden="1" x14ac:dyDescent="0.25">
      <c r="A2487" s="15">
        <v>15285</v>
      </c>
      <c r="B2487" s="7">
        <v>1233507078</v>
      </c>
      <c r="C2487" s="11">
        <v>46094.512951388897</v>
      </c>
      <c r="D2487" s="17" t="s">
        <v>4077</v>
      </c>
      <c r="E2487" t="str">
        <f>IF(COUNTIF($B$2:B2487,B2487)&gt;1,"Duplicado","Único")</f>
        <v>Duplicado</v>
      </c>
    </row>
    <row r="2488" spans="1:5" x14ac:dyDescent="0.25">
      <c r="A2488" s="15">
        <v>3161</v>
      </c>
      <c r="B2488" s="7">
        <v>1233508221</v>
      </c>
      <c r="C2488" s="11">
        <v>46086.798460648097</v>
      </c>
      <c r="D2488" s="17" t="s">
        <v>3996</v>
      </c>
      <c r="E2488" t="str">
        <f>IF(COUNTIF($B$2:B2488,B2488)&gt;1,"Duplicado","Único")</f>
        <v>Único</v>
      </c>
    </row>
    <row r="2489" spans="1:5" hidden="1" x14ac:dyDescent="0.25">
      <c r="A2489" s="15">
        <v>3161</v>
      </c>
      <c r="B2489" s="7">
        <v>1233508221</v>
      </c>
      <c r="C2489" s="11">
        <v>46055.404918981498</v>
      </c>
      <c r="D2489" s="17" t="s">
        <v>3584</v>
      </c>
      <c r="E2489" t="str">
        <f>IF(COUNTIF($B$2:B2489,B2489)&gt;1,"Duplicado","Único")</f>
        <v>Duplicado</v>
      </c>
    </row>
    <row r="2490" spans="1:5" x14ac:dyDescent="0.25">
      <c r="A2490" s="15">
        <v>41481</v>
      </c>
      <c r="B2490" s="7">
        <v>1233693596</v>
      </c>
      <c r="C2490" s="11">
        <v>45938.417071759301</v>
      </c>
      <c r="D2490" s="17" t="s">
        <v>1979</v>
      </c>
      <c r="E2490" t="str">
        <f>IF(COUNTIF($B$2:B2490,B2490)&gt;1,"Duplicado","Único")</f>
        <v>Único</v>
      </c>
    </row>
    <row r="2491" spans="1:5" x14ac:dyDescent="0.25">
      <c r="A2491" s="15">
        <v>30791</v>
      </c>
      <c r="B2491" s="7">
        <v>1233695717</v>
      </c>
      <c r="C2491" s="11">
        <v>45901.505393518499</v>
      </c>
      <c r="D2491" s="17" t="s">
        <v>1485</v>
      </c>
      <c r="E2491" t="str">
        <f>IF(COUNTIF($B$2:B2491,B2491)&gt;1,"Duplicado","Único")</f>
        <v>Único</v>
      </c>
    </row>
    <row r="2492" spans="1:5" x14ac:dyDescent="0.25">
      <c r="A2492" s="15">
        <v>786</v>
      </c>
      <c r="B2492" s="7">
        <v>1233907477</v>
      </c>
      <c r="C2492" s="11">
        <v>46086.543043981503</v>
      </c>
      <c r="D2492" s="17" t="s">
        <v>3844</v>
      </c>
      <c r="E2492" t="str">
        <f>IF(COUNTIF($B$2:B2492,B2492)&gt;1,"Duplicado","Único")</f>
        <v>Único</v>
      </c>
    </row>
    <row r="2493" spans="1:5" hidden="1" x14ac:dyDescent="0.25">
      <c r="A2493" s="15">
        <v>786</v>
      </c>
      <c r="B2493" s="7">
        <v>1233907477</v>
      </c>
      <c r="C2493" s="11">
        <v>46035.508252314801</v>
      </c>
      <c r="D2493" s="17" t="s">
        <v>3147</v>
      </c>
      <c r="E2493" t="str">
        <f>IF(COUNTIF($B$2:B2493,B2493)&gt;1,"Duplicado","Único")</f>
        <v>Duplicado</v>
      </c>
    </row>
    <row r="2494" spans="1:5" x14ac:dyDescent="0.25">
      <c r="A2494" s="15">
        <v>42742</v>
      </c>
      <c r="B2494" s="7">
        <v>1233908222</v>
      </c>
      <c r="C2494" s="11">
        <v>45954.5264930556</v>
      </c>
      <c r="D2494" s="17" t="s">
        <v>2062</v>
      </c>
      <c r="E2494" t="str">
        <f>IF(COUNTIF($B$2:B2494,B2494)&gt;1,"Duplicado","Único")</f>
        <v>Único</v>
      </c>
    </row>
    <row r="2495" spans="1:5" x14ac:dyDescent="0.25">
      <c r="A2495" s="15">
        <v>42979</v>
      </c>
      <c r="B2495" s="7">
        <v>1233913269</v>
      </c>
      <c r="C2495" s="11">
        <v>45954.6243287037</v>
      </c>
      <c r="D2495" s="17" t="s">
        <v>2073</v>
      </c>
      <c r="E2495" t="str">
        <f>IF(COUNTIF($B$2:B2495,B2495)&gt;1,"Duplicado","Único")</f>
        <v>Único</v>
      </c>
    </row>
    <row r="2496" spans="1:5" x14ac:dyDescent="0.25">
      <c r="A2496" s="15">
        <v>25591</v>
      </c>
      <c r="B2496" s="7">
        <v>1234089133</v>
      </c>
      <c r="C2496" s="11">
        <v>45860.484201388899</v>
      </c>
      <c r="D2496" s="17" t="s">
        <v>1134</v>
      </c>
      <c r="E2496" t="str">
        <f>IF(COUNTIF($B$2:B2496,B2496)&gt;1,"Duplicado","Único")</f>
        <v>Único</v>
      </c>
    </row>
    <row r="2497" spans="1:5" x14ac:dyDescent="0.25">
      <c r="A2497" s="15">
        <v>19884</v>
      </c>
      <c r="B2497" s="7">
        <v>1234089806</v>
      </c>
      <c r="C2497" s="11">
        <v>45819.456840277802</v>
      </c>
      <c r="D2497" s="17" t="s">
        <v>848</v>
      </c>
      <c r="E2497" t="str">
        <f>IF(COUNTIF($B$2:B2497,B2497)&gt;1,"Duplicado","Único")</f>
        <v>Único</v>
      </c>
    </row>
    <row r="2498" spans="1:5" x14ac:dyDescent="0.25">
      <c r="A2498" s="15">
        <v>39464</v>
      </c>
      <c r="B2498" s="7">
        <v>1234091046</v>
      </c>
      <c r="C2498" s="11">
        <v>45930.396724537</v>
      </c>
      <c r="D2498" s="17" t="s">
        <v>1879</v>
      </c>
      <c r="E2498" t="str">
        <f>IF(COUNTIF($B$2:B2498,B2498)&gt;1,"Duplicado","Único")</f>
        <v>Único</v>
      </c>
    </row>
    <row r="2499" spans="1:5" x14ac:dyDescent="0.25">
      <c r="A2499" s="15">
        <v>28182</v>
      </c>
      <c r="B2499" s="7">
        <v>1234091818</v>
      </c>
      <c r="C2499" s="11">
        <v>45884.663726851897</v>
      </c>
      <c r="D2499" s="17" t="s">
        <v>1320</v>
      </c>
      <c r="E2499" t="str">
        <f>IF(COUNTIF($B$2:B2499,B2499)&gt;1,"Duplicado","Único")</f>
        <v>Único</v>
      </c>
    </row>
    <row r="2500" spans="1:5" x14ac:dyDescent="0.25">
      <c r="A2500" s="15">
        <v>14006</v>
      </c>
      <c r="B2500" s="7">
        <v>1234094237</v>
      </c>
      <c r="C2500" s="11">
        <v>46149.604733796303</v>
      </c>
      <c r="D2500" s="17" t="s">
        <v>4539</v>
      </c>
      <c r="E2500" t="str">
        <f>IF(COUNTIF($B$2:B2500,B2500)&gt;1,"Duplicado","Único")</f>
        <v>Único</v>
      </c>
    </row>
    <row r="2501" spans="1:5" hidden="1" x14ac:dyDescent="0.25">
      <c r="A2501" s="15">
        <v>14006</v>
      </c>
      <c r="B2501" s="7">
        <v>1234094237</v>
      </c>
      <c r="C2501" s="11">
        <v>46086.664664351898</v>
      </c>
      <c r="D2501" s="17" t="s">
        <v>3863</v>
      </c>
      <c r="E2501" t="str">
        <f>IF(COUNTIF($B$2:B2501,B2501)&gt;1,"Duplicado","Único")</f>
        <v>Duplicado</v>
      </c>
    </row>
    <row r="2502" spans="1:5" x14ac:dyDescent="0.25">
      <c r="A2502" s="15">
        <v>28836</v>
      </c>
      <c r="B2502" s="7">
        <v>1234095964</v>
      </c>
      <c r="C2502" s="11">
        <v>45890.720787036997</v>
      </c>
      <c r="D2502" s="17" t="s">
        <v>1376</v>
      </c>
      <c r="E2502" t="str">
        <f>IF(COUNTIF($B$2:B2502,B2502)&gt;1,"Duplicado","Único")</f>
        <v>Único</v>
      </c>
    </row>
    <row r="2503" spans="1:5" hidden="1" x14ac:dyDescent="0.25">
      <c r="A2503" s="15">
        <v>28836</v>
      </c>
      <c r="B2503" s="7">
        <v>1234095964</v>
      </c>
      <c r="C2503" s="11">
        <v>45888.6952662037</v>
      </c>
      <c r="D2503" s="17" t="s">
        <v>1364</v>
      </c>
      <c r="E2503" t="str">
        <f>IF(COUNTIF($B$2:B2503,B2503)&gt;1,"Duplicado","Único")</f>
        <v>Duplicado</v>
      </c>
    </row>
    <row r="2504" spans="1:5" x14ac:dyDescent="0.25">
      <c r="A2504" s="15">
        <v>24237</v>
      </c>
      <c r="B2504" s="7">
        <v>1234191863</v>
      </c>
      <c r="C2504" s="11">
        <v>45852.553993055597</v>
      </c>
      <c r="D2504" s="17" t="s">
        <v>1073</v>
      </c>
      <c r="E2504" t="str">
        <f>IF(COUNTIF($B$2:B2504,B2504)&gt;1,"Duplicado","Único")</f>
        <v>Único</v>
      </c>
    </row>
    <row r="2505" spans="1:5" x14ac:dyDescent="0.25">
      <c r="A2505" s="15">
        <v>14975</v>
      </c>
      <c r="B2505" s="7">
        <v>1234890678</v>
      </c>
      <c r="C2505" s="11">
        <v>46120.662418981497</v>
      </c>
      <c r="D2505" s="17" t="s">
        <v>4341</v>
      </c>
      <c r="E2505" t="str">
        <f>IF(COUNTIF($B$2:B2505,B2505)&gt;1,"Duplicado","Único")</f>
        <v>Único</v>
      </c>
    </row>
    <row r="2506" spans="1:5" hidden="1" x14ac:dyDescent="0.25">
      <c r="A2506" s="15">
        <v>14975</v>
      </c>
      <c r="B2506" s="7">
        <v>1234890678</v>
      </c>
      <c r="C2506" s="11">
        <v>46094.492893518502</v>
      </c>
      <c r="D2506" s="17" t="s">
        <v>4054</v>
      </c>
      <c r="E2506" t="str">
        <f>IF(COUNTIF($B$2:B2506,B2506)&gt;1,"Duplicado","Único")</f>
        <v>Duplicado</v>
      </c>
    </row>
    <row r="2507" spans="1:5" x14ac:dyDescent="0.25">
      <c r="A2507" s="15">
        <v>30925</v>
      </c>
      <c r="B2507" s="7">
        <v>1235043201</v>
      </c>
      <c r="C2507" s="11">
        <v>45911.418379629598</v>
      </c>
      <c r="D2507" s="17" t="s">
        <v>1660</v>
      </c>
      <c r="E2507" t="str">
        <f>IF(COUNTIF($B$2:B2507,B2507)&gt;1,"Duplicado","Único")</f>
        <v>Único</v>
      </c>
    </row>
    <row r="2508" spans="1:5" x14ac:dyDescent="0.25">
      <c r="A2508" s="15">
        <v>43977</v>
      </c>
      <c r="B2508" s="7">
        <v>12449236</v>
      </c>
      <c r="C2508" s="11">
        <v>45957.721145833297</v>
      </c>
      <c r="D2508" s="17" t="s">
        <v>2103</v>
      </c>
      <c r="E2508" t="str">
        <f>IF(COUNTIF($B$2:B2508,B2508)&gt;1,"Duplicado","Único")</f>
        <v>Único</v>
      </c>
    </row>
    <row r="2509" spans="1:5" x14ac:dyDescent="0.25">
      <c r="A2509" s="15">
        <v>1550</v>
      </c>
      <c r="B2509" s="7">
        <v>12541674</v>
      </c>
      <c r="C2509" s="11">
        <v>46086.624895833302</v>
      </c>
      <c r="D2509" s="17" t="s">
        <v>3845</v>
      </c>
      <c r="E2509" t="str">
        <f>IF(COUNTIF($B$2:B2509,B2509)&gt;1,"Duplicado","Único")</f>
        <v>Único</v>
      </c>
    </row>
    <row r="2510" spans="1:5" hidden="1" x14ac:dyDescent="0.25">
      <c r="A2510" s="15">
        <v>1550</v>
      </c>
      <c r="B2510" s="7">
        <v>12541674</v>
      </c>
      <c r="C2510" s="11">
        <v>46036.658483796302</v>
      </c>
      <c r="D2510" s="17" t="s">
        <v>3180</v>
      </c>
      <c r="E2510" t="str">
        <f>IF(COUNTIF($B$2:B2510,B2510)&gt;1,"Duplicado","Único")</f>
        <v>Duplicado</v>
      </c>
    </row>
    <row r="2511" spans="1:5" x14ac:dyDescent="0.25">
      <c r="A2511" s="15">
        <v>1644</v>
      </c>
      <c r="B2511" s="7">
        <v>12546359</v>
      </c>
      <c r="C2511" s="11">
        <v>46086.625578703701</v>
      </c>
      <c r="D2511" s="17" t="s">
        <v>3846</v>
      </c>
      <c r="E2511" t="str">
        <f>IF(COUNTIF($B$2:B2511,B2511)&gt;1,"Duplicado","Único")</f>
        <v>Único</v>
      </c>
    </row>
    <row r="2512" spans="1:5" hidden="1" x14ac:dyDescent="0.25">
      <c r="A2512" s="15">
        <v>1644</v>
      </c>
      <c r="B2512" s="7">
        <v>12546359</v>
      </c>
      <c r="C2512" s="11">
        <v>46036.668344907397</v>
      </c>
      <c r="D2512" s="17" t="s">
        <v>3185</v>
      </c>
      <c r="E2512" t="str">
        <f>IF(COUNTIF($B$2:B2512,B2512)&gt;1,"Duplicado","Único")</f>
        <v>Duplicado</v>
      </c>
    </row>
    <row r="2513" spans="1:5" x14ac:dyDescent="0.25">
      <c r="A2513" s="15">
        <v>44720</v>
      </c>
      <c r="B2513" s="7">
        <v>12559503</v>
      </c>
      <c r="C2513" s="11">
        <v>45958.746041666702</v>
      </c>
      <c r="D2513" s="17" t="s">
        <v>2200</v>
      </c>
      <c r="E2513" t="str">
        <f>IF(COUNTIF($B$2:B2513,B2513)&gt;1,"Duplicado","Único")</f>
        <v>Único</v>
      </c>
    </row>
    <row r="2514" spans="1:5" x14ac:dyDescent="0.25">
      <c r="A2514" s="15">
        <v>17229</v>
      </c>
      <c r="B2514" s="7">
        <v>12561747</v>
      </c>
      <c r="C2514" s="11">
        <v>46149.428692129601</v>
      </c>
      <c r="D2514" s="17" t="s">
        <v>4467</v>
      </c>
      <c r="E2514" t="str">
        <f>IF(COUNTIF($B$2:B2514,B2514)&gt;1,"Duplicado","Único")</f>
        <v>Único</v>
      </c>
    </row>
    <row r="2515" spans="1:5" hidden="1" x14ac:dyDescent="0.25">
      <c r="A2515" s="15">
        <v>17229</v>
      </c>
      <c r="B2515" s="7">
        <v>12561747</v>
      </c>
      <c r="C2515" s="11">
        <v>46108.467418981498</v>
      </c>
      <c r="D2515" s="17" t="s">
        <v>4184</v>
      </c>
      <c r="E2515" t="str">
        <f>IF(COUNTIF($B$2:B2515,B2515)&gt;1,"Duplicado","Único")</f>
        <v>Duplicado</v>
      </c>
    </row>
    <row r="2516" spans="1:5" x14ac:dyDescent="0.25">
      <c r="A2516" s="15">
        <v>16456</v>
      </c>
      <c r="B2516" s="7">
        <v>12984718</v>
      </c>
      <c r="C2516" s="11">
        <v>46121.3914351852</v>
      </c>
      <c r="D2516" s="17" t="s">
        <v>4346</v>
      </c>
      <c r="E2516" t="str">
        <f>IF(COUNTIF($B$2:B2516,B2516)&gt;1,"Duplicado","Único")</f>
        <v>Único</v>
      </c>
    </row>
    <row r="2517" spans="1:5" hidden="1" x14ac:dyDescent="0.25">
      <c r="A2517" s="15">
        <v>16456</v>
      </c>
      <c r="B2517" s="7">
        <v>12984718</v>
      </c>
      <c r="C2517" s="11">
        <v>46101.819733796299</v>
      </c>
      <c r="D2517" s="17" t="s">
        <v>4151</v>
      </c>
      <c r="E2517" t="str">
        <f>IF(COUNTIF($B$2:B2517,B2517)&gt;1,"Duplicado","Único")</f>
        <v>Duplicado</v>
      </c>
    </row>
    <row r="2518" spans="1:5" x14ac:dyDescent="0.25">
      <c r="A2518" s="15">
        <v>25004</v>
      </c>
      <c r="B2518" s="7">
        <v>1298577</v>
      </c>
      <c r="C2518" s="11">
        <v>45860.350023148101</v>
      </c>
      <c r="D2518" s="17" t="s">
        <v>1108</v>
      </c>
      <c r="E2518" t="str">
        <f>IF(COUNTIF($B$2:B2518,B2518)&gt;1,"Duplicado","Único")</f>
        <v>Único</v>
      </c>
    </row>
    <row r="2519" spans="1:5" x14ac:dyDescent="0.25">
      <c r="A2519" s="15">
        <v>33172</v>
      </c>
      <c r="B2519" s="7">
        <v>12997191</v>
      </c>
      <c r="C2519" s="11">
        <v>45912.6322685185</v>
      </c>
      <c r="D2519" s="17" t="s">
        <v>1682</v>
      </c>
      <c r="E2519" t="str">
        <f>IF(COUNTIF($B$2:B2519,B2519)&gt;1,"Duplicado","Único")</f>
        <v>Único</v>
      </c>
    </row>
    <row r="2520" spans="1:5" x14ac:dyDescent="0.25">
      <c r="A2520" s="15">
        <v>31308</v>
      </c>
      <c r="B2520" s="7">
        <v>13066016</v>
      </c>
      <c r="C2520" s="11">
        <v>45904.629467592596</v>
      </c>
      <c r="D2520" s="17" t="s">
        <v>1526</v>
      </c>
      <c r="E2520" t="str">
        <f>IF(COUNTIF($B$2:B2520,B2520)&gt;1,"Duplicado","Único")</f>
        <v>Único</v>
      </c>
    </row>
    <row r="2521" spans="1:5" x14ac:dyDescent="0.25">
      <c r="A2521" s="15">
        <v>27475</v>
      </c>
      <c r="B2521" s="7">
        <v>13071114</v>
      </c>
      <c r="C2521" s="11">
        <v>45874.635416666701</v>
      </c>
      <c r="D2521" s="17" t="s">
        <v>1271</v>
      </c>
      <c r="E2521" t="str">
        <f>IF(COUNTIF($B$2:B2521,B2521)&gt;1,"Duplicado","Único")</f>
        <v>Único</v>
      </c>
    </row>
    <row r="2522" spans="1:5" x14ac:dyDescent="0.25">
      <c r="A2522" s="15">
        <v>16423</v>
      </c>
      <c r="B2522" s="7">
        <v>13235501</v>
      </c>
      <c r="C2522" s="11">
        <v>46121.392384259299</v>
      </c>
      <c r="D2522" s="17" t="s">
        <v>4347</v>
      </c>
      <c r="E2522" t="str">
        <f>IF(COUNTIF($B$2:B2522,B2522)&gt;1,"Duplicado","Único")</f>
        <v>Único</v>
      </c>
    </row>
    <row r="2523" spans="1:5" hidden="1" x14ac:dyDescent="0.25">
      <c r="A2523" s="15">
        <v>16423</v>
      </c>
      <c r="B2523" s="7">
        <v>13235501</v>
      </c>
      <c r="C2523" s="11">
        <v>46101.816469907397</v>
      </c>
      <c r="D2523" s="17" t="s">
        <v>4146</v>
      </c>
      <c r="E2523" t="str">
        <f>IF(COUNTIF($B$2:B2523,B2523)&gt;1,"Duplicado","Único")</f>
        <v>Duplicado</v>
      </c>
    </row>
    <row r="2524" spans="1:5" x14ac:dyDescent="0.25">
      <c r="A2524" s="15">
        <v>15815</v>
      </c>
      <c r="B2524" s="7">
        <v>13276287</v>
      </c>
      <c r="C2524" s="11">
        <v>46121.393194444398</v>
      </c>
      <c r="D2524" s="17" t="s">
        <v>4348</v>
      </c>
      <c r="E2524" t="str">
        <f>IF(COUNTIF($B$2:B2524,B2524)&gt;1,"Duplicado","Único")</f>
        <v>Único</v>
      </c>
    </row>
    <row r="2525" spans="1:5" hidden="1" x14ac:dyDescent="0.25">
      <c r="A2525" s="15">
        <v>15815</v>
      </c>
      <c r="B2525" s="7">
        <v>13276287</v>
      </c>
      <c r="C2525" s="11">
        <v>46101.687071759297</v>
      </c>
      <c r="D2525" s="17" t="s">
        <v>4117</v>
      </c>
      <c r="E2525" t="str">
        <f>IF(COUNTIF($B$2:B2525,B2525)&gt;1,"Duplicado","Único")</f>
        <v>Duplicado</v>
      </c>
    </row>
    <row r="2526" spans="1:5" x14ac:dyDescent="0.25">
      <c r="A2526" s="15">
        <v>46780</v>
      </c>
      <c r="B2526" s="7">
        <v>1335280319</v>
      </c>
      <c r="C2526" s="11">
        <v>45967.700972222199</v>
      </c>
      <c r="D2526" s="17" t="s">
        <v>2361</v>
      </c>
      <c r="E2526" t="str">
        <f>IF(COUNTIF($B$2:B2526,B2526)&gt;1,"Duplicado","Único")</f>
        <v>Único</v>
      </c>
    </row>
    <row r="2527" spans="1:5" x14ac:dyDescent="0.25">
      <c r="A2527" s="15">
        <v>17605</v>
      </c>
      <c r="B2527" s="7">
        <v>13361702</v>
      </c>
      <c r="C2527" s="11">
        <v>46149.429317129601</v>
      </c>
      <c r="D2527" s="17" t="s">
        <v>4468</v>
      </c>
      <c r="E2527" t="str">
        <f>IF(COUNTIF($B$2:B2527,B2527)&gt;1,"Duplicado","Único")</f>
        <v>Único</v>
      </c>
    </row>
    <row r="2528" spans="1:5" hidden="1" x14ac:dyDescent="0.25">
      <c r="A2528" s="15">
        <v>17605</v>
      </c>
      <c r="B2528" s="7">
        <v>13361702</v>
      </c>
      <c r="C2528" s="11">
        <v>46108.775196759299</v>
      </c>
      <c r="D2528" s="17" t="s">
        <v>1145</v>
      </c>
      <c r="E2528" t="str">
        <f>IF(COUNTIF($B$2:B2528,B2528)&gt;1,"Duplicado","Único")</f>
        <v>Duplicado</v>
      </c>
    </row>
    <row r="2529" spans="1:5" x14ac:dyDescent="0.25">
      <c r="A2529" s="15">
        <v>22189</v>
      </c>
      <c r="B2529" s="7">
        <v>13379994</v>
      </c>
      <c r="C2529" s="11">
        <v>45835.689444444397</v>
      </c>
      <c r="D2529" s="17" t="s">
        <v>994</v>
      </c>
      <c r="E2529" t="str">
        <f>IF(COUNTIF($B$2:B2529,B2529)&gt;1,"Duplicado","Único")</f>
        <v>Único</v>
      </c>
    </row>
    <row r="2530" spans="1:5" x14ac:dyDescent="0.25">
      <c r="A2530" s="15">
        <v>53034</v>
      </c>
      <c r="B2530" s="7">
        <v>13438372</v>
      </c>
      <c r="C2530" s="11">
        <v>46057.3987037037</v>
      </c>
      <c r="D2530" s="17" t="s">
        <v>3674</v>
      </c>
      <c r="E2530" t="str">
        <f>IF(COUNTIF($B$2:B2530,B2530)&gt;1,"Duplicado","Único")</f>
        <v>Único</v>
      </c>
    </row>
    <row r="2531" spans="1:5" hidden="1" x14ac:dyDescent="0.25">
      <c r="A2531" s="15">
        <v>53034</v>
      </c>
      <c r="B2531" s="7">
        <v>13438372</v>
      </c>
      <c r="C2531" s="11">
        <v>46013.443344907399</v>
      </c>
      <c r="D2531" s="17" t="s">
        <v>3008</v>
      </c>
      <c r="E2531" t="str">
        <f>IF(COUNTIF($B$2:B2531,B2531)&gt;1,"Duplicado","Único")</f>
        <v>Duplicado</v>
      </c>
    </row>
    <row r="2532" spans="1:5" x14ac:dyDescent="0.25">
      <c r="A2532" s="15">
        <v>15452</v>
      </c>
      <c r="B2532" s="7">
        <v>13458633</v>
      </c>
      <c r="C2532" s="11">
        <v>46120.511400463001</v>
      </c>
      <c r="D2532" s="17" t="s">
        <v>4284</v>
      </c>
      <c r="E2532" t="str">
        <f>IF(COUNTIF($B$2:B2532,B2532)&gt;1,"Duplicado","Único")</f>
        <v>Único</v>
      </c>
    </row>
    <row r="2533" spans="1:5" hidden="1" x14ac:dyDescent="0.25">
      <c r="A2533" s="15">
        <v>15452</v>
      </c>
      <c r="B2533" s="7">
        <v>13458633</v>
      </c>
      <c r="C2533" s="11">
        <v>46094.525844907403</v>
      </c>
      <c r="D2533" s="17" t="s">
        <v>4089</v>
      </c>
      <c r="E2533" t="str">
        <f>IF(COUNTIF($B$2:B2533,B2533)&gt;1,"Duplicado","Único")</f>
        <v>Duplicado</v>
      </c>
    </row>
    <row r="2534" spans="1:5" x14ac:dyDescent="0.25">
      <c r="A2534" s="15">
        <v>12690</v>
      </c>
      <c r="B2534" s="7">
        <v>13470814</v>
      </c>
      <c r="C2534" s="11">
        <v>46108.418460648201</v>
      </c>
      <c r="D2534" s="17" t="s">
        <v>4177</v>
      </c>
      <c r="E2534" t="str">
        <f>IF(COUNTIF($B$2:B2534,B2534)&gt;1,"Duplicado","Único")</f>
        <v>Único</v>
      </c>
    </row>
    <row r="2535" spans="1:5" hidden="1" x14ac:dyDescent="0.25">
      <c r="A2535" s="15">
        <v>12690</v>
      </c>
      <c r="B2535" s="7">
        <v>13470814</v>
      </c>
      <c r="C2535" s="11">
        <v>46079.622407407398</v>
      </c>
      <c r="D2535" s="17" t="s">
        <v>3765</v>
      </c>
      <c r="E2535" t="str">
        <f>IF(COUNTIF($B$2:B2535,B2535)&gt;1,"Duplicado","Único")</f>
        <v>Duplicado</v>
      </c>
    </row>
    <row r="2536" spans="1:5" x14ac:dyDescent="0.25">
      <c r="A2536" s="15">
        <v>3766</v>
      </c>
      <c r="B2536" s="7">
        <v>13483114</v>
      </c>
      <c r="C2536" s="11">
        <v>46086.769710648201</v>
      </c>
      <c r="D2536" s="17" t="s">
        <v>3954</v>
      </c>
      <c r="E2536" t="str">
        <f>IF(COUNTIF($B$2:B2536,B2536)&gt;1,"Duplicado","Único")</f>
        <v>Único</v>
      </c>
    </row>
    <row r="2537" spans="1:5" hidden="1" x14ac:dyDescent="0.25">
      <c r="A2537" s="15">
        <v>3766</v>
      </c>
      <c r="B2537" s="7">
        <v>13483114</v>
      </c>
      <c r="C2537" s="11">
        <v>46055.392546296302</v>
      </c>
      <c r="D2537" s="17" t="s">
        <v>3575</v>
      </c>
      <c r="E2537" t="str">
        <f>IF(COUNTIF($B$2:B2537,B2537)&gt;1,"Duplicado","Único")</f>
        <v>Duplicado</v>
      </c>
    </row>
    <row r="2538" spans="1:5" x14ac:dyDescent="0.25">
      <c r="A2538" s="15">
        <v>49350</v>
      </c>
      <c r="B2538" s="7">
        <v>13499060</v>
      </c>
      <c r="C2538" s="11">
        <v>46050.629537036999</v>
      </c>
      <c r="D2538" s="17" t="s">
        <v>3340</v>
      </c>
      <c r="E2538" t="str">
        <f>IF(COUNTIF($B$2:B2538,B2538)&gt;1,"Duplicado","Único")</f>
        <v>Único</v>
      </c>
    </row>
    <row r="2539" spans="1:5" hidden="1" x14ac:dyDescent="0.25">
      <c r="A2539" s="15">
        <v>49350</v>
      </c>
      <c r="B2539" s="7">
        <v>13499060</v>
      </c>
      <c r="C2539" s="11">
        <v>45989.895578703698</v>
      </c>
      <c r="D2539" s="17" t="s">
        <v>2799</v>
      </c>
      <c r="E2539" t="str">
        <f>IF(COUNTIF($B$2:B2539,B2539)&gt;1,"Duplicado","Único")</f>
        <v>Duplicado</v>
      </c>
    </row>
    <row r="2540" spans="1:5" hidden="1" x14ac:dyDescent="0.25">
      <c r="A2540" s="15">
        <v>49350</v>
      </c>
      <c r="B2540" s="7">
        <v>13499060</v>
      </c>
      <c r="C2540" s="11">
        <v>45982.386979166702</v>
      </c>
      <c r="D2540" s="17" t="s">
        <v>2663</v>
      </c>
      <c r="E2540" t="str">
        <f>IF(COUNTIF($B$2:B2540,B2540)&gt;1,"Duplicado","Único")</f>
        <v>Duplicado</v>
      </c>
    </row>
    <row r="2541" spans="1:5" x14ac:dyDescent="0.25">
      <c r="A2541" s="15">
        <v>46072</v>
      </c>
      <c r="B2541" s="7">
        <v>13503294</v>
      </c>
      <c r="C2541" s="11">
        <v>45965.707569444399</v>
      </c>
      <c r="D2541" s="17" t="s">
        <v>2325</v>
      </c>
      <c r="E2541" t="str">
        <f>IF(COUNTIF($B$2:B2541,B2541)&gt;1,"Duplicado","Único")</f>
        <v>Único</v>
      </c>
    </row>
    <row r="2542" spans="1:5" x14ac:dyDescent="0.25">
      <c r="A2542" s="15">
        <v>29376</v>
      </c>
      <c r="B2542" s="7">
        <v>13507186</v>
      </c>
      <c r="C2542" s="11">
        <v>45919.512164351901</v>
      </c>
      <c r="D2542" s="17" t="s">
        <v>1766</v>
      </c>
      <c r="E2542" t="str">
        <f>IF(COUNTIF($B$2:B2542,B2542)&gt;1,"Duplicado","Único")</f>
        <v>Único</v>
      </c>
    </row>
    <row r="2543" spans="1:5" hidden="1" x14ac:dyDescent="0.25">
      <c r="A2543" s="15">
        <v>29376</v>
      </c>
      <c r="B2543" s="7">
        <v>13507186</v>
      </c>
      <c r="C2543" s="11">
        <v>45894.519675925898</v>
      </c>
      <c r="D2543" s="17" t="s">
        <v>1405</v>
      </c>
      <c r="E2543" t="str">
        <f>IF(COUNTIF($B$2:B2543,B2543)&gt;1,"Duplicado","Único")</f>
        <v>Duplicado</v>
      </c>
    </row>
    <row r="2544" spans="1:5" x14ac:dyDescent="0.25">
      <c r="A2544" s="15">
        <v>38525</v>
      </c>
      <c r="B2544" s="7">
        <v>13510092</v>
      </c>
      <c r="C2544" s="11">
        <v>45926.402002314797</v>
      </c>
      <c r="D2544" s="17" t="s">
        <v>1836</v>
      </c>
      <c r="E2544" t="str">
        <f>IF(COUNTIF($B$2:B2544,B2544)&gt;1,"Duplicado","Único")</f>
        <v>Único</v>
      </c>
    </row>
    <row r="2545" spans="1:5" x14ac:dyDescent="0.25">
      <c r="A2545" s="15">
        <v>36841</v>
      </c>
      <c r="B2545" s="7">
        <v>13512474</v>
      </c>
      <c r="C2545" s="11">
        <v>45922.398912037002</v>
      </c>
      <c r="D2545" s="17" t="s">
        <v>1777</v>
      </c>
      <c r="E2545" t="str">
        <f>IF(COUNTIF($B$2:B2545,B2545)&gt;1,"Duplicado","Único")</f>
        <v>Único</v>
      </c>
    </row>
    <row r="2546" spans="1:5" x14ac:dyDescent="0.25">
      <c r="A2546" s="15">
        <v>51162</v>
      </c>
      <c r="B2546" s="7">
        <v>13516563</v>
      </c>
      <c r="C2546" s="11">
        <v>46050.693356481497</v>
      </c>
      <c r="D2546" s="17" t="s">
        <v>3413</v>
      </c>
      <c r="E2546" t="str">
        <f>IF(COUNTIF($B$2:B2546,B2546)&gt;1,"Duplicado","Único")</f>
        <v>Único</v>
      </c>
    </row>
    <row r="2547" spans="1:5" hidden="1" x14ac:dyDescent="0.25">
      <c r="A2547" s="15">
        <v>51162</v>
      </c>
      <c r="B2547" s="7">
        <v>13516563</v>
      </c>
      <c r="C2547" s="11">
        <v>46001.442708333299</v>
      </c>
      <c r="D2547" s="17" t="s">
        <v>2853</v>
      </c>
      <c r="E2547" t="str">
        <f>IF(COUNTIF($B$2:B2547,B2547)&gt;1,"Duplicado","Único")</f>
        <v>Duplicado</v>
      </c>
    </row>
    <row r="2548" spans="1:5" x14ac:dyDescent="0.25">
      <c r="A2548" s="15">
        <v>54088</v>
      </c>
      <c r="B2548" s="7">
        <v>13539340</v>
      </c>
      <c r="C2548" s="11">
        <v>46057.357280092598</v>
      </c>
      <c r="D2548" s="17" t="s">
        <v>3641</v>
      </c>
      <c r="E2548" t="str">
        <f>IF(COUNTIF($B$2:B2548,B2548)&gt;1,"Duplicado","Único")</f>
        <v>Único</v>
      </c>
    </row>
    <row r="2549" spans="1:5" hidden="1" x14ac:dyDescent="0.25">
      <c r="A2549" s="15">
        <v>54088</v>
      </c>
      <c r="B2549" s="7">
        <v>13539340</v>
      </c>
      <c r="C2549" s="11">
        <v>46013.662118055603</v>
      </c>
      <c r="D2549" s="17" t="s">
        <v>3060</v>
      </c>
      <c r="E2549" t="str">
        <f>IF(COUNTIF($B$2:B2549,B2549)&gt;1,"Duplicado","Único")</f>
        <v>Duplicado</v>
      </c>
    </row>
    <row r="2550" spans="1:5" x14ac:dyDescent="0.25">
      <c r="A2550" s="15">
        <v>28769</v>
      </c>
      <c r="B2550" s="7">
        <v>13540948</v>
      </c>
      <c r="C2550" s="11">
        <v>45888.660729166702</v>
      </c>
      <c r="D2550" s="17" t="s">
        <v>1359</v>
      </c>
      <c r="E2550" t="str">
        <f>IF(COUNTIF($B$2:B2550,B2550)&gt;1,"Duplicado","Único")</f>
        <v>Único</v>
      </c>
    </row>
    <row r="2551" spans="1:5" x14ac:dyDescent="0.25">
      <c r="A2551" s="15">
        <v>53918</v>
      </c>
      <c r="B2551" s="7">
        <v>13542486</v>
      </c>
      <c r="C2551" s="11">
        <v>46057.358344907399</v>
      </c>
      <c r="D2551" s="17" t="s">
        <v>3642</v>
      </c>
      <c r="E2551" t="str">
        <f>IF(COUNTIF($B$2:B2551,B2551)&gt;1,"Duplicado","Único")</f>
        <v>Único</v>
      </c>
    </row>
    <row r="2552" spans="1:5" hidden="1" x14ac:dyDescent="0.25">
      <c r="A2552" s="15">
        <v>53918</v>
      </c>
      <c r="B2552" s="7">
        <v>13542486</v>
      </c>
      <c r="C2552" s="11">
        <v>46013.614930555603</v>
      </c>
      <c r="D2552" s="17" t="s">
        <v>3046</v>
      </c>
      <c r="E2552" t="str">
        <f>IF(COUNTIF($B$2:B2552,B2552)&gt;1,"Duplicado","Único")</f>
        <v>Duplicado</v>
      </c>
    </row>
    <row r="2553" spans="1:5" x14ac:dyDescent="0.25">
      <c r="A2553" s="15">
        <v>30460</v>
      </c>
      <c r="B2553" s="7">
        <v>13569289</v>
      </c>
      <c r="C2553" s="11">
        <v>45895.711307870399</v>
      </c>
      <c r="D2553" s="17" t="s">
        <v>1435</v>
      </c>
      <c r="E2553" t="str">
        <f>IF(COUNTIF($B$2:B2553,B2553)&gt;1,"Duplicado","Único")</f>
        <v>Único</v>
      </c>
    </row>
    <row r="2554" spans="1:5" x14ac:dyDescent="0.25">
      <c r="A2554" s="15">
        <v>46363</v>
      </c>
      <c r="B2554" s="7">
        <v>13638105</v>
      </c>
      <c r="C2554" s="11">
        <v>45965.506944444402</v>
      </c>
      <c r="D2554" s="17" t="s">
        <v>2316</v>
      </c>
      <c r="E2554" t="str">
        <f>IF(COUNTIF($B$2:B2554,B2554)&gt;1,"Duplicado","Único")</f>
        <v>Único</v>
      </c>
    </row>
    <row r="2555" spans="1:5" x14ac:dyDescent="0.25">
      <c r="A2555" s="15">
        <v>50558</v>
      </c>
      <c r="B2555" s="7">
        <v>13689418</v>
      </c>
      <c r="C2555" s="11">
        <v>46050.631307870397</v>
      </c>
      <c r="D2555" s="17" t="s">
        <v>3341</v>
      </c>
      <c r="E2555" t="str">
        <f>IF(COUNTIF($B$2:B2555,B2555)&gt;1,"Duplicado","Único")</f>
        <v>Único</v>
      </c>
    </row>
    <row r="2556" spans="1:5" hidden="1" x14ac:dyDescent="0.25">
      <c r="A2556" s="15">
        <v>50558</v>
      </c>
      <c r="B2556" s="7">
        <v>13689418</v>
      </c>
      <c r="C2556" s="11">
        <v>45989.456817129598</v>
      </c>
      <c r="D2556" s="17" t="s">
        <v>2791</v>
      </c>
      <c r="E2556" t="str">
        <f>IF(COUNTIF($B$2:B2556,B2556)&gt;1,"Duplicado","Único")</f>
        <v>Duplicado</v>
      </c>
    </row>
    <row r="2557" spans="1:5" x14ac:dyDescent="0.25">
      <c r="A2557" s="15">
        <v>20755</v>
      </c>
      <c r="B2557" s="7">
        <v>13706985</v>
      </c>
      <c r="C2557" s="11">
        <v>45821.620543981502</v>
      </c>
      <c r="D2557" s="17" t="s">
        <v>903</v>
      </c>
      <c r="E2557" t="str">
        <f>IF(COUNTIF($B$2:B2557,B2557)&gt;1,"Duplicado","Único")</f>
        <v>Único</v>
      </c>
    </row>
    <row r="2558" spans="1:5" x14ac:dyDescent="0.25">
      <c r="A2558" s="15">
        <v>1589</v>
      </c>
      <c r="B2558" s="7">
        <v>13718022</v>
      </c>
      <c r="C2558" s="11">
        <v>46086.627905092602</v>
      </c>
      <c r="D2558" s="17" t="s">
        <v>3847</v>
      </c>
      <c r="E2558" t="str">
        <f>IF(COUNTIF($B$2:B2558,B2558)&gt;1,"Duplicado","Único")</f>
        <v>Único</v>
      </c>
    </row>
    <row r="2559" spans="1:5" hidden="1" x14ac:dyDescent="0.25">
      <c r="A2559" s="15">
        <v>1589</v>
      </c>
      <c r="B2559" s="7">
        <v>13718022</v>
      </c>
      <c r="C2559" s="11">
        <v>46036.662291666697</v>
      </c>
      <c r="D2559" s="17" t="s">
        <v>3182</v>
      </c>
      <c r="E2559" t="str">
        <f>IF(COUNTIF($B$2:B2559,B2559)&gt;1,"Duplicado","Único")</f>
        <v>Duplicado</v>
      </c>
    </row>
    <row r="2560" spans="1:5" x14ac:dyDescent="0.25">
      <c r="A2560" s="15">
        <v>12866</v>
      </c>
      <c r="B2560" s="7">
        <v>13830706</v>
      </c>
      <c r="C2560" s="11">
        <v>46122.441724536999</v>
      </c>
      <c r="D2560" s="17" t="s">
        <v>1258</v>
      </c>
      <c r="E2560" t="str">
        <f>IF(COUNTIF($B$2:B2560,B2560)&gt;1,"Duplicado","Único")</f>
        <v>Único</v>
      </c>
    </row>
    <row r="2561" spans="1:5" hidden="1" x14ac:dyDescent="0.25">
      <c r="A2561" s="15">
        <v>12866</v>
      </c>
      <c r="B2561" s="7">
        <v>13830706</v>
      </c>
      <c r="C2561" s="11">
        <v>46080.633379629602</v>
      </c>
      <c r="D2561" s="17" t="s">
        <v>855</v>
      </c>
      <c r="E2561" t="str">
        <f>IF(COUNTIF($B$2:B2561,B2561)&gt;1,"Duplicado","Único")</f>
        <v>Duplicado</v>
      </c>
    </row>
    <row r="2562" spans="1:5" x14ac:dyDescent="0.25">
      <c r="A2562" s="15">
        <v>47653</v>
      </c>
      <c r="B2562" s="7">
        <v>14237809</v>
      </c>
      <c r="C2562" s="11">
        <v>45972.471666666701</v>
      </c>
      <c r="D2562" s="17" t="s">
        <v>2440</v>
      </c>
      <c r="E2562" t="str">
        <f>IF(COUNTIF($B$2:B2562,B2562)&gt;1,"Duplicado","Único")</f>
        <v>Único</v>
      </c>
    </row>
    <row r="2563" spans="1:5" x14ac:dyDescent="0.25">
      <c r="A2563" s="15">
        <v>46130</v>
      </c>
      <c r="B2563" s="7">
        <v>14250077</v>
      </c>
      <c r="C2563" s="11">
        <v>45965.528599537</v>
      </c>
      <c r="D2563" s="17" t="s">
        <v>2320</v>
      </c>
      <c r="E2563" t="str">
        <f>IF(COUNTIF($B$2:B2563,B2563)&gt;1,"Duplicado","Único")</f>
        <v>Único</v>
      </c>
    </row>
    <row r="2564" spans="1:5" x14ac:dyDescent="0.25">
      <c r="A2564" s="15">
        <v>46184</v>
      </c>
      <c r="B2564" s="7">
        <v>14251826</v>
      </c>
      <c r="C2564" s="11">
        <v>45965.467187499999</v>
      </c>
      <c r="D2564" s="17" t="s">
        <v>2298</v>
      </c>
      <c r="E2564" t="str">
        <f>IF(COUNTIF($B$2:B2564,B2564)&gt;1,"Duplicado","Único")</f>
        <v>Único</v>
      </c>
    </row>
    <row r="2565" spans="1:5" x14ac:dyDescent="0.25">
      <c r="A2565" s="15">
        <v>32661</v>
      </c>
      <c r="B2565" s="7">
        <v>14297724</v>
      </c>
      <c r="C2565" s="11">
        <v>45909.6977430556</v>
      </c>
      <c r="D2565" s="17" t="s">
        <v>1633</v>
      </c>
      <c r="E2565" t="str">
        <f>IF(COUNTIF($B$2:B2565,B2565)&gt;1,"Duplicado","Único")</f>
        <v>Único</v>
      </c>
    </row>
    <row r="2566" spans="1:5" x14ac:dyDescent="0.25">
      <c r="A2566" s="15">
        <v>28558</v>
      </c>
      <c r="B2566" s="7">
        <v>14572132</v>
      </c>
      <c r="C2566" s="11">
        <v>45888.588553240697</v>
      </c>
      <c r="D2566" s="17" t="s">
        <v>1344</v>
      </c>
      <c r="E2566" t="str">
        <f>IF(COUNTIF($B$2:B2566,B2566)&gt;1,"Duplicado","Único")</f>
        <v>Único</v>
      </c>
    </row>
    <row r="2567" spans="1:5" x14ac:dyDescent="0.25">
      <c r="A2567" s="15">
        <v>47457</v>
      </c>
      <c r="B2567" s="7">
        <v>14590876</v>
      </c>
      <c r="C2567" s="11">
        <v>45972.340717592597</v>
      </c>
      <c r="D2567" s="17" t="s">
        <v>2417</v>
      </c>
      <c r="E2567" t="str">
        <f>IF(COUNTIF($B$2:B2567,B2567)&gt;1,"Duplicado","Único")</f>
        <v>Único</v>
      </c>
    </row>
    <row r="2568" spans="1:5" x14ac:dyDescent="0.25">
      <c r="A2568" s="15">
        <v>52385</v>
      </c>
      <c r="B2568" s="7">
        <v>14622743</v>
      </c>
      <c r="C2568" s="11">
        <v>46052.267581018503</v>
      </c>
      <c r="D2568" s="17" t="s">
        <v>3558</v>
      </c>
      <c r="E2568" t="str">
        <f>IF(COUNTIF($B$2:B2568,B2568)&gt;1,"Duplicado","Único")</f>
        <v>Único</v>
      </c>
    </row>
    <row r="2569" spans="1:5" hidden="1" x14ac:dyDescent="0.25">
      <c r="A2569" s="15">
        <v>52385</v>
      </c>
      <c r="B2569" s="7">
        <v>14622743</v>
      </c>
      <c r="C2569" s="11">
        <v>46009.430520833303</v>
      </c>
      <c r="D2569" s="17" t="s">
        <v>2981</v>
      </c>
      <c r="E2569" t="str">
        <f>IF(COUNTIF($B$2:B2569,B2569)&gt;1,"Duplicado","Único")</f>
        <v>Duplicado</v>
      </c>
    </row>
    <row r="2570" spans="1:5" x14ac:dyDescent="0.25">
      <c r="A2570" s="15">
        <v>16699</v>
      </c>
      <c r="B2570" s="7">
        <v>14696040</v>
      </c>
      <c r="C2570" s="11">
        <v>46121.394189814797</v>
      </c>
      <c r="D2570" s="17" t="s">
        <v>4349</v>
      </c>
      <c r="E2570" t="str">
        <f>IF(COUNTIF($B$2:B2570,B2570)&gt;1,"Duplicado","Único")</f>
        <v>Único</v>
      </c>
    </row>
    <row r="2571" spans="1:5" hidden="1" x14ac:dyDescent="0.25">
      <c r="A2571" s="15">
        <v>16699</v>
      </c>
      <c r="B2571" s="7">
        <v>14696040</v>
      </c>
      <c r="C2571" s="11">
        <v>46101.847500000003</v>
      </c>
      <c r="D2571" s="17" t="s">
        <v>4172</v>
      </c>
      <c r="E2571" t="str">
        <f>IF(COUNTIF($B$2:B2571,B2571)&gt;1,"Duplicado","Único")</f>
        <v>Duplicado</v>
      </c>
    </row>
    <row r="2572" spans="1:5" x14ac:dyDescent="0.25">
      <c r="A2572" s="15">
        <v>29264</v>
      </c>
      <c r="B2572" s="7">
        <v>14701991</v>
      </c>
      <c r="C2572" s="11">
        <v>45894.479780092603</v>
      </c>
      <c r="D2572" s="17" t="s">
        <v>1400</v>
      </c>
      <c r="E2572" t="str">
        <f>IF(COUNTIF($B$2:B2572,B2572)&gt;1,"Duplicado","Único")</f>
        <v>Único</v>
      </c>
    </row>
    <row r="2573" spans="1:5" x14ac:dyDescent="0.25">
      <c r="A2573" s="15">
        <v>14568</v>
      </c>
      <c r="B2573" s="7">
        <v>14795665</v>
      </c>
      <c r="C2573" s="11">
        <v>46122.438321759299</v>
      </c>
      <c r="D2573" s="17" t="s">
        <v>4424</v>
      </c>
      <c r="E2573" t="str">
        <f>IF(COUNTIF($B$2:B2573,B2573)&gt;1,"Duplicado","Único")</f>
        <v>Único</v>
      </c>
    </row>
    <row r="2574" spans="1:5" hidden="1" x14ac:dyDescent="0.25">
      <c r="A2574" s="15">
        <v>14568</v>
      </c>
      <c r="B2574" s="7">
        <v>14795665</v>
      </c>
      <c r="C2574" s="11">
        <v>46090.475324074097</v>
      </c>
      <c r="D2574" s="17" t="s">
        <v>4008</v>
      </c>
      <c r="E2574" t="str">
        <f>IF(COUNTIF($B$2:B2574,B2574)&gt;1,"Duplicado","Único")</f>
        <v>Duplicado</v>
      </c>
    </row>
    <row r="2575" spans="1:5" x14ac:dyDescent="0.25">
      <c r="A2575" s="15">
        <v>16095</v>
      </c>
      <c r="B2575" s="7">
        <v>14800905</v>
      </c>
      <c r="C2575" s="11">
        <v>46121.394780092603</v>
      </c>
      <c r="D2575" s="17" t="s">
        <v>4350</v>
      </c>
      <c r="E2575" t="str">
        <f>IF(COUNTIF($B$2:B2575,B2575)&gt;1,"Duplicado","Único")</f>
        <v>Único</v>
      </c>
    </row>
    <row r="2576" spans="1:5" hidden="1" x14ac:dyDescent="0.25">
      <c r="A2576" s="15">
        <v>16095</v>
      </c>
      <c r="B2576" s="7">
        <v>14800905</v>
      </c>
      <c r="C2576" s="11">
        <v>46101.774861111102</v>
      </c>
      <c r="D2576" s="17" t="s">
        <v>4131</v>
      </c>
      <c r="E2576" t="str">
        <f>IF(COUNTIF($B$2:B2576,B2576)&gt;1,"Duplicado","Único")</f>
        <v>Duplicado</v>
      </c>
    </row>
    <row r="2577" spans="1:5" x14ac:dyDescent="0.25">
      <c r="A2577" s="15">
        <v>2810</v>
      </c>
      <c r="B2577" s="7">
        <v>14883204</v>
      </c>
      <c r="C2577" s="11">
        <v>46086.727962962999</v>
      </c>
      <c r="D2577" s="17" t="s">
        <v>3911</v>
      </c>
      <c r="E2577" t="str">
        <f>IF(COUNTIF($B$2:B2577,B2577)&gt;1,"Duplicado","Único")</f>
        <v>Único</v>
      </c>
    </row>
    <row r="2578" spans="1:5" hidden="1" x14ac:dyDescent="0.25">
      <c r="A2578" s="15">
        <v>2810</v>
      </c>
      <c r="B2578" s="7">
        <v>14883204</v>
      </c>
      <c r="C2578" s="11">
        <v>46050.464409722197</v>
      </c>
      <c r="D2578" s="17" t="s">
        <v>3256</v>
      </c>
      <c r="E2578" t="str">
        <f>IF(COUNTIF($B$2:B2578,B2578)&gt;1,"Duplicado","Único")</f>
        <v>Duplicado</v>
      </c>
    </row>
    <row r="2579" spans="1:5" x14ac:dyDescent="0.25">
      <c r="A2579" s="15">
        <v>2975</v>
      </c>
      <c r="B2579" s="7">
        <v>14885672</v>
      </c>
      <c r="C2579" s="11">
        <v>46086.728437500002</v>
      </c>
      <c r="D2579" s="17" t="s">
        <v>3912</v>
      </c>
      <c r="E2579" t="str">
        <f>IF(COUNTIF($B$2:B2579,B2579)&gt;1,"Duplicado","Único")</f>
        <v>Único</v>
      </c>
    </row>
    <row r="2580" spans="1:5" hidden="1" x14ac:dyDescent="0.25">
      <c r="A2580" s="15">
        <v>2975</v>
      </c>
      <c r="B2580" s="7">
        <v>14885672</v>
      </c>
      <c r="C2580" s="11">
        <v>46050.672037037002</v>
      </c>
      <c r="D2580" s="17" t="s">
        <v>3387</v>
      </c>
      <c r="E2580" t="str">
        <f>IF(COUNTIF($B$2:B2580,B2580)&gt;1,"Duplicado","Único")</f>
        <v>Duplicado</v>
      </c>
    </row>
    <row r="2581" spans="1:5" x14ac:dyDescent="0.25">
      <c r="A2581" s="15">
        <v>30662</v>
      </c>
      <c r="B2581" s="7">
        <v>14897746</v>
      </c>
      <c r="C2581" s="11">
        <v>45901.452870370398</v>
      </c>
      <c r="D2581" s="17" t="s">
        <v>1473</v>
      </c>
      <c r="E2581" t="str">
        <f>IF(COUNTIF($B$2:B2581,B2581)&gt;1,"Duplicado","Único")</f>
        <v>Único</v>
      </c>
    </row>
    <row r="2582" spans="1:5" x14ac:dyDescent="0.25">
      <c r="A2582" s="15">
        <v>16447</v>
      </c>
      <c r="B2582" s="7">
        <v>15186482</v>
      </c>
      <c r="C2582" s="11">
        <v>46121.395601851902</v>
      </c>
      <c r="D2582" s="17" t="s">
        <v>4351</v>
      </c>
      <c r="E2582" t="str">
        <f>IF(COUNTIF($B$2:B2582,B2582)&gt;1,"Duplicado","Único")</f>
        <v>Único</v>
      </c>
    </row>
    <row r="2583" spans="1:5" hidden="1" x14ac:dyDescent="0.25">
      <c r="A2583" s="15">
        <v>16447</v>
      </c>
      <c r="B2583" s="7">
        <v>15186482</v>
      </c>
      <c r="C2583" s="11">
        <v>46101.817175925898</v>
      </c>
      <c r="D2583" s="17" t="s">
        <v>4147</v>
      </c>
      <c r="E2583" t="str">
        <f>IF(COUNTIF($B$2:B2583,B2583)&gt;1,"Duplicado","Único")</f>
        <v>Duplicado</v>
      </c>
    </row>
    <row r="2584" spans="1:5" x14ac:dyDescent="0.25">
      <c r="A2584" s="15">
        <v>16197</v>
      </c>
      <c r="B2584" s="7">
        <v>15338579</v>
      </c>
      <c r="C2584" s="11">
        <v>46121.402245370402</v>
      </c>
      <c r="D2584" s="17" t="s">
        <v>4352</v>
      </c>
      <c r="E2584" t="str">
        <f>IF(COUNTIF($B$2:B2584,B2584)&gt;1,"Duplicado","Único")</f>
        <v>Único</v>
      </c>
    </row>
    <row r="2585" spans="1:5" hidden="1" x14ac:dyDescent="0.25">
      <c r="A2585" s="15">
        <v>16197</v>
      </c>
      <c r="B2585" s="7">
        <v>15338579</v>
      </c>
      <c r="C2585" s="11">
        <v>46101.804479166698</v>
      </c>
      <c r="D2585" s="17" t="s">
        <v>4134</v>
      </c>
      <c r="E2585" t="str">
        <f>IF(COUNTIF($B$2:B2585,B2585)&gt;1,"Duplicado","Único")</f>
        <v>Duplicado</v>
      </c>
    </row>
    <row r="2586" spans="1:5" x14ac:dyDescent="0.25">
      <c r="A2586" s="15">
        <v>42305</v>
      </c>
      <c r="B2586" s="7">
        <v>15349014</v>
      </c>
      <c r="C2586" s="11">
        <v>45951.605196759301</v>
      </c>
      <c r="D2586" s="17" t="s">
        <v>2020</v>
      </c>
      <c r="E2586" t="str">
        <f>IF(COUNTIF($B$2:B2586,B2586)&gt;1,"Duplicado","Único")</f>
        <v>Único</v>
      </c>
    </row>
    <row r="2587" spans="1:5" x14ac:dyDescent="0.25">
      <c r="A2587" s="15">
        <v>1890</v>
      </c>
      <c r="B2587" s="7">
        <v>15374329</v>
      </c>
      <c r="C2587" s="11">
        <v>46086.693414351903</v>
      </c>
      <c r="D2587" s="17" t="s">
        <v>3880</v>
      </c>
      <c r="E2587" t="str">
        <f>IF(COUNTIF($B$2:B2587,B2587)&gt;1,"Duplicado","Único")</f>
        <v>Único</v>
      </c>
    </row>
    <row r="2588" spans="1:5" hidden="1" x14ac:dyDescent="0.25">
      <c r="A2588" s="15">
        <v>1890</v>
      </c>
      <c r="B2588" s="7">
        <v>15374329</v>
      </c>
      <c r="C2588" s="11">
        <v>46048.504456018498</v>
      </c>
      <c r="D2588" s="17" t="s">
        <v>3200</v>
      </c>
      <c r="E2588" t="str">
        <f>IF(COUNTIF($B$2:B2588,B2588)&gt;1,"Duplicado","Único")</f>
        <v>Duplicado</v>
      </c>
    </row>
    <row r="2589" spans="1:5" x14ac:dyDescent="0.25">
      <c r="A2589" s="15">
        <v>51280</v>
      </c>
      <c r="B2589" s="7">
        <v>15378643</v>
      </c>
      <c r="C2589" s="11">
        <v>46050.694062499999</v>
      </c>
      <c r="D2589" s="17" t="s">
        <v>3414</v>
      </c>
      <c r="E2589" t="str">
        <f>IF(COUNTIF($B$2:B2589,B2589)&gt;1,"Duplicado","Único")</f>
        <v>Único</v>
      </c>
    </row>
    <row r="2590" spans="1:5" hidden="1" x14ac:dyDescent="0.25">
      <c r="A2590" s="15">
        <v>51280</v>
      </c>
      <c r="B2590" s="7">
        <v>15378643</v>
      </c>
      <c r="C2590" s="11">
        <v>46001.503449074102</v>
      </c>
      <c r="D2590" s="17" t="s">
        <v>2863</v>
      </c>
      <c r="E2590" t="str">
        <f>IF(COUNTIF($B$2:B2590,B2590)&gt;1,"Duplicado","Único")</f>
        <v>Duplicado</v>
      </c>
    </row>
    <row r="2591" spans="1:5" x14ac:dyDescent="0.25">
      <c r="A2591" s="15">
        <v>37916</v>
      </c>
      <c r="B2591" s="7">
        <v>15429552</v>
      </c>
      <c r="C2591" s="11">
        <v>45924.3883333333</v>
      </c>
      <c r="D2591" s="17" t="s">
        <v>1802</v>
      </c>
      <c r="E2591" t="str">
        <f>IF(COUNTIF($B$2:B2591,B2591)&gt;1,"Duplicado","Único")</f>
        <v>Único</v>
      </c>
    </row>
    <row r="2592" spans="1:5" x14ac:dyDescent="0.25">
      <c r="A2592" s="15">
        <v>17765</v>
      </c>
      <c r="B2592" s="7">
        <v>15442240</v>
      </c>
      <c r="C2592" s="11">
        <v>46149.430775462999</v>
      </c>
      <c r="D2592" s="17" t="s">
        <v>4469</v>
      </c>
      <c r="E2592" t="str">
        <f>IF(COUNTIF($B$2:B2592,B2592)&gt;1,"Duplicado","Único")</f>
        <v>Único</v>
      </c>
    </row>
    <row r="2593" spans="1:5" hidden="1" x14ac:dyDescent="0.25">
      <c r="A2593" s="15">
        <v>17765</v>
      </c>
      <c r="B2593" s="7">
        <v>15442240</v>
      </c>
      <c r="C2593" s="11">
        <v>46108.481747685197</v>
      </c>
      <c r="D2593" s="17" t="s">
        <v>4190</v>
      </c>
      <c r="E2593" t="str">
        <f>IF(COUNTIF($B$2:B2593,B2593)&gt;1,"Duplicado","Único")</f>
        <v>Duplicado</v>
      </c>
    </row>
    <row r="2594" spans="1:5" x14ac:dyDescent="0.25">
      <c r="A2594" s="15">
        <v>31426</v>
      </c>
      <c r="B2594" s="7">
        <v>15459479</v>
      </c>
      <c r="C2594" s="11">
        <v>45904.630891203698</v>
      </c>
      <c r="D2594" s="17" t="s">
        <v>1527</v>
      </c>
      <c r="E2594" t="str">
        <f>IF(COUNTIF($B$2:B2594,B2594)&gt;1,"Duplicado","Único")</f>
        <v>Único</v>
      </c>
    </row>
    <row r="2595" spans="1:5" x14ac:dyDescent="0.25">
      <c r="A2595" s="15">
        <v>15250</v>
      </c>
      <c r="B2595" s="7">
        <v>15515098</v>
      </c>
      <c r="C2595" s="11">
        <v>46120.5129282407</v>
      </c>
      <c r="D2595" s="17" t="s">
        <v>4285</v>
      </c>
      <c r="E2595" t="str">
        <f>IF(COUNTIF($B$2:B2595,B2595)&gt;1,"Duplicado","Único")</f>
        <v>Único</v>
      </c>
    </row>
    <row r="2596" spans="1:5" hidden="1" x14ac:dyDescent="0.25">
      <c r="A2596" s="15">
        <v>15250</v>
      </c>
      <c r="B2596" s="7">
        <v>15515098</v>
      </c>
      <c r="C2596" s="11">
        <v>46094.510023148097</v>
      </c>
      <c r="D2596" s="17" t="s">
        <v>4074</v>
      </c>
      <c r="E2596" t="str">
        <f>IF(COUNTIF($B$2:B2596,B2596)&gt;1,"Duplicado","Único")</f>
        <v>Duplicado</v>
      </c>
    </row>
    <row r="2597" spans="1:5" x14ac:dyDescent="0.25">
      <c r="A2597" s="15">
        <v>21923</v>
      </c>
      <c r="B2597" s="7">
        <v>15703912</v>
      </c>
      <c r="C2597" s="11">
        <v>45834.5261805556</v>
      </c>
      <c r="D2597" s="17" t="s">
        <v>974</v>
      </c>
      <c r="E2597" t="str">
        <f>IF(COUNTIF($B$2:B2597,B2597)&gt;1,"Duplicado","Único")</f>
        <v>Único</v>
      </c>
    </row>
    <row r="2598" spans="1:5" x14ac:dyDescent="0.25">
      <c r="A2598" s="15">
        <v>23112</v>
      </c>
      <c r="B2598" s="7">
        <v>15816479</v>
      </c>
      <c r="C2598" s="11">
        <v>45835.720081018502</v>
      </c>
      <c r="D2598" s="17" t="s">
        <v>1000</v>
      </c>
      <c r="E2598" t="str">
        <f>IF(COUNTIF($B$2:B2598,B2598)&gt;1,"Duplicado","Único")</f>
        <v>Único</v>
      </c>
    </row>
    <row r="2599" spans="1:5" x14ac:dyDescent="0.25">
      <c r="A2599" s="15">
        <v>47741</v>
      </c>
      <c r="B2599" s="7">
        <v>15922667</v>
      </c>
      <c r="C2599" s="11">
        <v>45973.649282407401</v>
      </c>
      <c r="D2599" s="17" t="s">
        <v>2459</v>
      </c>
      <c r="E2599" t="str">
        <f>IF(COUNTIF($B$2:B2599,B2599)&gt;1,"Duplicado","Único")</f>
        <v>Único</v>
      </c>
    </row>
    <row r="2600" spans="1:5" x14ac:dyDescent="0.25">
      <c r="A2600" s="15">
        <v>38138</v>
      </c>
      <c r="B2600" s="7">
        <v>15932574</v>
      </c>
      <c r="C2600" s="11">
        <v>45925.352337962999</v>
      </c>
      <c r="D2600" s="17" t="s">
        <v>1817</v>
      </c>
      <c r="E2600" t="str">
        <f>IF(COUNTIF($B$2:B2600,B2600)&gt;1,"Duplicado","Único")</f>
        <v>Único</v>
      </c>
    </row>
    <row r="2601" spans="1:5" x14ac:dyDescent="0.25">
      <c r="A2601" s="15">
        <v>51054</v>
      </c>
      <c r="B2601" s="7">
        <v>16070652</v>
      </c>
      <c r="C2601" s="11">
        <v>46050.680775462999</v>
      </c>
      <c r="D2601" s="17" t="s">
        <v>3399</v>
      </c>
      <c r="E2601" t="str">
        <f>IF(COUNTIF($B$2:B2601,B2601)&gt;1,"Duplicado","Único")</f>
        <v>Único</v>
      </c>
    </row>
    <row r="2602" spans="1:5" hidden="1" x14ac:dyDescent="0.25">
      <c r="A2602" s="15">
        <v>51054</v>
      </c>
      <c r="B2602" s="7">
        <v>16070652</v>
      </c>
      <c r="C2602" s="11">
        <v>46000.6399537037</v>
      </c>
      <c r="D2602" s="17" t="s">
        <v>2843</v>
      </c>
      <c r="E2602" t="str">
        <f>IF(COUNTIF($B$2:B2602,B2602)&gt;1,"Duplicado","Único")</f>
        <v>Duplicado</v>
      </c>
    </row>
    <row r="2603" spans="1:5" x14ac:dyDescent="0.25">
      <c r="A2603" s="15">
        <v>2919</v>
      </c>
      <c r="B2603" s="7">
        <v>16185278</v>
      </c>
      <c r="C2603" s="11">
        <v>46086.7289930556</v>
      </c>
      <c r="D2603" s="17" t="s">
        <v>3913</v>
      </c>
      <c r="E2603" t="str">
        <f>IF(COUNTIF($B$2:B2603,B2603)&gt;1,"Duplicado","Único")</f>
        <v>Único</v>
      </c>
    </row>
    <row r="2604" spans="1:5" hidden="1" x14ac:dyDescent="0.25">
      <c r="A2604" s="15">
        <v>2919</v>
      </c>
      <c r="B2604" s="7">
        <v>16185278</v>
      </c>
      <c r="C2604" s="11">
        <v>46050.606030092596</v>
      </c>
      <c r="D2604" s="17" t="s">
        <v>3307</v>
      </c>
      <c r="E2604" t="str">
        <f>IF(COUNTIF($B$2:B2604,B2604)&gt;1,"Duplicado","Único")</f>
        <v>Duplicado</v>
      </c>
    </row>
    <row r="2605" spans="1:5" x14ac:dyDescent="0.25">
      <c r="A2605" s="15">
        <v>28955</v>
      </c>
      <c r="B2605" s="7">
        <v>16285851</v>
      </c>
      <c r="C2605" s="11">
        <v>45890.653912037</v>
      </c>
      <c r="D2605" s="17" t="s">
        <v>1369</v>
      </c>
      <c r="E2605" t="str">
        <f>IF(COUNTIF($B$2:B2605,B2605)&gt;1,"Duplicado","Único")</f>
        <v>Único</v>
      </c>
    </row>
    <row r="2606" spans="1:5" x14ac:dyDescent="0.25">
      <c r="A2606" s="15">
        <v>48988</v>
      </c>
      <c r="B2606" s="7">
        <v>16343904</v>
      </c>
      <c r="C2606" s="11">
        <v>45980.401643518497</v>
      </c>
      <c r="D2606" s="17" t="s">
        <v>2600</v>
      </c>
      <c r="E2606" t="str">
        <f>IF(COUNTIF($B$2:B2606,B2606)&gt;1,"Duplicado","Único")</f>
        <v>Único</v>
      </c>
    </row>
    <row r="2607" spans="1:5" x14ac:dyDescent="0.25">
      <c r="A2607" s="15">
        <v>52641</v>
      </c>
      <c r="B2607" s="7">
        <v>16369609</v>
      </c>
      <c r="C2607" s="11">
        <v>46051.527060185203</v>
      </c>
      <c r="D2607" s="17" t="s">
        <v>3524</v>
      </c>
      <c r="E2607" t="str">
        <f>IF(COUNTIF($B$2:B2607,B2607)&gt;1,"Duplicado","Único")</f>
        <v>Único</v>
      </c>
    </row>
    <row r="2608" spans="1:5" hidden="1" x14ac:dyDescent="0.25">
      <c r="A2608" s="15">
        <v>52641</v>
      </c>
      <c r="B2608" s="7">
        <v>16369609</v>
      </c>
      <c r="C2608" s="11">
        <v>46007.492719907401</v>
      </c>
      <c r="D2608" s="17" t="s">
        <v>2949</v>
      </c>
      <c r="E2608" t="str">
        <f>IF(COUNTIF($B$2:B2608,B2608)&gt;1,"Duplicado","Único")</f>
        <v>Duplicado</v>
      </c>
    </row>
    <row r="2609" spans="1:5" x14ac:dyDescent="0.25">
      <c r="A2609" s="15">
        <v>30966</v>
      </c>
      <c r="B2609" s="7">
        <v>16375487</v>
      </c>
      <c r="C2609" s="11">
        <v>45911.4367361111</v>
      </c>
      <c r="D2609" s="17" t="s">
        <v>1665</v>
      </c>
      <c r="E2609" t="str">
        <f>IF(COUNTIF($B$2:B2609,B2609)&gt;1,"Duplicado","Único")</f>
        <v>Único</v>
      </c>
    </row>
    <row r="2610" spans="1:5" x14ac:dyDescent="0.25">
      <c r="A2610" s="15">
        <v>22466</v>
      </c>
      <c r="B2610" s="7">
        <v>16377847</v>
      </c>
      <c r="C2610" s="11">
        <v>45841.652731481503</v>
      </c>
      <c r="D2610" s="17" t="s">
        <v>1013</v>
      </c>
      <c r="E2610" t="str">
        <f>IF(COUNTIF($B$2:B2610,B2610)&gt;1,"Duplicado","Único")</f>
        <v>Único</v>
      </c>
    </row>
    <row r="2611" spans="1:5" x14ac:dyDescent="0.25">
      <c r="A2611" s="15">
        <v>31123</v>
      </c>
      <c r="B2611" s="7">
        <v>16458340</v>
      </c>
      <c r="C2611" s="11">
        <v>45903.670034722199</v>
      </c>
      <c r="D2611" s="17" t="s">
        <v>1510</v>
      </c>
      <c r="E2611" t="str">
        <f>IF(COUNTIF($B$2:B2611,B2611)&gt;1,"Duplicado","Único")</f>
        <v>Único</v>
      </c>
    </row>
    <row r="2612" spans="1:5" x14ac:dyDescent="0.25">
      <c r="A2612" s="15">
        <v>15382</v>
      </c>
      <c r="B2612" s="7">
        <v>16677472</v>
      </c>
      <c r="C2612" s="11">
        <v>46120.513796296298</v>
      </c>
      <c r="D2612" s="17" t="s">
        <v>4286</v>
      </c>
      <c r="E2612" t="str">
        <f>IF(COUNTIF($B$2:B2612,B2612)&gt;1,"Duplicado","Único")</f>
        <v>Único</v>
      </c>
    </row>
    <row r="2613" spans="1:5" hidden="1" x14ac:dyDescent="0.25">
      <c r="A2613" s="15">
        <v>15382</v>
      </c>
      <c r="B2613" s="7">
        <v>16677472</v>
      </c>
      <c r="C2613" s="11">
        <v>46094.454282407401</v>
      </c>
      <c r="D2613" s="17" t="s">
        <v>4033</v>
      </c>
      <c r="E2613" t="str">
        <f>IF(COUNTIF($B$2:B2613,B2613)&gt;1,"Duplicado","Único")</f>
        <v>Duplicado</v>
      </c>
    </row>
    <row r="2614" spans="1:5" x14ac:dyDescent="0.25">
      <c r="A2614" s="15">
        <v>49255</v>
      </c>
      <c r="B2614" s="7">
        <v>16709298</v>
      </c>
      <c r="C2614" s="11">
        <v>45981.422719907401</v>
      </c>
      <c r="D2614" s="17" t="s">
        <v>2636</v>
      </c>
      <c r="E2614" t="str">
        <f>IF(COUNTIF($B$2:B2614,B2614)&gt;1,"Duplicado","Único")</f>
        <v>Único</v>
      </c>
    </row>
    <row r="2615" spans="1:5" x14ac:dyDescent="0.25">
      <c r="A2615" s="15">
        <v>46339</v>
      </c>
      <c r="B2615" s="7">
        <v>16730080</v>
      </c>
      <c r="C2615" s="11">
        <v>45965.503784722197</v>
      </c>
      <c r="D2615" s="17" t="s">
        <v>2313</v>
      </c>
      <c r="E2615" t="str">
        <f>IF(COUNTIF($B$2:B2615,B2615)&gt;1,"Duplicado","Único")</f>
        <v>Único</v>
      </c>
    </row>
    <row r="2616" spans="1:5" x14ac:dyDescent="0.25">
      <c r="A2616" s="15">
        <v>27747</v>
      </c>
      <c r="B2616" s="7">
        <v>16764391</v>
      </c>
      <c r="C2616" s="11">
        <v>45890.733668981498</v>
      </c>
      <c r="D2616" s="17" t="s">
        <v>1378</v>
      </c>
      <c r="E2616" t="str">
        <f>IF(COUNTIF($B$2:B2616,B2616)&gt;1,"Duplicado","Único")</f>
        <v>Único</v>
      </c>
    </row>
    <row r="2617" spans="1:5" hidden="1" x14ac:dyDescent="0.25">
      <c r="A2617" s="15">
        <v>27747</v>
      </c>
      <c r="B2617" s="7">
        <v>16764391</v>
      </c>
      <c r="C2617" s="11">
        <v>45884.371967592597</v>
      </c>
      <c r="D2617" s="17" t="s">
        <v>1301</v>
      </c>
      <c r="E2617" t="str">
        <f>IF(COUNTIF($B$2:B2617,B2617)&gt;1,"Duplicado","Único")</f>
        <v>Duplicado</v>
      </c>
    </row>
    <row r="2618" spans="1:5" x14ac:dyDescent="0.25">
      <c r="A2618" s="15">
        <v>45256</v>
      </c>
      <c r="B2618" s="7">
        <v>16785971</v>
      </c>
      <c r="C2618" s="11">
        <v>45958.746122685203</v>
      </c>
      <c r="D2618" s="17" t="s">
        <v>2201</v>
      </c>
      <c r="E2618" t="str">
        <f>IF(COUNTIF($B$2:B2618,B2618)&gt;1,"Duplicado","Único")</f>
        <v>Único</v>
      </c>
    </row>
    <row r="2619" spans="1:5" x14ac:dyDescent="0.25">
      <c r="A2619" s="15">
        <v>48017</v>
      </c>
      <c r="B2619" s="7">
        <v>16835419</v>
      </c>
      <c r="C2619" s="11">
        <v>45974.382476851897</v>
      </c>
      <c r="D2619" s="17" t="s">
        <v>2490</v>
      </c>
      <c r="E2619" t="str">
        <f>IF(COUNTIF($B$2:B2619,B2619)&gt;1,"Duplicado","Único")</f>
        <v>Único</v>
      </c>
    </row>
    <row r="2620" spans="1:5" x14ac:dyDescent="0.25">
      <c r="A2620" s="15">
        <v>2963</v>
      </c>
      <c r="B2620" s="7">
        <v>16842979</v>
      </c>
      <c r="C2620" s="11">
        <v>46086.730486111097</v>
      </c>
      <c r="D2620" s="17" t="s">
        <v>3914</v>
      </c>
      <c r="E2620" t="str">
        <f>IF(COUNTIF($B$2:B2620,B2620)&gt;1,"Duplicado","Único")</f>
        <v>Único</v>
      </c>
    </row>
    <row r="2621" spans="1:5" hidden="1" x14ac:dyDescent="0.25">
      <c r="A2621" s="15">
        <v>2963</v>
      </c>
      <c r="B2621" s="7">
        <v>16842979</v>
      </c>
      <c r="C2621" s="11">
        <v>46050.612789351799</v>
      </c>
      <c r="D2621" s="17" t="s">
        <v>3322</v>
      </c>
      <c r="E2621" t="str">
        <f>IF(COUNTIF($B$2:B2621,B2621)&gt;1,"Duplicado","Único")</f>
        <v>Duplicado</v>
      </c>
    </row>
    <row r="2622" spans="1:5" x14ac:dyDescent="0.25">
      <c r="A2622" s="15">
        <v>52701</v>
      </c>
      <c r="B2622" s="7">
        <v>16848055</v>
      </c>
      <c r="C2622" s="11">
        <v>46051.605428240699</v>
      </c>
      <c r="D2622" s="17" t="s">
        <v>3537</v>
      </c>
      <c r="E2622" t="str">
        <f>IF(COUNTIF($B$2:B2622,B2622)&gt;1,"Duplicado","Único")</f>
        <v>Único</v>
      </c>
    </row>
    <row r="2623" spans="1:5" hidden="1" x14ac:dyDescent="0.25">
      <c r="A2623" s="15">
        <v>52701</v>
      </c>
      <c r="B2623" s="7">
        <v>16848055</v>
      </c>
      <c r="C2623" s="11">
        <v>46009.370648148099</v>
      </c>
      <c r="D2623" s="17" t="s">
        <v>2957</v>
      </c>
      <c r="E2623" t="str">
        <f>IF(COUNTIF($B$2:B2623,B2623)&gt;1,"Duplicado","Único")</f>
        <v>Duplicado</v>
      </c>
    </row>
    <row r="2624" spans="1:5" x14ac:dyDescent="0.25">
      <c r="A2624" s="15">
        <v>53188</v>
      </c>
      <c r="B2624" s="7">
        <v>16919570</v>
      </c>
      <c r="C2624" s="11">
        <v>46057.359027777798</v>
      </c>
      <c r="D2624" s="17" t="s">
        <v>3643</v>
      </c>
      <c r="E2624" t="str">
        <f>IF(COUNTIF($B$2:B2624,B2624)&gt;1,"Duplicado","Único")</f>
        <v>Único</v>
      </c>
    </row>
    <row r="2625" spans="1:5" hidden="1" x14ac:dyDescent="0.25">
      <c r="A2625" s="15">
        <v>53188</v>
      </c>
      <c r="B2625" s="7">
        <v>16919570</v>
      </c>
      <c r="C2625" s="11">
        <v>46013.386851851901</v>
      </c>
      <c r="D2625" s="17" t="s">
        <v>3000</v>
      </c>
      <c r="E2625" t="str">
        <f>IF(COUNTIF($B$2:B2625,B2625)&gt;1,"Duplicado","Único")</f>
        <v>Duplicado</v>
      </c>
    </row>
    <row r="2626" spans="1:5" x14ac:dyDescent="0.25">
      <c r="A2626" s="15">
        <v>29401</v>
      </c>
      <c r="B2626" s="7">
        <v>16940143</v>
      </c>
      <c r="C2626" s="11">
        <v>45894.531273148103</v>
      </c>
      <c r="D2626" s="17" t="s">
        <v>1406</v>
      </c>
      <c r="E2626" t="str">
        <f>IF(COUNTIF($B$2:B2626,B2626)&gt;1,"Duplicado","Único")</f>
        <v>Único</v>
      </c>
    </row>
    <row r="2627" spans="1:5" x14ac:dyDescent="0.25">
      <c r="A2627" s="15">
        <v>25560</v>
      </c>
      <c r="B2627" s="7">
        <v>16941609</v>
      </c>
      <c r="C2627" s="11">
        <v>45860.476273148102</v>
      </c>
      <c r="D2627" s="17" t="s">
        <v>1132</v>
      </c>
      <c r="E2627" t="str">
        <f>IF(COUNTIF($B$2:B2627,B2627)&gt;1,"Duplicado","Único")</f>
        <v>Único</v>
      </c>
    </row>
    <row r="2628" spans="1:5" x14ac:dyDescent="0.25">
      <c r="A2628" s="15">
        <v>48756</v>
      </c>
      <c r="B2628" s="7">
        <v>16989195</v>
      </c>
      <c r="C2628" s="11">
        <v>45979.648321759298</v>
      </c>
      <c r="D2628" s="17" t="s">
        <v>2569</v>
      </c>
      <c r="E2628" t="str">
        <f>IF(COUNTIF($B$2:B2628,B2628)&gt;1,"Duplicado","Único")</f>
        <v>Único</v>
      </c>
    </row>
    <row r="2629" spans="1:5" x14ac:dyDescent="0.25">
      <c r="A2629" s="15">
        <v>53423</v>
      </c>
      <c r="B2629" s="7">
        <v>17314408</v>
      </c>
      <c r="C2629" s="11">
        <v>46057.399328703701</v>
      </c>
      <c r="D2629" s="17" t="s">
        <v>3675</v>
      </c>
      <c r="E2629" t="str">
        <f>IF(COUNTIF($B$2:B2629,B2629)&gt;1,"Duplicado","Único")</f>
        <v>Único</v>
      </c>
    </row>
    <row r="2630" spans="1:5" hidden="1" x14ac:dyDescent="0.25">
      <c r="A2630" s="15">
        <v>53423</v>
      </c>
      <c r="B2630" s="7">
        <v>17314408</v>
      </c>
      <c r="C2630" s="11">
        <v>46013.481504629599</v>
      </c>
      <c r="D2630" s="17" t="s">
        <v>3019</v>
      </c>
      <c r="E2630" t="str">
        <f>IF(COUNTIF($B$2:B2630,B2630)&gt;1,"Duplicado","Único")</f>
        <v>Duplicado</v>
      </c>
    </row>
    <row r="2631" spans="1:5" x14ac:dyDescent="0.25">
      <c r="A2631" s="15">
        <v>25180</v>
      </c>
      <c r="B2631" s="7">
        <v>17324022</v>
      </c>
      <c r="C2631" s="11">
        <v>45860.407094907401</v>
      </c>
      <c r="D2631" s="17" t="s">
        <v>1115</v>
      </c>
      <c r="E2631" t="str">
        <f>IF(COUNTIF($B$2:B2631,B2631)&gt;1,"Duplicado","Único")</f>
        <v>Único</v>
      </c>
    </row>
    <row r="2632" spans="1:5" x14ac:dyDescent="0.25">
      <c r="A2632" s="15">
        <v>26469</v>
      </c>
      <c r="B2632" s="7">
        <v>17344181</v>
      </c>
      <c r="C2632" s="11">
        <v>45867.458020833299</v>
      </c>
      <c r="D2632" s="17" t="s">
        <v>1204</v>
      </c>
      <c r="E2632" t="str">
        <f>IF(COUNTIF($B$2:B2632,B2632)&gt;1,"Duplicado","Único")</f>
        <v>Único</v>
      </c>
    </row>
    <row r="2633" spans="1:5" x14ac:dyDescent="0.25">
      <c r="A2633" s="15">
        <v>38191</v>
      </c>
      <c r="B2633" s="7">
        <v>17386629</v>
      </c>
      <c r="C2633" s="11">
        <v>45925.433993055602</v>
      </c>
      <c r="D2633" s="17" t="s">
        <v>1824</v>
      </c>
      <c r="E2633" t="str">
        <f>IF(COUNTIF($B$2:B2633,B2633)&gt;1,"Duplicado","Único")</f>
        <v>Único</v>
      </c>
    </row>
    <row r="2634" spans="1:5" x14ac:dyDescent="0.25">
      <c r="A2634" s="15">
        <v>2431</v>
      </c>
      <c r="B2634" s="7">
        <v>17413104</v>
      </c>
      <c r="C2634" s="11">
        <v>46086.713344907403</v>
      </c>
      <c r="D2634" s="17" t="s">
        <v>3899</v>
      </c>
      <c r="E2634" t="str">
        <f>IF(COUNTIF($B$2:B2634,B2634)&gt;1,"Duplicado","Único")</f>
        <v>Único</v>
      </c>
    </row>
    <row r="2635" spans="1:5" hidden="1" x14ac:dyDescent="0.25">
      <c r="A2635" s="15">
        <v>2431</v>
      </c>
      <c r="B2635" s="7">
        <v>17413104</v>
      </c>
      <c r="C2635" s="11">
        <v>46049.577349537001</v>
      </c>
      <c r="D2635" s="17" t="s">
        <v>3221</v>
      </c>
      <c r="E2635" t="str">
        <f>IF(COUNTIF($B$2:B2635,B2635)&gt;1,"Duplicado","Único")</f>
        <v>Duplicado</v>
      </c>
    </row>
    <row r="2636" spans="1:5" x14ac:dyDescent="0.25">
      <c r="A2636" s="15">
        <v>47853</v>
      </c>
      <c r="B2636" s="7">
        <v>17420641</v>
      </c>
      <c r="C2636" s="11">
        <v>45973.664212962998</v>
      </c>
      <c r="D2636" s="17" t="s">
        <v>2470</v>
      </c>
      <c r="E2636" t="str">
        <f>IF(COUNTIF($B$2:B2636,B2636)&gt;1,"Duplicado","Único")</f>
        <v>Único</v>
      </c>
    </row>
    <row r="2637" spans="1:5" x14ac:dyDescent="0.25">
      <c r="A2637" s="15">
        <v>21706</v>
      </c>
      <c r="B2637" s="7">
        <v>17421953</v>
      </c>
      <c r="C2637" s="11">
        <v>45825.479027777801</v>
      </c>
      <c r="D2637" s="17" t="s">
        <v>952</v>
      </c>
      <c r="E2637" t="str">
        <f>IF(COUNTIF($B$2:B2637,B2637)&gt;1,"Duplicado","Único")</f>
        <v>Único</v>
      </c>
    </row>
    <row r="2638" spans="1:5" x14ac:dyDescent="0.25">
      <c r="A2638" s="15">
        <v>52147</v>
      </c>
      <c r="B2638" s="7">
        <v>17805851</v>
      </c>
      <c r="C2638" s="11">
        <v>46051.508634259299</v>
      </c>
      <c r="D2638" s="17" t="s">
        <v>3508</v>
      </c>
      <c r="E2638" t="str">
        <f>IF(COUNTIF($B$2:B2638,B2638)&gt;1,"Duplicado","Único")</f>
        <v>Único</v>
      </c>
    </row>
    <row r="2639" spans="1:5" hidden="1" x14ac:dyDescent="0.25">
      <c r="A2639" s="15">
        <v>52147</v>
      </c>
      <c r="B2639" s="7">
        <v>17805851</v>
      </c>
      <c r="C2639" s="11">
        <v>46007.457592592596</v>
      </c>
      <c r="D2639" s="17" t="s">
        <v>2937</v>
      </c>
      <c r="E2639" t="str">
        <f>IF(COUNTIF($B$2:B2639,B2639)&gt;1,"Duplicado","Único")</f>
        <v>Duplicado</v>
      </c>
    </row>
    <row r="2640" spans="1:5" x14ac:dyDescent="0.25">
      <c r="A2640" s="15">
        <v>52419</v>
      </c>
      <c r="B2640" s="7">
        <v>17975614</v>
      </c>
      <c r="C2640" s="11">
        <v>46052.268229166701</v>
      </c>
      <c r="D2640" s="17" t="s">
        <v>3559</v>
      </c>
      <c r="E2640" t="str">
        <f>IF(COUNTIF($B$2:B2640,B2640)&gt;1,"Duplicado","Único")</f>
        <v>Único</v>
      </c>
    </row>
    <row r="2641" spans="1:5" hidden="1" x14ac:dyDescent="0.25">
      <c r="A2641" s="15">
        <v>52419</v>
      </c>
      <c r="B2641" s="7">
        <v>17975614</v>
      </c>
      <c r="C2641" s="11">
        <v>46009.435694444401</v>
      </c>
      <c r="D2641" s="17" t="s">
        <v>2984</v>
      </c>
      <c r="E2641" t="str">
        <f>IF(COUNTIF($B$2:B2641,B2641)&gt;1,"Duplicado","Único")</f>
        <v>Duplicado</v>
      </c>
    </row>
    <row r="2642" spans="1:5" x14ac:dyDescent="0.25">
      <c r="A2642" s="15">
        <v>30013</v>
      </c>
      <c r="B2642" s="7">
        <v>18157317</v>
      </c>
      <c r="C2642" s="11">
        <v>45898.504629629599</v>
      </c>
      <c r="D2642" s="17" t="s">
        <v>1466</v>
      </c>
      <c r="E2642" t="str">
        <f>IF(COUNTIF($B$2:B2642,B2642)&gt;1,"Duplicado","Único")</f>
        <v>Único</v>
      </c>
    </row>
    <row r="2643" spans="1:5" x14ac:dyDescent="0.25">
      <c r="A2643" s="15">
        <v>47938</v>
      </c>
      <c r="B2643" s="7">
        <v>18391031</v>
      </c>
      <c r="C2643" s="11">
        <v>45973.701932870397</v>
      </c>
      <c r="D2643" s="17" t="s">
        <v>2482</v>
      </c>
      <c r="E2643" t="str">
        <f>IF(COUNTIF($B$2:B2643,B2643)&gt;1,"Duplicado","Único")</f>
        <v>Único</v>
      </c>
    </row>
    <row r="2644" spans="1:5" x14ac:dyDescent="0.25">
      <c r="A2644" s="15">
        <v>14905</v>
      </c>
      <c r="B2644" s="7">
        <v>18463533</v>
      </c>
      <c r="C2644" s="11">
        <v>46120.5143171296</v>
      </c>
      <c r="D2644" s="17" t="s">
        <v>4287</v>
      </c>
      <c r="E2644" t="str">
        <f>IF(COUNTIF($B$2:B2644,B2644)&gt;1,"Duplicado","Único")</f>
        <v>Único</v>
      </c>
    </row>
    <row r="2645" spans="1:5" hidden="1" x14ac:dyDescent="0.25">
      <c r="A2645" s="15">
        <v>14905</v>
      </c>
      <c r="B2645" s="7">
        <v>18463533</v>
      </c>
      <c r="C2645" s="11">
        <v>46094.489525463003</v>
      </c>
      <c r="D2645" s="17" t="s">
        <v>4048</v>
      </c>
      <c r="E2645" t="str">
        <f>IF(COUNTIF($B$2:B2645,B2645)&gt;1,"Duplicado","Único")</f>
        <v>Duplicado</v>
      </c>
    </row>
    <row r="2646" spans="1:5" x14ac:dyDescent="0.25">
      <c r="A2646" s="15">
        <v>16063</v>
      </c>
      <c r="B2646" s="7">
        <v>18493774</v>
      </c>
      <c r="C2646" s="11">
        <v>46121.403113425898</v>
      </c>
      <c r="D2646" s="17" t="s">
        <v>4353</v>
      </c>
      <c r="E2646" t="str">
        <f>IF(COUNTIF($B$2:B2646,B2646)&gt;1,"Duplicado","Único")</f>
        <v>Único</v>
      </c>
    </row>
    <row r="2647" spans="1:5" hidden="1" x14ac:dyDescent="0.25">
      <c r="A2647" s="15">
        <v>16063</v>
      </c>
      <c r="B2647" s="7">
        <v>18493774</v>
      </c>
      <c r="C2647" s="11">
        <v>46101.713553240697</v>
      </c>
      <c r="D2647" s="17" t="s">
        <v>4126</v>
      </c>
      <c r="E2647" t="str">
        <f>IF(COUNTIF($B$2:B2647,B2647)&gt;1,"Duplicado","Único")</f>
        <v>Duplicado</v>
      </c>
    </row>
    <row r="2648" spans="1:5" x14ac:dyDescent="0.25">
      <c r="A2648" s="15">
        <v>13460</v>
      </c>
      <c r="B2648" s="7">
        <v>18497207</v>
      </c>
      <c r="C2648" s="11">
        <v>46149.651539351798</v>
      </c>
      <c r="D2648" s="17" t="s">
        <v>4549</v>
      </c>
      <c r="E2648" t="str">
        <f>IF(COUNTIF($B$2:B2648,B2648)&gt;1,"Duplicado","Único")</f>
        <v>Único</v>
      </c>
    </row>
    <row r="2649" spans="1:5" hidden="1" x14ac:dyDescent="0.25">
      <c r="A2649" s="15">
        <v>13460</v>
      </c>
      <c r="B2649" s="7">
        <v>18497207</v>
      </c>
      <c r="C2649" s="11">
        <v>46084.476168981499</v>
      </c>
      <c r="D2649" s="17" t="s">
        <v>3773</v>
      </c>
      <c r="E2649" t="str">
        <f>IF(COUNTIF($B$2:B2649,B2649)&gt;1,"Duplicado","Único")</f>
        <v>Duplicado</v>
      </c>
    </row>
    <row r="2650" spans="1:5" x14ac:dyDescent="0.25">
      <c r="A2650" s="15">
        <v>17635</v>
      </c>
      <c r="B2650" s="7">
        <v>18507721</v>
      </c>
      <c r="C2650" s="11">
        <v>46149.431226851899</v>
      </c>
      <c r="D2650" s="17" t="s">
        <v>4470</v>
      </c>
      <c r="E2650" t="str">
        <f>IF(COUNTIF($B$2:B2650,B2650)&gt;1,"Duplicado","Único")</f>
        <v>Único</v>
      </c>
    </row>
    <row r="2651" spans="1:5" hidden="1" x14ac:dyDescent="0.25">
      <c r="A2651" s="15">
        <v>17635</v>
      </c>
      <c r="B2651" s="7">
        <v>18507721</v>
      </c>
      <c r="C2651" s="11">
        <v>46108.781458333302</v>
      </c>
      <c r="D2651" s="17" t="s">
        <v>1148</v>
      </c>
      <c r="E2651" t="str">
        <f>IF(COUNTIF($B$2:B2651,B2651)&gt;1,"Duplicado","Único")</f>
        <v>Duplicado</v>
      </c>
    </row>
    <row r="2652" spans="1:5" x14ac:dyDescent="0.25">
      <c r="A2652" s="15">
        <v>48563</v>
      </c>
      <c r="B2652" s="7">
        <v>18519757</v>
      </c>
      <c r="C2652" s="11">
        <v>45979.514328703699</v>
      </c>
      <c r="D2652" s="17" t="s">
        <v>2560</v>
      </c>
      <c r="E2652" t="str">
        <f>IF(COUNTIF($B$2:B2652,B2652)&gt;1,"Duplicado","Único")</f>
        <v>Único</v>
      </c>
    </row>
    <row r="2653" spans="1:5" x14ac:dyDescent="0.25">
      <c r="A2653" s="15">
        <v>38006</v>
      </c>
      <c r="B2653" s="7">
        <v>18761763</v>
      </c>
      <c r="C2653" s="11">
        <v>45924.419317129599</v>
      </c>
      <c r="D2653" s="17" t="s">
        <v>1805</v>
      </c>
      <c r="E2653" t="str">
        <f>IF(COUNTIF($B$2:B2653,B2653)&gt;1,"Duplicado","Único")</f>
        <v>Único</v>
      </c>
    </row>
    <row r="2654" spans="1:5" x14ac:dyDescent="0.25">
      <c r="A2654" s="15">
        <v>49013</v>
      </c>
      <c r="B2654" s="7">
        <v>18904542</v>
      </c>
      <c r="C2654" s="11">
        <v>45980.418877314798</v>
      </c>
      <c r="D2654" s="17" t="s">
        <v>2605</v>
      </c>
      <c r="E2654" t="str">
        <f>IF(COUNTIF($B$2:B2654,B2654)&gt;1,"Duplicado","Único")</f>
        <v>Único</v>
      </c>
    </row>
    <row r="2655" spans="1:5" x14ac:dyDescent="0.25">
      <c r="A2655" s="15">
        <v>33107</v>
      </c>
      <c r="B2655" s="7">
        <v>18918566</v>
      </c>
      <c r="C2655" s="11">
        <v>45912.5081712963</v>
      </c>
      <c r="D2655" s="17" t="s">
        <v>1675</v>
      </c>
      <c r="E2655" t="str">
        <f>IF(COUNTIF($B$2:B2655,B2655)&gt;1,"Duplicado","Único")</f>
        <v>Único</v>
      </c>
    </row>
    <row r="2656" spans="1:5" x14ac:dyDescent="0.25">
      <c r="A2656" s="15">
        <v>51153</v>
      </c>
      <c r="B2656" s="7">
        <v>18929753</v>
      </c>
      <c r="C2656" s="11">
        <v>46050.694780092599</v>
      </c>
      <c r="D2656" s="17" t="s">
        <v>3415</v>
      </c>
      <c r="E2656" t="str">
        <f>IF(COUNTIF($B$2:B2656,B2656)&gt;1,"Duplicado","Único")</f>
        <v>Único</v>
      </c>
    </row>
    <row r="2657" spans="1:5" hidden="1" x14ac:dyDescent="0.25">
      <c r="A2657" s="15">
        <v>51153</v>
      </c>
      <c r="B2657" s="7">
        <v>18929753</v>
      </c>
      <c r="C2657" s="11">
        <v>46001.440763888902</v>
      </c>
      <c r="D2657" s="17" t="s">
        <v>2851</v>
      </c>
      <c r="E2657" t="str">
        <f>IF(COUNTIF($B$2:B2657,B2657)&gt;1,"Duplicado","Único")</f>
        <v>Duplicado</v>
      </c>
    </row>
    <row r="2658" spans="1:5" x14ac:dyDescent="0.25">
      <c r="A2658" s="15">
        <v>48785</v>
      </c>
      <c r="B2658" s="7">
        <v>18958578</v>
      </c>
      <c r="C2658" s="11">
        <v>45979.691736111097</v>
      </c>
      <c r="D2658" s="17" t="s">
        <v>2571</v>
      </c>
      <c r="E2658" t="str">
        <f>IF(COUNTIF($B$2:B2658,B2658)&gt;1,"Duplicado","Único")</f>
        <v>Único</v>
      </c>
    </row>
    <row r="2659" spans="1:5" x14ac:dyDescent="0.25">
      <c r="A2659" s="15">
        <v>43901</v>
      </c>
      <c r="B2659" s="7">
        <v>19058101</v>
      </c>
      <c r="C2659" s="11">
        <v>45957.717430555596</v>
      </c>
      <c r="D2659" s="17" t="s">
        <v>2099</v>
      </c>
      <c r="E2659" t="str">
        <f>IF(COUNTIF($B$2:B2659,B2659)&gt;1,"Duplicado","Único")</f>
        <v>Único</v>
      </c>
    </row>
    <row r="2660" spans="1:5" x14ac:dyDescent="0.25">
      <c r="A2660" s="15">
        <v>30768</v>
      </c>
      <c r="B2660" s="7">
        <v>19065547</v>
      </c>
      <c r="C2660" s="11">
        <v>45901.499351851897</v>
      </c>
      <c r="D2660" s="17" t="s">
        <v>1483</v>
      </c>
      <c r="E2660" t="str">
        <f>IF(COUNTIF($B$2:B2660,B2660)&gt;1,"Duplicado","Único")</f>
        <v>Único</v>
      </c>
    </row>
    <row r="2661" spans="1:5" x14ac:dyDescent="0.25">
      <c r="A2661" s="15">
        <v>41483</v>
      </c>
      <c r="B2661" s="7">
        <v>19108314</v>
      </c>
      <c r="C2661" s="11">
        <v>45938.418356481503</v>
      </c>
      <c r="D2661" s="17" t="s">
        <v>1980</v>
      </c>
      <c r="E2661" t="str">
        <f>IF(COUNTIF($B$2:B2661,B2661)&gt;1,"Duplicado","Único")</f>
        <v>Único</v>
      </c>
    </row>
    <row r="2662" spans="1:5" x14ac:dyDescent="0.25">
      <c r="A2662" s="15">
        <v>31921</v>
      </c>
      <c r="B2662" s="7">
        <v>19152577</v>
      </c>
      <c r="C2662" s="11">
        <v>45905.666261574101</v>
      </c>
      <c r="D2662" s="17" t="s">
        <v>1573</v>
      </c>
      <c r="E2662" t="str">
        <f>IF(COUNTIF($B$2:B2662,B2662)&gt;1,"Duplicado","Único")</f>
        <v>Único</v>
      </c>
    </row>
    <row r="2663" spans="1:5" x14ac:dyDescent="0.25">
      <c r="A2663" s="15">
        <v>14648</v>
      </c>
      <c r="B2663" s="7">
        <v>19255661</v>
      </c>
      <c r="C2663" s="11">
        <v>46120.4594097222</v>
      </c>
      <c r="D2663" s="17" t="s">
        <v>4253</v>
      </c>
      <c r="E2663" t="str">
        <f>IF(COUNTIF($B$2:B2663,B2663)&gt;1,"Duplicado","Único")</f>
        <v>Único</v>
      </c>
    </row>
    <row r="2664" spans="1:5" hidden="1" x14ac:dyDescent="0.25">
      <c r="A2664" s="15">
        <v>14648</v>
      </c>
      <c r="B2664" s="7">
        <v>19255661</v>
      </c>
      <c r="C2664" s="11">
        <v>46090.687847222202</v>
      </c>
      <c r="D2664" s="17" t="s">
        <v>1031</v>
      </c>
      <c r="E2664" t="str">
        <f>IF(COUNTIF($B$2:B2664,B2664)&gt;1,"Duplicado","Único")</f>
        <v>Duplicado</v>
      </c>
    </row>
    <row r="2665" spans="1:5" x14ac:dyDescent="0.25">
      <c r="A2665" s="15">
        <v>24694</v>
      </c>
      <c r="B2665" s="7">
        <v>19268751</v>
      </c>
      <c r="C2665" s="11">
        <v>45933.5932060185</v>
      </c>
      <c r="D2665" s="17" t="s">
        <v>1918</v>
      </c>
      <c r="E2665" t="str">
        <f>IF(COUNTIF($B$2:B2665,B2665)&gt;1,"Duplicado","Único")</f>
        <v>Único</v>
      </c>
    </row>
    <row r="2666" spans="1:5" hidden="1" x14ac:dyDescent="0.25">
      <c r="A2666" s="15">
        <v>24694</v>
      </c>
      <c r="B2666" s="7">
        <v>19268751</v>
      </c>
      <c r="C2666" s="11">
        <v>45859.375173611101</v>
      </c>
      <c r="D2666" s="17" t="s">
        <v>1090</v>
      </c>
      <c r="E2666" t="str">
        <f>IF(COUNTIF($B$2:B2666,B2666)&gt;1,"Duplicado","Único")</f>
        <v>Duplicado</v>
      </c>
    </row>
    <row r="2667" spans="1:5" x14ac:dyDescent="0.25">
      <c r="A2667" s="15">
        <v>51233</v>
      </c>
      <c r="B2667" s="7">
        <v>19271611</v>
      </c>
      <c r="C2667" s="11">
        <v>46051.340509259302</v>
      </c>
      <c r="D2667" s="17" t="s">
        <v>3432</v>
      </c>
      <c r="E2667" t="str">
        <f>IF(COUNTIF($B$2:B2667,B2667)&gt;1,"Duplicado","Único")</f>
        <v>Único</v>
      </c>
    </row>
    <row r="2668" spans="1:5" hidden="1" x14ac:dyDescent="0.25">
      <c r="A2668" s="15">
        <v>51233</v>
      </c>
      <c r="B2668" s="7">
        <v>19271611</v>
      </c>
      <c r="C2668" s="11">
        <v>46002.426377314798</v>
      </c>
      <c r="D2668" s="17" t="s">
        <v>2872</v>
      </c>
      <c r="E2668" t="str">
        <f>IF(COUNTIF($B$2:B2668,B2668)&gt;1,"Duplicado","Único")</f>
        <v>Duplicado</v>
      </c>
    </row>
    <row r="2669" spans="1:5" x14ac:dyDescent="0.25">
      <c r="A2669" s="15">
        <v>44404</v>
      </c>
      <c r="B2669" s="7">
        <v>19279226</v>
      </c>
      <c r="C2669" s="11">
        <v>45958.457523148201</v>
      </c>
      <c r="D2669" s="17" t="s">
        <v>2126</v>
      </c>
      <c r="E2669" t="str">
        <f>IF(COUNTIF($B$2:B2669,B2669)&gt;1,"Duplicado","Único")</f>
        <v>Único</v>
      </c>
    </row>
    <row r="2670" spans="1:5" x14ac:dyDescent="0.25">
      <c r="A2670" s="15">
        <v>47183</v>
      </c>
      <c r="B2670" s="7">
        <v>19289409</v>
      </c>
      <c r="C2670" s="11">
        <v>45968.749421296299</v>
      </c>
      <c r="D2670" s="17" t="s">
        <v>2399</v>
      </c>
      <c r="E2670" t="str">
        <f>IF(COUNTIF($B$2:B2670,B2670)&gt;1,"Duplicado","Único")</f>
        <v>Único</v>
      </c>
    </row>
    <row r="2671" spans="1:5" x14ac:dyDescent="0.25">
      <c r="A2671" s="15">
        <v>32644</v>
      </c>
      <c r="B2671" s="7">
        <v>19314985</v>
      </c>
      <c r="C2671" s="11">
        <v>45909.523240740702</v>
      </c>
      <c r="D2671" s="17" t="s">
        <v>1621</v>
      </c>
      <c r="E2671" t="str">
        <f>IF(COUNTIF($B$2:B2671,B2671)&gt;1,"Duplicado","Único")</f>
        <v>Único</v>
      </c>
    </row>
    <row r="2672" spans="1:5" x14ac:dyDescent="0.25">
      <c r="A2672" s="15">
        <v>49433</v>
      </c>
      <c r="B2672" s="7">
        <v>19358261</v>
      </c>
      <c r="C2672" s="11">
        <v>45981.681122685201</v>
      </c>
      <c r="D2672" s="17" t="s">
        <v>2653</v>
      </c>
      <c r="E2672" t="str">
        <f>IF(COUNTIF($B$2:B2672,B2672)&gt;1,"Duplicado","Único")</f>
        <v>Único</v>
      </c>
    </row>
    <row r="2673" spans="1:5" x14ac:dyDescent="0.25">
      <c r="A2673" s="15">
        <v>31731</v>
      </c>
      <c r="B2673" s="7">
        <v>19362781</v>
      </c>
      <c r="C2673" s="11">
        <v>45904.717511574097</v>
      </c>
      <c r="D2673" s="17" t="s">
        <v>1545</v>
      </c>
      <c r="E2673" t="str">
        <f>IF(COUNTIF($B$2:B2673,B2673)&gt;1,"Duplicado","Único")</f>
        <v>Único</v>
      </c>
    </row>
    <row r="2674" spans="1:5" x14ac:dyDescent="0.25">
      <c r="A2674" s="15">
        <v>49667</v>
      </c>
      <c r="B2674" s="7">
        <v>19372372</v>
      </c>
      <c r="C2674" s="11">
        <v>46050.423715277801</v>
      </c>
      <c r="D2674" s="17" t="s">
        <v>3228</v>
      </c>
      <c r="E2674" t="str">
        <f>IF(COUNTIF($B$2:B2674,B2674)&gt;1,"Duplicado","Único")</f>
        <v>Único</v>
      </c>
    </row>
    <row r="2675" spans="1:5" hidden="1" x14ac:dyDescent="0.25">
      <c r="A2675" s="15">
        <v>49667</v>
      </c>
      <c r="B2675" s="7">
        <v>19372372</v>
      </c>
      <c r="C2675" s="11">
        <v>45985.512118055602</v>
      </c>
      <c r="D2675" s="17" t="s">
        <v>2690</v>
      </c>
      <c r="E2675" t="str">
        <f>IF(COUNTIF($B$2:B2675,B2675)&gt;1,"Duplicado","Único")</f>
        <v>Duplicado</v>
      </c>
    </row>
    <row r="2676" spans="1:5" x14ac:dyDescent="0.25">
      <c r="A2676" s="15">
        <v>54163</v>
      </c>
      <c r="B2676" s="7">
        <v>19418449</v>
      </c>
      <c r="C2676" s="11">
        <v>46057.469699074099</v>
      </c>
      <c r="D2676" s="17" t="s">
        <v>3737</v>
      </c>
      <c r="E2676" t="str">
        <f>IF(COUNTIF($B$2:B2676,B2676)&gt;1,"Duplicado","Único")</f>
        <v>Único</v>
      </c>
    </row>
    <row r="2677" spans="1:5" hidden="1" x14ac:dyDescent="0.25">
      <c r="A2677" s="15">
        <v>54163</v>
      </c>
      <c r="B2677" s="7">
        <v>19418449</v>
      </c>
      <c r="C2677" s="11">
        <v>46013.674525463</v>
      </c>
      <c r="D2677" s="17" t="s">
        <v>3063</v>
      </c>
      <c r="E2677" t="str">
        <f>IF(COUNTIF($B$2:B2677,B2677)&gt;1,"Duplicado","Único")</f>
        <v>Duplicado</v>
      </c>
    </row>
    <row r="2678" spans="1:5" x14ac:dyDescent="0.25">
      <c r="A2678" s="15">
        <v>17255</v>
      </c>
      <c r="B2678" s="7">
        <v>19444266</v>
      </c>
      <c r="C2678" s="11">
        <v>46149.432905092603</v>
      </c>
      <c r="D2678" s="17" t="s">
        <v>4471</v>
      </c>
      <c r="E2678" t="str">
        <f>IF(COUNTIF($B$2:B2678,B2678)&gt;1,"Duplicado","Único")</f>
        <v>Único</v>
      </c>
    </row>
    <row r="2679" spans="1:5" hidden="1" x14ac:dyDescent="0.25">
      <c r="A2679" s="15">
        <v>17255</v>
      </c>
      <c r="B2679" s="7">
        <v>19444266</v>
      </c>
      <c r="C2679" s="11">
        <v>46108.509780092601</v>
      </c>
      <c r="D2679" s="17" t="s">
        <v>4213</v>
      </c>
      <c r="E2679" t="str">
        <f>IF(COUNTIF($B$2:B2679,B2679)&gt;1,"Duplicado","Único")</f>
        <v>Duplicado</v>
      </c>
    </row>
    <row r="2680" spans="1:5" x14ac:dyDescent="0.25">
      <c r="A2680" s="15">
        <v>20212</v>
      </c>
      <c r="B2680" s="7">
        <v>19482499</v>
      </c>
      <c r="C2680" s="11">
        <v>45819.730555555601</v>
      </c>
      <c r="D2680" s="17" t="s">
        <v>866</v>
      </c>
      <c r="E2680" t="str">
        <f>IF(COUNTIF($B$2:B2680,B2680)&gt;1,"Duplicado","Único")</f>
        <v>Único</v>
      </c>
    </row>
    <row r="2681" spans="1:5" x14ac:dyDescent="0.25">
      <c r="A2681" s="15">
        <v>44735</v>
      </c>
      <c r="B2681" s="7">
        <v>19489382</v>
      </c>
      <c r="C2681" s="11">
        <v>45958.609965277799</v>
      </c>
      <c r="D2681" s="17" t="s">
        <v>2161</v>
      </c>
      <c r="E2681" t="str">
        <f>IF(COUNTIF($B$2:B2681,B2681)&gt;1,"Duplicado","Único")</f>
        <v>Único</v>
      </c>
    </row>
    <row r="2682" spans="1:5" x14ac:dyDescent="0.25">
      <c r="A2682" s="15">
        <v>25188</v>
      </c>
      <c r="B2682" s="7">
        <v>19491479</v>
      </c>
      <c r="C2682" s="11">
        <v>45860.408159722203</v>
      </c>
      <c r="D2682" s="17" t="s">
        <v>1116</v>
      </c>
      <c r="E2682" t="str">
        <f>IF(COUNTIF($B$2:B2682,B2682)&gt;1,"Duplicado","Único")</f>
        <v>Único</v>
      </c>
    </row>
    <row r="2683" spans="1:5" x14ac:dyDescent="0.25">
      <c r="A2683" s="15">
        <v>16483</v>
      </c>
      <c r="B2683" s="7">
        <v>19493959</v>
      </c>
      <c r="C2683" s="11">
        <v>46121.403622685197</v>
      </c>
      <c r="D2683" s="17" t="s">
        <v>4354</v>
      </c>
      <c r="E2683" t="str">
        <f>IF(COUNTIF($B$2:B2683,B2683)&gt;1,"Duplicado","Único")</f>
        <v>Único</v>
      </c>
    </row>
    <row r="2684" spans="1:5" hidden="1" x14ac:dyDescent="0.25">
      <c r="A2684" s="15">
        <v>16483</v>
      </c>
      <c r="B2684" s="7">
        <v>19493959</v>
      </c>
      <c r="C2684" s="11">
        <v>46101.6407175926</v>
      </c>
      <c r="D2684" s="17" t="s">
        <v>4099</v>
      </c>
      <c r="E2684" t="str">
        <f>IF(COUNTIF($B$2:B2684,B2684)&gt;1,"Duplicado","Único")</f>
        <v>Duplicado</v>
      </c>
    </row>
    <row r="2685" spans="1:5" x14ac:dyDescent="0.25">
      <c r="A2685" s="15">
        <v>1948</v>
      </c>
      <c r="B2685" s="7">
        <v>19494217</v>
      </c>
      <c r="C2685" s="11">
        <v>46086.694571759297</v>
      </c>
      <c r="D2685" s="17" t="s">
        <v>3881</v>
      </c>
      <c r="E2685" t="str">
        <f>IF(COUNTIF($B$2:B2685,B2685)&gt;1,"Duplicado","Único")</f>
        <v>Único</v>
      </c>
    </row>
    <row r="2686" spans="1:5" hidden="1" x14ac:dyDescent="0.25">
      <c r="A2686" s="15">
        <v>1948</v>
      </c>
      <c r="B2686" s="7">
        <v>19494217</v>
      </c>
      <c r="C2686" s="11">
        <v>46048.609432870398</v>
      </c>
      <c r="D2686" s="17" t="s">
        <v>3201</v>
      </c>
      <c r="E2686" t="str">
        <f>IF(COUNTIF($B$2:B2686,B2686)&gt;1,"Duplicado","Único")</f>
        <v>Duplicado</v>
      </c>
    </row>
    <row r="2687" spans="1:5" x14ac:dyDescent="0.25">
      <c r="A2687" s="15">
        <v>28661</v>
      </c>
      <c r="B2687" s="7">
        <v>19772153</v>
      </c>
      <c r="C2687" s="11">
        <v>45888.6240972222</v>
      </c>
      <c r="D2687" s="17" t="s">
        <v>1350</v>
      </c>
      <c r="E2687" t="str">
        <f>IF(COUNTIF($B$2:B2687,B2687)&gt;1,"Duplicado","Único")</f>
        <v>Único</v>
      </c>
    </row>
    <row r="2688" spans="1:5" x14ac:dyDescent="0.25">
      <c r="A2688" s="15">
        <v>30187</v>
      </c>
      <c r="B2688" s="7">
        <v>20358657</v>
      </c>
      <c r="C2688" s="11">
        <v>45898.598923611098</v>
      </c>
      <c r="D2688" s="17" t="s">
        <v>1467</v>
      </c>
      <c r="E2688" t="str">
        <f>IF(COUNTIF($B$2:B2688,B2688)&gt;1,"Duplicado","Único")</f>
        <v>Único</v>
      </c>
    </row>
    <row r="2689" spans="1:5" x14ac:dyDescent="0.25">
      <c r="A2689" s="15">
        <v>32486</v>
      </c>
      <c r="B2689" s="7">
        <v>20472629</v>
      </c>
      <c r="C2689" s="11">
        <v>45909.437025462998</v>
      </c>
      <c r="D2689" s="17" t="s">
        <v>1615</v>
      </c>
      <c r="E2689" t="str">
        <f>IF(COUNTIF($B$2:B2689,B2689)&gt;1,"Duplicado","Único")</f>
        <v>Único</v>
      </c>
    </row>
    <row r="2690" spans="1:5" x14ac:dyDescent="0.25">
      <c r="A2690" s="15">
        <v>46829</v>
      </c>
      <c r="B2690" s="7">
        <v>20730008</v>
      </c>
      <c r="C2690" s="11">
        <v>45967.709166666697</v>
      </c>
      <c r="D2690" s="17" t="s">
        <v>2364</v>
      </c>
      <c r="E2690" t="str">
        <f>IF(COUNTIF($B$2:B2690,B2690)&gt;1,"Duplicado","Único")</f>
        <v>Único</v>
      </c>
    </row>
    <row r="2691" spans="1:5" x14ac:dyDescent="0.25">
      <c r="A2691" s="15">
        <v>36506</v>
      </c>
      <c r="B2691" s="7">
        <v>20823690</v>
      </c>
      <c r="C2691" s="11">
        <v>45919.364988425899</v>
      </c>
      <c r="D2691" s="17" t="s">
        <v>1751</v>
      </c>
      <c r="E2691" t="str">
        <f>IF(COUNTIF($B$2:B2691,B2691)&gt;1,"Duplicado","Único")</f>
        <v>Único</v>
      </c>
    </row>
    <row r="2692" spans="1:5" x14ac:dyDescent="0.25">
      <c r="A2692" s="15">
        <v>3145</v>
      </c>
      <c r="B2692" s="7">
        <v>20866222</v>
      </c>
      <c r="C2692" s="11">
        <v>46086.770219907397</v>
      </c>
      <c r="D2692" s="17" t="s">
        <v>3955</v>
      </c>
      <c r="E2692" t="str">
        <f>IF(COUNTIF($B$2:B2692,B2692)&gt;1,"Duplicado","Único")</f>
        <v>Único</v>
      </c>
    </row>
    <row r="2693" spans="1:5" hidden="1" x14ac:dyDescent="0.25">
      <c r="A2693" s="15">
        <v>3145</v>
      </c>
      <c r="B2693" s="7">
        <v>20866222</v>
      </c>
      <c r="C2693" s="11">
        <v>46055.400995370401</v>
      </c>
      <c r="D2693" s="17" t="s">
        <v>3580</v>
      </c>
      <c r="E2693" t="str">
        <f>IF(COUNTIF($B$2:B2693,B2693)&gt;1,"Duplicado","Único")</f>
        <v>Duplicado</v>
      </c>
    </row>
    <row r="2694" spans="1:5" x14ac:dyDescent="0.25">
      <c r="A2694" s="15">
        <v>15398</v>
      </c>
      <c r="B2694" s="7">
        <v>21872564</v>
      </c>
      <c r="C2694" s="11">
        <v>46120.515462962998</v>
      </c>
      <c r="D2694" s="17" t="s">
        <v>4288</v>
      </c>
      <c r="E2694" t="str">
        <f>IF(COUNTIF($B$2:B2694,B2694)&gt;1,"Duplicado","Único")</f>
        <v>Único</v>
      </c>
    </row>
    <row r="2695" spans="1:5" hidden="1" x14ac:dyDescent="0.25">
      <c r="A2695" s="15">
        <v>15398</v>
      </c>
      <c r="B2695" s="7">
        <v>21872564</v>
      </c>
      <c r="C2695" s="11">
        <v>46094.456157407403</v>
      </c>
      <c r="D2695" s="17" t="s">
        <v>4035</v>
      </c>
      <c r="E2695" t="str">
        <f>IF(COUNTIF($B$2:B2695,B2695)&gt;1,"Duplicado","Único")</f>
        <v>Duplicado</v>
      </c>
    </row>
    <row r="2696" spans="1:5" x14ac:dyDescent="0.25">
      <c r="A2696" s="15">
        <v>29643</v>
      </c>
      <c r="B2696" s="7">
        <v>2231811</v>
      </c>
      <c r="C2696" s="11">
        <v>45894.713125000002</v>
      </c>
      <c r="D2696" s="17" t="s">
        <v>1419</v>
      </c>
      <c r="E2696" t="str">
        <f>IF(COUNTIF($B$2:B2696,B2696)&gt;1,"Duplicado","Único")</f>
        <v>Único</v>
      </c>
    </row>
    <row r="2697" spans="1:5" x14ac:dyDescent="0.25">
      <c r="A2697" s="15">
        <v>27875</v>
      </c>
      <c r="B2697" s="7">
        <v>22465545</v>
      </c>
      <c r="C2697" s="11">
        <v>45884.443055555603</v>
      </c>
      <c r="D2697" s="17" t="s">
        <v>1303</v>
      </c>
      <c r="E2697" t="str">
        <f>IF(COUNTIF($B$2:B2697,B2697)&gt;1,"Duplicado","Único")</f>
        <v>Único</v>
      </c>
    </row>
    <row r="2698" spans="1:5" x14ac:dyDescent="0.25">
      <c r="A2698" s="15">
        <v>50783</v>
      </c>
      <c r="B2698" s="7">
        <v>22478499</v>
      </c>
      <c r="C2698" s="11">
        <v>46050.6553935185</v>
      </c>
      <c r="D2698" s="17" t="s">
        <v>3368</v>
      </c>
      <c r="E2698" t="str">
        <f>IF(COUNTIF($B$2:B2698,B2698)&gt;1,"Duplicado","Único")</f>
        <v>Único</v>
      </c>
    </row>
    <row r="2699" spans="1:5" hidden="1" x14ac:dyDescent="0.25">
      <c r="A2699" s="15">
        <v>50783</v>
      </c>
      <c r="B2699" s="7">
        <v>22478499</v>
      </c>
      <c r="C2699" s="11">
        <v>45992.471620370401</v>
      </c>
      <c r="D2699" s="17" t="s">
        <v>2816</v>
      </c>
      <c r="E2699" t="str">
        <f>IF(COUNTIF($B$2:B2699,B2699)&gt;1,"Duplicado","Único")</f>
        <v>Duplicado</v>
      </c>
    </row>
    <row r="2700" spans="1:5" x14ac:dyDescent="0.25">
      <c r="A2700" s="15">
        <v>17792</v>
      </c>
      <c r="B2700" s="7">
        <v>22478665</v>
      </c>
      <c r="C2700" s="11">
        <v>46149.433495370402</v>
      </c>
      <c r="D2700" s="17" t="s">
        <v>4472</v>
      </c>
      <c r="E2700" t="str">
        <f>IF(COUNTIF($B$2:B2700,B2700)&gt;1,"Duplicado","Único")</f>
        <v>Único</v>
      </c>
    </row>
    <row r="2701" spans="1:5" hidden="1" x14ac:dyDescent="0.25">
      <c r="A2701" s="15">
        <v>17792</v>
      </c>
      <c r="B2701" s="7">
        <v>22478665</v>
      </c>
      <c r="C2701" s="11">
        <v>46108.482280092598</v>
      </c>
      <c r="D2701" s="17" t="s">
        <v>4191</v>
      </c>
      <c r="E2701" t="str">
        <f>IF(COUNTIF($B$2:B2701,B2701)&gt;1,"Duplicado","Único")</f>
        <v>Duplicado</v>
      </c>
    </row>
    <row r="2702" spans="1:5" x14ac:dyDescent="0.25">
      <c r="A2702" s="15">
        <v>50547</v>
      </c>
      <c r="B2702" s="7">
        <v>22588713</v>
      </c>
      <c r="C2702" s="11">
        <v>46050.632615740702</v>
      </c>
      <c r="D2702" s="17" t="s">
        <v>3342</v>
      </c>
      <c r="E2702" t="str">
        <f>IF(COUNTIF($B$2:B2702,B2702)&gt;1,"Duplicado","Único")</f>
        <v>Único</v>
      </c>
    </row>
    <row r="2703" spans="1:5" hidden="1" x14ac:dyDescent="0.25">
      <c r="A2703" s="15">
        <v>50547</v>
      </c>
      <c r="B2703" s="7">
        <v>22588713</v>
      </c>
      <c r="C2703" s="11">
        <v>45989.351770833302</v>
      </c>
      <c r="D2703" s="17" t="s">
        <v>2776</v>
      </c>
      <c r="E2703" t="str">
        <f>IF(COUNTIF($B$2:B2703,B2703)&gt;1,"Duplicado","Único")</f>
        <v>Duplicado</v>
      </c>
    </row>
    <row r="2704" spans="1:5" x14ac:dyDescent="0.25">
      <c r="A2704" s="15">
        <v>44893</v>
      </c>
      <c r="B2704" s="7">
        <v>22589180</v>
      </c>
      <c r="C2704" s="11">
        <v>45958.536030092597</v>
      </c>
      <c r="D2704" s="17" t="s">
        <v>2150</v>
      </c>
      <c r="E2704" t="str">
        <f>IF(COUNTIF($B$2:B2704,B2704)&gt;1,"Duplicado","Único")</f>
        <v>Único</v>
      </c>
    </row>
    <row r="2705" spans="1:5" hidden="1" x14ac:dyDescent="0.25">
      <c r="A2705" s="15">
        <v>44638</v>
      </c>
      <c r="B2705" s="7">
        <v>22589180</v>
      </c>
      <c r="C2705" s="11">
        <v>45958.535509259302</v>
      </c>
      <c r="D2705" s="17" t="s">
        <v>2149</v>
      </c>
      <c r="E2705" t="str">
        <f>IF(COUNTIF($B$2:B2705,B2705)&gt;1,"Duplicado","Único")</f>
        <v>Duplicado</v>
      </c>
    </row>
    <row r="2706" spans="1:5" x14ac:dyDescent="0.25">
      <c r="A2706" s="15">
        <v>44843</v>
      </c>
      <c r="B2706" s="7">
        <v>22640625</v>
      </c>
      <c r="C2706" s="11">
        <v>45958.644733796304</v>
      </c>
      <c r="D2706" s="17" t="s">
        <v>2172</v>
      </c>
      <c r="E2706" t="str">
        <f>IF(COUNTIF($B$2:B2706,B2706)&gt;1,"Duplicado","Único")</f>
        <v>Único</v>
      </c>
    </row>
    <row r="2707" spans="1:5" x14ac:dyDescent="0.25">
      <c r="A2707" s="15">
        <v>44811</v>
      </c>
      <c r="B2707" s="7">
        <v>22642240</v>
      </c>
      <c r="C2707" s="11">
        <v>45958.639791666697</v>
      </c>
      <c r="D2707" s="17" t="s">
        <v>2168</v>
      </c>
      <c r="E2707" t="str">
        <f>IF(COUNTIF($B$2:B2707,B2707)&gt;1,"Duplicado","Único")</f>
        <v>Único</v>
      </c>
    </row>
    <row r="2708" spans="1:5" x14ac:dyDescent="0.25">
      <c r="A2708" s="15">
        <v>38849</v>
      </c>
      <c r="B2708" s="7">
        <v>22649851</v>
      </c>
      <c r="C2708" s="11">
        <v>45936.357743055603</v>
      </c>
      <c r="D2708" s="17" t="s">
        <v>1930</v>
      </c>
      <c r="E2708" t="str">
        <f>IF(COUNTIF($B$2:B2708,B2708)&gt;1,"Duplicado","Único")</f>
        <v>Único</v>
      </c>
    </row>
    <row r="2709" spans="1:5" hidden="1" x14ac:dyDescent="0.25">
      <c r="A2709" s="15">
        <v>38849</v>
      </c>
      <c r="B2709" s="7">
        <v>22649851</v>
      </c>
      <c r="C2709" s="11">
        <v>45929.470104166699</v>
      </c>
      <c r="D2709" s="17" t="s">
        <v>1860</v>
      </c>
      <c r="E2709" t="str">
        <f>IF(COUNTIF($B$2:B2709,B2709)&gt;1,"Duplicado","Único")</f>
        <v>Duplicado</v>
      </c>
    </row>
    <row r="2710" spans="1:5" x14ac:dyDescent="0.25">
      <c r="A2710" s="15">
        <v>50393</v>
      </c>
      <c r="B2710" s="7">
        <v>22656018</v>
      </c>
      <c r="C2710" s="11">
        <v>46050.610196759299</v>
      </c>
      <c r="D2710" s="17" t="s">
        <v>3316</v>
      </c>
      <c r="E2710" t="str">
        <f>IF(COUNTIF($B$2:B2710,B2710)&gt;1,"Duplicado","Único")</f>
        <v>Único</v>
      </c>
    </row>
    <row r="2711" spans="1:5" hidden="1" x14ac:dyDescent="0.25">
      <c r="A2711" s="15">
        <v>50393</v>
      </c>
      <c r="B2711" s="7">
        <v>22656018</v>
      </c>
      <c r="C2711" s="11">
        <v>45988.387997685197</v>
      </c>
      <c r="D2711" s="17" t="s">
        <v>2757</v>
      </c>
      <c r="E2711" t="str">
        <f>IF(COUNTIF($B$2:B2711,B2711)&gt;1,"Duplicado","Único")</f>
        <v>Duplicado</v>
      </c>
    </row>
    <row r="2712" spans="1:5" x14ac:dyDescent="0.25">
      <c r="A2712" s="15">
        <v>17649</v>
      </c>
      <c r="B2712" s="7">
        <v>22668225</v>
      </c>
      <c r="C2712" s="11">
        <v>46122.4396180556</v>
      </c>
      <c r="D2712" s="17" t="s">
        <v>4426</v>
      </c>
      <c r="E2712" t="str">
        <f>IF(COUNTIF($B$2:B2712,B2712)&gt;1,"Duplicado","Único")</f>
        <v>Único</v>
      </c>
    </row>
    <row r="2713" spans="1:5" hidden="1" x14ac:dyDescent="0.25">
      <c r="A2713" s="15">
        <v>17649</v>
      </c>
      <c r="B2713" s="7">
        <v>22668225</v>
      </c>
      <c r="C2713" s="11">
        <v>46108.479791666701</v>
      </c>
      <c r="D2713" s="17" t="s">
        <v>4189</v>
      </c>
      <c r="E2713" t="str">
        <f>IF(COUNTIF($B$2:B2713,B2713)&gt;1,"Duplicado","Único")</f>
        <v>Duplicado</v>
      </c>
    </row>
    <row r="2714" spans="1:5" hidden="1" x14ac:dyDescent="0.25">
      <c r="A2714" s="15">
        <v>50096</v>
      </c>
      <c r="B2714" s="7">
        <v>22668225</v>
      </c>
      <c r="C2714" s="11">
        <v>46050.512939814798</v>
      </c>
      <c r="D2714" s="17" t="s">
        <v>3280</v>
      </c>
      <c r="E2714" t="str">
        <f>IF(COUNTIF($B$2:B2714,B2714)&gt;1,"Duplicado","Único")</f>
        <v>Duplicado</v>
      </c>
    </row>
    <row r="2715" spans="1:5" hidden="1" x14ac:dyDescent="0.25">
      <c r="A2715" s="15">
        <v>50096</v>
      </c>
      <c r="B2715" s="7">
        <v>22668225</v>
      </c>
      <c r="C2715" s="11">
        <v>45987.403263888897</v>
      </c>
      <c r="D2715" s="17" t="s">
        <v>2723</v>
      </c>
      <c r="E2715" t="str">
        <f>IF(COUNTIF($B$2:B2715,B2715)&gt;1,"Duplicado","Único")</f>
        <v>Duplicado</v>
      </c>
    </row>
    <row r="2716" spans="1:5" x14ac:dyDescent="0.25">
      <c r="A2716" s="15">
        <v>32555</v>
      </c>
      <c r="B2716" s="7">
        <v>22731855</v>
      </c>
      <c r="C2716" s="11">
        <v>45909.489988425899</v>
      </c>
      <c r="D2716" s="17" t="s">
        <v>1619</v>
      </c>
      <c r="E2716" t="str">
        <f>IF(COUNTIF($B$2:B2716,B2716)&gt;1,"Duplicado","Único")</f>
        <v>Único</v>
      </c>
    </row>
    <row r="2717" spans="1:5" x14ac:dyDescent="0.25">
      <c r="A2717" s="15">
        <v>45848</v>
      </c>
      <c r="B2717" s="7">
        <v>22746347</v>
      </c>
      <c r="C2717" s="11">
        <v>45960.648969907401</v>
      </c>
      <c r="D2717" s="17" t="s">
        <v>2265</v>
      </c>
      <c r="E2717" t="str">
        <f>IF(COUNTIF($B$2:B2717,B2717)&gt;1,"Duplicado","Único")</f>
        <v>Único</v>
      </c>
    </row>
    <row r="2718" spans="1:5" x14ac:dyDescent="0.25">
      <c r="A2718" s="15">
        <v>44626</v>
      </c>
      <c r="B2718" s="7">
        <v>22864452</v>
      </c>
      <c r="C2718" s="11">
        <v>45958.528460648202</v>
      </c>
      <c r="D2718" s="17" t="s">
        <v>2145</v>
      </c>
      <c r="E2718" t="str">
        <f>IF(COUNTIF($B$2:B2718,B2718)&gt;1,"Duplicado","Único")</f>
        <v>Único</v>
      </c>
    </row>
    <row r="2719" spans="1:5" x14ac:dyDescent="0.25">
      <c r="A2719" s="15">
        <v>33296</v>
      </c>
      <c r="B2719" s="7">
        <v>23114604</v>
      </c>
      <c r="C2719" s="11">
        <v>45915.379594907397</v>
      </c>
      <c r="D2719" s="17" t="s">
        <v>1694</v>
      </c>
      <c r="E2719" t="str">
        <f>IF(COUNTIF($B$2:B2719,B2719)&gt;1,"Duplicado","Único")</f>
        <v>Único</v>
      </c>
    </row>
    <row r="2720" spans="1:5" x14ac:dyDescent="0.25">
      <c r="A2720" s="15">
        <v>31991</v>
      </c>
      <c r="B2720" s="7">
        <v>23137297</v>
      </c>
      <c r="C2720" s="11">
        <v>45908.357314814799</v>
      </c>
      <c r="D2720" s="17" t="s">
        <v>1581</v>
      </c>
      <c r="E2720" t="str">
        <f>IF(COUNTIF($B$2:B2720,B2720)&gt;1,"Duplicado","Único")</f>
        <v>Único</v>
      </c>
    </row>
    <row r="2721" spans="1:5" x14ac:dyDescent="0.25">
      <c r="A2721" s="15">
        <v>50183</v>
      </c>
      <c r="B2721" s="7">
        <v>23182891</v>
      </c>
      <c r="C2721" s="11">
        <v>46050.513564814799</v>
      </c>
      <c r="D2721" s="17" t="s">
        <v>3281</v>
      </c>
      <c r="E2721" t="str">
        <f>IF(COUNTIF($B$2:B2721,B2721)&gt;1,"Duplicado","Único")</f>
        <v>Único</v>
      </c>
    </row>
    <row r="2722" spans="1:5" hidden="1" x14ac:dyDescent="0.25">
      <c r="A2722" s="15">
        <v>50183</v>
      </c>
      <c r="B2722" s="7">
        <v>23182891</v>
      </c>
      <c r="C2722" s="11">
        <v>45987.435868055603</v>
      </c>
      <c r="D2722" s="17" t="s">
        <v>2731</v>
      </c>
      <c r="E2722" t="str">
        <f>IF(COUNTIF($B$2:B2722,B2722)&gt;1,"Duplicado","Único")</f>
        <v>Duplicado</v>
      </c>
    </row>
    <row r="2723" spans="1:5" hidden="1" x14ac:dyDescent="0.25">
      <c r="A2723" s="15">
        <v>32972</v>
      </c>
      <c r="B2723" s="7">
        <v>23182891</v>
      </c>
      <c r="C2723" s="11">
        <v>45911.384942129604</v>
      </c>
      <c r="D2723" s="17" t="s">
        <v>1659</v>
      </c>
      <c r="E2723" t="str">
        <f>IF(COUNTIF($B$2:B2723,B2723)&gt;1,"Duplicado","Único")</f>
        <v>Duplicado</v>
      </c>
    </row>
    <row r="2724" spans="1:5" x14ac:dyDescent="0.25">
      <c r="A2724" s="15">
        <v>25883</v>
      </c>
      <c r="B2724" s="7">
        <v>23783074</v>
      </c>
      <c r="C2724" s="11">
        <v>45866.610011574099</v>
      </c>
      <c r="D2724" s="17" t="s">
        <v>1150</v>
      </c>
      <c r="E2724" t="str">
        <f>IF(COUNTIF($B$2:B2724,B2724)&gt;1,"Duplicado","Único")</f>
        <v>Único</v>
      </c>
    </row>
    <row r="2725" spans="1:5" x14ac:dyDescent="0.25">
      <c r="A2725" s="15">
        <v>46852</v>
      </c>
      <c r="B2725" s="7">
        <v>23854881</v>
      </c>
      <c r="C2725" s="11">
        <v>45967.721875000003</v>
      </c>
      <c r="D2725" s="17" t="s">
        <v>2369</v>
      </c>
      <c r="E2725" t="str">
        <f>IF(COUNTIF($B$2:B2725,B2725)&gt;1,"Duplicado","Único")</f>
        <v>Único</v>
      </c>
    </row>
    <row r="2726" spans="1:5" x14ac:dyDescent="0.25">
      <c r="A2726" s="15">
        <v>52229</v>
      </c>
      <c r="B2726" s="7">
        <v>24411355</v>
      </c>
      <c r="C2726" s="11">
        <v>46051.509143518502</v>
      </c>
      <c r="D2726" s="17" t="s">
        <v>3509</v>
      </c>
      <c r="E2726" t="str">
        <f>IF(COUNTIF($B$2:B2726,B2726)&gt;1,"Duplicado","Único")</f>
        <v>Único</v>
      </c>
    </row>
    <row r="2727" spans="1:5" hidden="1" x14ac:dyDescent="0.25">
      <c r="A2727" s="15">
        <v>52229</v>
      </c>
      <c r="B2727" s="7">
        <v>24411355</v>
      </c>
      <c r="C2727" s="11">
        <v>46007.491666666698</v>
      </c>
      <c r="D2727" s="17" t="s">
        <v>2948</v>
      </c>
      <c r="E2727" t="str">
        <f>IF(COUNTIF($B$2:B2727,B2727)&gt;1,"Duplicado","Único")</f>
        <v>Duplicado</v>
      </c>
    </row>
    <row r="2728" spans="1:5" x14ac:dyDescent="0.25">
      <c r="A2728" s="15">
        <v>44225</v>
      </c>
      <c r="B2728" s="7">
        <v>24584851</v>
      </c>
      <c r="C2728" s="11">
        <v>45958.412812499999</v>
      </c>
      <c r="D2728" s="17" t="s">
        <v>2112</v>
      </c>
      <c r="E2728" t="str">
        <f>IF(COUNTIF($B$2:B2728,B2728)&gt;1,"Duplicado","Único")</f>
        <v>Único</v>
      </c>
    </row>
    <row r="2729" spans="1:5" x14ac:dyDescent="0.25">
      <c r="A2729" s="15">
        <v>27720</v>
      </c>
      <c r="B2729" s="7">
        <v>25000195</v>
      </c>
      <c r="C2729" s="11">
        <v>45877.521655092598</v>
      </c>
      <c r="D2729" s="17" t="s">
        <v>1293</v>
      </c>
      <c r="E2729" t="str">
        <f>IF(COUNTIF($B$2:B2729,B2729)&gt;1,"Duplicado","Único")</f>
        <v>Único</v>
      </c>
    </row>
    <row r="2730" spans="1:5" x14ac:dyDescent="0.25">
      <c r="A2730" s="15">
        <v>21098</v>
      </c>
      <c r="B2730" s="7">
        <v>25097220</v>
      </c>
      <c r="C2730" s="11">
        <v>46142.479861111096</v>
      </c>
      <c r="D2730" s="17" t="s">
        <v>4433</v>
      </c>
      <c r="E2730" t="str">
        <f>IF(COUNTIF($B$2:B2730,B2730)&gt;1,"Duplicado","Único")</f>
        <v>Único</v>
      </c>
    </row>
    <row r="2731" spans="1:5" hidden="1" x14ac:dyDescent="0.25">
      <c r="A2731" s="15">
        <v>21098</v>
      </c>
      <c r="B2731" s="7">
        <v>25097220</v>
      </c>
      <c r="C2731" s="11">
        <v>46136.682905092603</v>
      </c>
      <c r="D2731" s="17" t="s">
        <v>4431</v>
      </c>
      <c r="E2731" t="str">
        <f>IF(COUNTIF($B$2:B2731,B2731)&gt;1,"Duplicado","Único")</f>
        <v>Duplicado</v>
      </c>
    </row>
    <row r="2732" spans="1:5" x14ac:dyDescent="0.25">
      <c r="A2732" s="15">
        <v>45115</v>
      </c>
      <c r="B2732" s="7">
        <v>25171267</v>
      </c>
      <c r="C2732" s="11">
        <v>45958.703379629602</v>
      </c>
      <c r="D2732" s="17" t="s">
        <v>2191</v>
      </c>
      <c r="E2732" t="str">
        <f>IF(COUNTIF($B$2:B2732,B2732)&gt;1,"Duplicado","Único")</f>
        <v>Único</v>
      </c>
    </row>
    <row r="2733" spans="1:5" x14ac:dyDescent="0.25">
      <c r="A2733" s="15">
        <v>399</v>
      </c>
      <c r="B2733" s="7">
        <v>25287914</v>
      </c>
      <c r="C2733" s="11">
        <v>46086.498807870397</v>
      </c>
      <c r="D2733" s="17" t="s">
        <v>3817</v>
      </c>
      <c r="E2733" t="str">
        <f>IF(COUNTIF($B$2:B2733,B2733)&gt;1,"Duplicado","Único")</f>
        <v>Único</v>
      </c>
    </row>
    <row r="2734" spans="1:5" hidden="1" x14ac:dyDescent="0.25">
      <c r="A2734" s="15">
        <v>399</v>
      </c>
      <c r="B2734" s="7">
        <v>25287914</v>
      </c>
      <c r="C2734" s="11">
        <v>46035.368773148097</v>
      </c>
      <c r="D2734" s="17" t="s">
        <v>3130</v>
      </c>
      <c r="E2734" t="str">
        <f>IF(COUNTIF($B$2:B2734,B2734)&gt;1,"Duplicado","Único")</f>
        <v>Duplicado</v>
      </c>
    </row>
    <row r="2735" spans="1:5" x14ac:dyDescent="0.25">
      <c r="A2735" s="15">
        <v>52809</v>
      </c>
      <c r="B2735" s="7">
        <v>25292218</v>
      </c>
      <c r="C2735" s="11">
        <v>46051.606412036999</v>
      </c>
      <c r="D2735" s="17" t="s">
        <v>3538</v>
      </c>
      <c r="E2735" t="str">
        <f>IF(COUNTIF($B$2:B2735,B2735)&gt;1,"Duplicado","Único")</f>
        <v>Único</v>
      </c>
    </row>
    <row r="2736" spans="1:5" hidden="1" x14ac:dyDescent="0.25">
      <c r="A2736" s="15">
        <v>52809</v>
      </c>
      <c r="B2736" s="7">
        <v>25292218</v>
      </c>
      <c r="C2736" s="11">
        <v>46009.388923611099</v>
      </c>
      <c r="D2736" s="17" t="s">
        <v>2972</v>
      </c>
      <c r="E2736" t="str">
        <f>IF(COUNTIF($B$2:B2736,B2736)&gt;1,"Duplicado","Único")</f>
        <v>Duplicado</v>
      </c>
    </row>
    <row r="2737" spans="1:5" x14ac:dyDescent="0.25">
      <c r="A2737" s="15">
        <v>48392</v>
      </c>
      <c r="B2737" s="7">
        <v>25311835</v>
      </c>
      <c r="C2737" s="11">
        <v>45975.685081018499</v>
      </c>
      <c r="D2737" s="17" t="s">
        <v>2533</v>
      </c>
      <c r="E2737" t="str">
        <f>IF(COUNTIF($B$2:B2737,B2737)&gt;1,"Duplicado","Único")</f>
        <v>Único</v>
      </c>
    </row>
    <row r="2738" spans="1:5" x14ac:dyDescent="0.25">
      <c r="A2738" s="15">
        <v>17575</v>
      </c>
      <c r="B2738" s="7">
        <v>25785613</v>
      </c>
      <c r="C2738" s="11">
        <v>45797.593865740702</v>
      </c>
      <c r="D2738" s="17" t="s">
        <v>716</v>
      </c>
      <c r="E2738" t="str">
        <f>IF(COUNTIF($B$2:B2738,B2738)&gt;1,"Duplicado","Único")</f>
        <v>Único</v>
      </c>
    </row>
    <row r="2739" spans="1:5" x14ac:dyDescent="0.25">
      <c r="A2739" s="15">
        <v>50581</v>
      </c>
      <c r="B2739" s="7">
        <v>25800074</v>
      </c>
      <c r="C2739" s="11">
        <v>46050.6332638889</v>
      </c>
      <c r="D2739" s="17" t="s">
        <v>3343</v>
      </c>
      <c r="E2739" t="str">
        <f>IF(COUNTIF($B$2:B2739,B2739)&gt;1,"Duplicado","Único")</f>
        <v>Único</v>
      </c>
    </row>
    <row r="2740" spans="1:5" hidden="1" x14ac:dyDescent="0.25">
      <c r="A2740" s="15">
        <v>50581</v>
      </c>
      <c r="B2740" s="7">
        <v>25800074</v>
      </c>
      <c r="C2740" s="11">
        <v>45989.415879629603</v>
      </c>
      <c r="D2740" s="17" t="s">
        <v>2784</v>
      </c>
      <c r="E2740" t="str">
        <f>IF(COUNTIF($B$2:B2740,B2740)&gt;1,"Duplicado","Único")</f>
        <v>Duplicado</v>
      </c>
    </row>
    <row r="2741" spans="1:5" x14ac:dyDescent="0.25">
      <c r="A2741" s="15">
        <v>51025</v>
      </c>
      <c r="B2741" s="7">
        <v>25801982</v>
      </c>
      <c r="C2741" s="11">
        <v>46050.682233796302</v>
      </c>
      <c r="D2741" s="17" t="s">
        <v>3400</v>
      </c>
      <c r="E2741" t="str">
        <f>IF(COUNTIF($B$2:B2741,B2741)&gt;1,"Duplicado","Único")</f>
        <v>Único</v>
      </c>
    </row>
    <row r="2742" spans="1:5" hidden="1" x14ac:dyDescent="0.25">
      <c r="A2742" s="15">
        <v>51025</v>
      </c>
      <c r="B2742" s="7">
        <v>25801982</v>
      </c>
      <c r="C2742" s="11">
        <v>46000.637291666702</v>
      </c>
      <c r="D2742" s="17" t="s">
        <v>2841</v>
      </c>
      <c r="E2742" t="str">
        <f>IF(COUNTIF($B$2:B2742,B2742)&gt;1,"Duplicado","Único")</f>
        <v>Duplicado</v>
      </c>
    </row>
    <row r="2743" spans="1:5" x14ac:dyDescent="0.25">
      <c r="A2743" s="15">
        <v>40487</v>
      </c>
      <c r="B2743" s="7">
        <v>26421839</v>
      </c>
      <c r="C2743" s="11">
        <v>45933.672349537002</v>
      </c>
      <c r="D2743" s="17" t="s">
        <v>1923</v>
      </c>
      <c r="E2743" t="str">
        <f>IF(COUNTIF($B$2:B2743,B2743)&gt;1,"Duplicado","Único")</f>
        <v>Único</v>
      </c>
    </row>
    <row r="2744" spans="1:5" x14ac:dyDescent="0.25">
      <c r="A2744" s="15">
        <v>48737</v>
      </c>
      <c r="B2744" s="7">
        <v>27088697</v>
      </c>
      <c r="C2744" s="11">
        <v>45979.642777777801</v>
      </c>
      <c r="D2744" s="17" t="s">
        <v>2567</v>
      </c>
      <c r="E2744" t="str">
        <f>IF(COUNTIF($B$2:B2744,B2744)&gt;1,"Duplicado","Único")</f>
        <v>Único</v>
      </c>
    </row>
    <row r="2745" spans="1:5" x14ac:dyDescent="0.25">
      <c r="A2745" s="15">
        <v>16588</v>
      </c>
      <c r="B2745" s="7">
        <v>27123017</v>
      </c>
      <c r="C2745" s="11">
        <v>46121.404166666704</v>
      </c>
      <c r="D2745" s="17" t="s">
        <v>4355</v>
      </c>
      <c r="E2745" t="str">
        <f>IF(COUNTIF($B$2:B2745,B2745)&gt;1,"Duplicado","Único")</f>
        <v>Único</v>
      </c>
    </row>
    <row r="2746" spans="1:5" hidden="1" x14ac:dyDescent="0.25">
      <c r="A2746" s="15">
        <v>16588</v>
      </c>
      <c r="B2746" s="7">
        <v>27123017</v>
      </c>
      <c r="C2746" s="11">
        <v>46101.842662037001</v>
      </c>
      <c r="D2746" s="17" t="s">
        <v>4165</v>
      </c>
      <c r="E2746" t="str">
        <f>IF(COUNTIF($B$2:B2746,B2746)&gt;1,"Duplicado","Único")</f>
        <v>Duplicado</v>
      </c>
    </row>
    <row r="2747" spans="1:5" x14ac:dyDescent="0.25">
      <c r="A2747" s="15">
        <v>52517</v>
      </c>
      <c r="B2747" s="7">
        <v>27592534</v>
      </c>
      <c r="C2747" s="11">
        <v>46051.527569444399</v>
      </c>
      <c r="D2747" s="17" t="s">
        <v>3525</v>
      </c>
      <c r="E2747" t="str">
        <f>IF(COUNTIF($B$2:B2747,B2747)&gt;1,"Duplicado","Único")</f>
        <v>Único</v>
      </c>
    </row>
    <row r="2748" spans="1:5" hidden="1" x14ac:dyDescent="0.25">
      <c r="A2748" s="15">
        <v>52517</v>
      </c>
      <c r="B2748" s="7">
        <v>27592534</v>
      </c>
      <c r="C2748" s="11">
        <v>46007.461192129602</v>
      </c>
      <c r="D2748" s="17" t="s">
        <v>2939</v>
      </c>
      <c r="E2748" t="str">
        <f>IF(COUNTIF($B$2:B2748,B2748)&gt;1,"Duplicado","Único")</f>
        <v>Duplicado</v>
      </c>
    </row>
    <row r="2749" spans="1:5" x14ac:dyDescent="0.25">
      <c r="A2749" s="15">
        <v>39561</v>
      </c>
      <c r="B2749" s="7">
        <v>27604629</v>
      </c>
      <c r="C2749" s="11">
        <v>45930.418240740699</v>
      </c>
      <c r="D2749" s="17" t="s">
        <v>1886</v>
      </c>
      <c r="E2749" t="str">
        <f>IF(COUNTIF($B$2:B2749,B2749)&gt;1,"Duplicado","Único")</f>
        <v>Único</v>
      </c>
    </row>
    <row r="2750" spans="1:5" x14ac:dyDescent="0.25">
      <c r="A2750" s="15">
        <v>47173</v>
      </c>
      <c r="B2750" s="7">
        <v>28070396</v>
      </c>
      <c r="C2750" s="11">
        <v>45968.736608796302</v>
      </c>
      <c r="D2750" s="17" t="s">
        <v>2397</v>
      </c>
      <c r="E2750" t="str">
        <f>IF(COUNTIF($B$2:B2750,B2750)&gt;1,"Duplicado","Único")</f>
        <v>Único</v>
      </c>
    </row>
    <row r="2751" spans="1:5" x14ac:dyDescent="0.25">
      <c r="A2751" s="15">
        <v>52693</v>
      </c>
      <c r="B2751" s="7">
        <v>28152640</v>
      </c>
      <c r="C2751" s="11">
        <v>46051.528090277803</v>
      </c>
      <c r="D2751" s="17" t="s">
        <v>3526</v>
      </c>
      <c r="E2751" t="str">
        <f>IF(COUNTIF($B$2:B2751,B2751)&gt;1,"Duplicado","Único")</f>
        <v>Único</v>
      </c>
    </row>
    <row r="2752" spans="1:5" hidden="1" x14ac:dyDescent="0.25">
      <c r="A2752" s="15">
        <v>52693</v>
      </c>
      <c r="B2752" s="7">
        <v>28152640</v>
      </c>
      <c r="C2752" s="11">
        <v>46007.498680555596</v>
      </c>
      <c r="D2752" s="17" t="s">
        <v>2955</v>
      </c>
      <c r="E2752" t="str">
        <f>IF(COUNTIF($B$2:B2752,B2752)&gt;1,"Duplicado","Único")</f>
        <v>Duplicado</v>
      </c>
    </row>
    <row r="2753" spans="1:5" x14ac:dyDescent="0.25">
      <c r="A2753" s="15">
        <v>17795</v>
      </c>
      <c r="B2753" s="7">
        <v>29285093</v>
      </c>
      <c r="C2753" s="11">
        <v>46149.433958333299</v>
      </c>
      <c r="D2753" s="17" t="s">
        <v>4473</v>
      </c>
      <c r="E2753" t="str">
        <f>IF(COUNTIF($B$2:B2753,B2753)&gt;1,"Duplicado","Único")</f>
        <v>Único</v>
      </c>
    </row>
    <row r="2754" spans="1:5" hidden="1" x14ac:dyDescent="0.25">
      <c r="A2754" s="15">
        <v>17795</v>
      </c>
      <c r="B2754" s="7">
        <v>29285093</v>
      </c>
      <c r="C2754" s="11">
        <v>46108.838379629597</v>
      </c>
      <c r="D2754" s="17" t="s">
        <v>1158</v>
      </c>
      <c r="E2754" t="str">
        <f>IF(COUNTIF($B$2:B2754,B2754)&gt;1,"Duplicado","Único")</f>
        <v>Duplicado</v>
      </c>
    </row>
    <row r="2755" spans="1:5" x14ac:dyDescent="0.25">
      <c r="A2755" s="15">
        <v>53261</v>
      </c>
      <c r="B2755" s="7">
        <v>29351771</v>
      </c>
      <c r="C2755" s="11">
        <v>46057.3596412037</v>
      </c>
      <c r="D2755" s="17" t="s">
        <v>3644</v>
      </c>
      <c r="E2755" t="str">
        <f>IF(COUNTIF($B$2:B2755,B2755)&gt;1,"Duplicado","Único")</f>
        <v>Único</v>
      </c>
    </row>
    <row r="2756" spans="1:5" hidden="1" x14ac:dyDescent="0.25">
      <c r="A2756" s="15">
        <v>53261</v>
      </c>
      <c r="B2756" s="7">
        <v>29351771</v>
      </c>
      <c r="C2756" s="11">
        <v>46013.391469907401</v>
      </c>
      <c r="D2756" s="17" t="s">
        <v>3001</v>
      </c>
      <c r="E2756" t="str">
        <f>IF(COUNTIF($B$2:B2756,B2756)&gt;1,"Duplicado","Único")</f>
        <v>Duplicado</v>
      </c>
    </row>
    <row r="2757" spans="1:5" x14ac:dyDescent="0.25">
      <c r="A2757" s="15">
        <v>17326</v>
      </c>
      <c r="B2757" s="7">
        <v>29928614</v>
      </c>
      <c r="C2757" s="11">
        <v>45791.662546296298</v>
      </c>
      <c r="D2757" s="17" t="s">
        <v>701</v>
      </c>
      <c r="E2757" t="str">
        <f>IF(COUNTIF($B$2:B2757,B2757)&gt;1,"Duplicado","Único")</f>
        <v>Único</v>
      </c>
    </row>
    <row r="2758" spans="1:5" x14ac:dyDescent="0.25">
      <c r="A2758" s="15">
        <v>46895</v>
      </c>
      <c r="B2758" s="7">
        <v>30039281</v>
      </c>
      <c r="C2758" s="11">
        <v>45967.712500000001</v>
      </c>
      <c r="D2758" s="17" t="s">
        <v>2368</v>
      </c>
      <c r="E2758" t="str">
        <f>IF(COUNTIF($B$2:B2758,B2758)&gt;1,"Duplicado","Único")</f>
        <v>Único</v>
      </c>
    </row>
    <row r="2759" spans="1:5" x14ac:dyDescent="0.25">
      <c r="A2759" s="15">
        <v>20802</v>
      </c>
      <c r="B2759" s="7">
        <v>30328478</v>
      </c>
      <c r="C2759" s="11">
        <v>45821.636643518497</v>
      </c>
      <c r="D2759" s="17" t="s">
        <v>905</v>
      </c>
      <c r="E2759" t="str">
        <f>IF(COUNTIF($B$2:B2759,B2759)&gt;1,"Duplicado","Único")</f>
        <v>Único</v>
      </c>
    </row>
    <row r="2760" spans="1:5" x14ac:dyDescent="0.25">
      <c r="A2760" s="15">
        <v>49489</v>
      </c>
      <c r="B2760" s="7">
        <v>30329126</v>
      </c>
      <c r="C2760" s="11">
        <v>45982.378078703703</v>
      </c>
      <c r="D2760" s="17" t="s">
        <v>2659</v>
      </c>
      <c r="E2760" t="str">
        <f>IF(COUNTIF($B$2:B2760,B2760)&gt;1,"Duplicado","Único")</f>
        <v>Único</v>
      </c>
    </row>
    <row r="2761" spans="1:5" x14ac:dyDescent="0.25">
      <c r="A2761" s="15">
        <v>20550</v>
      </c>
      <c r="B2761" s="7">
        <v>30506328</v>
      </c>
      <c r="C2761" s="11">
        <v>45820.513321759303</v>
      </c>
      <c r="D2761" s="17" t="s">
        <v>893</v>
      </c>
      <c r="E2761" t="str">
        <f>IF(COUNTIF($B$2:B2761,B2761)&gt;1,"Duplicado","Único")</f>
        <v>Único</v>
      </c>
    </row>
    <row r="2762" spans="1:5" x14ac:dyDescent="0.25">
      <c r="A2762" s="15">
        <v>949</v>
      </c>
      <c r="B2762" s="7">
        <v>30670384</v>
      </c>
      <c r="C2762" s="11">
        <v>46086.499560185199</v>
      </c>
      <c r="D2762" s="17" t="s">
        <v>3818</v>
      </c>
      <c r="E2762" t="str">
        <f>IF(COUNTIF($B$2:B2762,B2762)&gt;1,"Duplicado","Único")</f>
        <v>Único</v>
      </c>
    </row>
    <row r="2763" spans="1:5" hidden="1" x14ac:dyDescent="0.25">
      <c r="A2763" s="15">
        <v>949</v>
      </c>
      <c r="B2763" s="7">
        <v>30670384</v>
      </c>
      <c r="C2763" s="11">
        <v>46035.701990740701</v>
      </c>
      <c r="D2763" s="17" t="s">
        <v>3157</v>
      </c>
      <c r="E2763" t="str">
        <f>IF(COUNTIF($B$2:B2763,B2763)&gt;1,"Duplicado","Único")</f>
        <v>Duplicado</v>
      </c>
    </row>
    <row r="2764" spans="1:5" x14ac:dyDescent="0.25">
      <c r="A2764" s="15">
        <v>19012</v>
      </c>
      <c r="B2764" s="7">
        <v>30745074</v>
      </c>
      <c r="C2764" s="11">
        <v>45813.704733796301</v>
      </c>
      <c r="D2764" s="17" t="s">
        <v>806</v>
      </c>
      <c r="E2764" t="str">
        <f>IF(COUNTIF($B$2:B2764,B2764)&gt;1,"Duplicado","Único")</f>
        <v>Único</v>
      </c>
    </row>
    <row r="2765" spans="1:5" x14ac:dyDescent="0.25">
      <c r="A2765" s="15">
        <v>48375</v>
      </c>
      <c r="B2765" s="7">
        <v>30873960</v>
      </c>
      <c r="C2765" s="11">
        <v>45975.682233796302</v>
      </c>
      <c r="D2765" s="17" t="s">
        <v>2531</v>
      </c>
      <c r="E2765" t="str">
        <f>IF(COUNTIF($B$2:B2765,B2765)&gt;1,"Duplicado","Único")</f>
        <v>Único</v>
      </c>
    </row>
    <row r="2766" spans="1:5" x14ac:dyDescent="0.25">
      <c r="A2766" s="15">
        <v>29461</v>
      </c>
      <c r="B2766" s="7">
        <v>30937348</v>
      </c>
      <c r="C2766" s="11">
        <v>45947.465046296304</v>
      </c>
      <c r="D2766" s="17" t="s">
        <v>1996</v>
      </c>
      <c r="E2766" t="str">
        <f>IF(COUNTIF($B$2:B2766,B2766)&gt;1,"Duplicado","Único")</f>
        <v>Único</v>
      </c>
    </row>
    <row r="2767" spans="1:5" hidden="1" x14ac:dyDescent="0.25">
      <c r="A2767" s="15">
        <v>29461</v>
      </c>
      <c r="B2767" s="7">
        <v>30937348</v>
      </c>
      <c r="C2767" s="11">
        <v>45926.651064814803</v>
      </c>
      <c r="D2767" s="17" t="s">
        <v>1847</v>
      </c>
      <c r="E2767" t="str">
        <f>IF(COUNTIF($B$2:B2767,B2767)&gt;1,"Duplicado","Único")</f>
        <v>Duplicado</v>
      </c>
    </row>
    <row r="2768" spans="1:5" hidden="1" x14ac:dyDescent="0.25">
      <c r="A2768" s="15">
        <v>29461</v>
      </c>
      <c r="B2768" s="7">
        <v>30937348</v>
      </c>
      <c r="C2768" s="11">
        <v>45894.617812500001</v>
      </c>
      <c r="D2768" s="17" t="s">
        <v>1410</v>
      </c>
      <c r="E2768" t="str">
        <f>IF(COUNTIF($B$2:B2768,B2768)&gt;1,"Duplicado","Único")</f>
        <v>Duplicado</v>
      </c>
    </row>
    <row r="2769" spans="1:5" x14ac:dyDescent="0.25">
      <c r="A2769" s="15">
        <v>758</v>
      </c>
      <c r="B2769" s="7">
        <v>31309207</v>
      </c>
      <c r="C2769" s="11">
        <v>46086.500995370399</v>
      </c>
      <c r="D2769" s="17" t="s">
        <v>3819</v>
      </c>
      <c r="E2769" t="str">
        <f>IF(COUNTIF($B$2:B2769,B2769)&gt;1,"Duplicado","Único")</f>
        <v>Único</v>
      </c>
    </row>
    <row r="2770" spans="1:5" hidden="1" x14ac:dyDescent="0.25">
      <c r="A2770" s="15">
        <v>758</v>
      </c>
      <c r="B2770" s="7">
        <v>31309207</v>
      </c>
      <c r="C2770" s="11">
        <v>46035.500636574099</v>
      </c>
      <c r="D2770" s="17" t="s">
        <v>3144</v>
      </c>
      <c r="E2770" t="str">
        <f>IF(COUNTIF($B$2:B2770,B2770)&gt;1,"Duplicado","Único")</f>
        <v>Duplicado</v>
      </c>
    </row>
    <row r="2771" spans="1:5" x14ac:dyDescent="0.25">
      <c r="A2771" s="15">
        <v>29223</v>
      </c>
      <c r="B2771" s="7">
        <v>31322612</v>
      </c>
      <c r="C2771" s="11">
        <v>45891.699293981503</v>
      </c>
      <c r="D2771" s="17" t="s">
        <v>1398</v>
      </c>
      <c r="E2771" t="str">
        <f>IF(COUNTIF($B$2:B2771,B2771)&gt;1,"Duplicado","Único")</f>
        <v>Único</v>
      </c>
    </row>
    <row r="2772" spans="1:5" x14ac:dyDescent="0.25">
      <c r="A2772" s="15">
        <v>28172</v>
      </c>
      <c r="B2772" s="7">
        <v>31428521</v>
      </c>
      <c r="C2772" s="11">
        <v>45884.6381944444</v>
      </c>
      <c r="D2772" s="17" t="s">
        <v>1319</v>
      </c>
      <c r="E2772" t="str">
        <f>IF(COUNTIF($B$2:B2772,B2772)&gt;1,"Duplicado","Único")</f>
        <v>Único</v>
      </c>
    </row>
    <row r="2773" spans="1:5" x14ac:dyDescent="0.25">
      <c r="A2773" s="15">
        <v>26330</v>
      </c>
      <c r="B2773" s="7">
        <v>31572301</v>
      </c>
      <c r="C2773" s="11">
        <v>45867.410520833299</v>
      </c>
      <c r="D2773" s="17" t="s">
        <v>1193</v>
      </c>
      <c r="E2773" t="str">
        <f>IF(COUNTIF($B$2:B2773,B2773)&gt;1,"Duplicado","Único")</f>
        <v>Único</v>
      </c>
    </row>
    <row r="2774" spans="1:5" x14ac:dyDescent="0.25">
      <c r="A2774" s="15">
        <v>17473</v>
      </c>
      <c r="B2774" s="7">
        <v>31574945</v>
      </c>
      <c r="C2774" s="11">
        <v>46149.434374999997</v>
      </c>
      <c r="D2774" s="17" t="s">
        <v>1384</v>
      </c>
      <c r="E2774" t="str">
        <f>IF(COUNTIF($B$2:B2774,B2774)&gt;1,"Duplicado","Único")</f>
        <v>Único</v>
      </c>
    </row>
    <row r="2775" spans="1:5" hidden="1" x14ac:dyDescent="0.25">
      <c r="A2775" s="15">
        <v>17473</v>
      </c>
      <c r="B2775" s="7">
        <v>31574945</v>
      </c>
      <c r="C2775" s="11">
        <v>46108.576747685198</v>
      </c>
      <c r="D2775" s="17" t="s">
        <v>4226</v>
      </c>
      <c r="E2775" t="str">
        <f>IF(COUNTIF($B$2:B2775,B2775)&gt;1,"Duplicado","Único")</f>
        <v>Duplicado</v>
      </c>
    </row>
    <row r="2776" spans="1:5" x14ac:dyDescent="0.25">
      <c r="A2776" s="15">
        <v>26373</v>
      </c>
      <c r="B2776" s="7">
        <v>3190427</v>
      </c>
      <c r="C2776" s="11">
        <v>45867.418402777803</v>
      </c>
      <c r="D2776" s="17" t="s">
        <v>1197</v>
      </c>
      <c r="E2776" t="str">
        <f>IF(COUNTIF($B$2:B2776,B2776)&gt;1,"Duplicado","Único")</f>
        <v>Único</v>
      </c>
    </row>
    <row r="2777" spans="1:5" x14ac:dyDescent="0.25">
      <c r="A2777" s="15">
        <v>14838</v>
      </c>
      <c r="B2777" s="7">
        <v>31912811</v>
      </c>
      <c r="C2777" s="11">
        <v>46120.5160763889</v>
      </c>
      <c r="D2777" s="17" t="s">
        <v>4289</v>
      </c>
      <c r="E2777" t="str">
        <f>IF(COUNTIF($B$2:B2777,B2777)&gt;1,"Duplicado","Único")</f>
        <v>Único</v>
      </c>
    </row>
    <row r="2778" spans="1:5" hidden="1" x14ac:dyDescent="0.25">
      <c r="A2778" s="15">
        <v>14838</v>
      </c>
      <c r="B2778" s="7">
        <v>31912811</v>
      </c>
      <c r="C2778" s="11">
        <v>46094.421168981498</v>
      </c>
      <c r="D2778" s="17" t="s">
        <v>4027</v>
      </c>
      <c r="E2778" t="str">
        <f>IF(COUNTIF($B$2:B2778,B2778)&gt;1,"Duplicado","Único")</f>
        <v>Duplicado</v>
      </c>
    </row>
    <row r="2779" spans="1:5" x14ac:dyDescent="0.25">
      <c r="A2779" s="15">
        <v>44677</v>
      </c>
      <c r="B2779" s="7">
        <v>31912983</v>
      </c>
      <c r="C2779" s="11">
        <v>45958.677118055602</v>
      </c>
      <c r="D2779" s="17" t="s">
        <v>2181</v>
      </c>
      <c r="E2779" t="str">
        <f>IF(COUNTIF($B$2:B2779,B2779)&gt;1,"Duplicado","Único")</f>
        <v>Único</v>
      </c>
    </row>
    <row r="2780" spans="1:5" x14ac:dyDescent="0.25">
      <c r="A2780" s="15">
        <v>27170</v>
      </c>
      <c r="B2780" s="7">
        <v>31975958</v>
      </c>
      <c r="C2780" s="11">
        <v>45874.457280092603</v>
      </c>
      <c r="D2780" s="17" t="s">
        <v>1251</v>
      </c>
      <c r="E2780" t="str">
        <f>IF(COUNTIF($B$2:B2780,B2780)&gt;1,"Duplicado","Único")</f>
        <v>Único</v>
      </c>
    </row>
    <row r="2781" spans="1:5" x14ac:dyDescent="0.25">
      <c r="A2781" s="15">
        <v>30515</v>
      </c>
      <c r="B2781" s="7">
        <v>3212291</v>
      </c>
      <c r="C2781" s="11">
        <v>45895.735648148097</v>
      </c>
      <c r="D2781" s="17" t="s">
        <v>1439</v>
      </c>
      <c r="E2781" t="str">
        <f>IF(COUNTIF($B$2:B2781,B2781)&gt;1,"Duplicado","Único")</f>
        <v>Único</v>
      </c>
    </row>
    <row r="2782" spans="1:5" x14ac:dyDescent="0.25">
      <c r="A2782" s="15">
        <v>43280</v>
      </c>
      <c r="B2782" s="7">
        <v>32184648</v>
      </c>
      <c r="C2782" s="11">
        <v>45954.6559837963</v>
      </c>
      <c r="D2782" s="17" t="s">
        <v>2076</v>
      </c>
      <c r="E2782" t="str">
        <f>IF(COUNTIF($B$2:B2782,B2782)&gt;1,"Duplicado","Único")</f>
        <v>Único</v>
      </c>
    </row>
    <row r="2783" spans="1:5" x14ac:dyDescent="0.25">
      <c r="A2783" s="15">
        <v>46341</v>
      </c>
      <c r="B2783" s="7">
        <v>32255344</v>
      </c>
      <c r="C2783" s="11">
        <v>45965.504421296297</v>
      </c>
      <c r="D2783" s="17" t="s">
        <v>2314</v>
      </c>
      <c r="E2783" t="str">
        <f>IF(COUNTIF($B$2:B2783,B2783)&gt;1,"Duplicado","Único")</f>
        <v>Único</v>
      </c>
    </row>
    <row r="2784" spans="1:5" x14ac:dyDescent="0.25">
      <c r="A2784" s="15">
        <v>46328</v>
      </c>
      <c r="B2784" s="7">
        <v>32256315</v>
      </c>
      <c r="C2784" s="11">
        <v>45965.502060185201</v>
      </c>
      <c r="D2784" s="17" t="s">
        <v>2311</v>
      </c>
      <c r="E2784" t="str">
        <f>IF(COUNTIF($B$2:B2784,B2784)&gt;1,"Duplicado","Único")</f>
        <v>Único</v>
      </c>
    </row>
    <row r="2785" spans="1:5" x14ac:dyDescent="0.25">
      <c r="A2785" s="15">
        <v>4621</v>
      </c>
      <c r="B2785" s="7">
        <v>32295942</v>
      </c>
      <c r="C2785" s="11">
        <v>46059.5221296296</v>
      </c>
      <c r="D2785" s="17" t="s">
        <v>3748</v>
      </c>
      <c r="E2785" t="str">
        <f>IF(COUNTIF($B$2:B2785,B2785)&gt;1,"Duplicado","Único")</f>
        <v>Único</v>
      </c>
    </row>
    <row r="2786" spans="1:5" hidden="1" x14ac:dyDescent="0.25">
      <c r="A2786" s="15">
        <v>4621</v>
      </c>
      <c r="B2786" s="7">
        <v>32295942</v>
      </c>
      <c r="C2786" s="11">
        <v>46056.660810185203</v>
      </c>
      <c r="D2786" s="17" t="s">
        <v>3622</v>
      </c>
      <c r="E2786" t="str">
        <f>IF(COUNTIF($B$2:B2786,B2786)&gt;1,"Duplicado","Único")</f>
        <v>Duplicado</v>
      </c>
    </row>
    <row r="2787" spans="1:5" x14ac:dyDescent="0.25">
      <c r="A2787" s="15">
        <v>49198</v>
      </c>
      <c r="B2787" s="7">
        <v>32296994</v>
      </c>
      <c r="C2787" s="11">
        <v>45981.378506944398</v>
      </c>
      <c r="D2787" s="17" t="s">
        <v>2628</v>
      </c>
      <c r="E2787" t="str">
        <f>IF(COUNTIF($B$2:B2787,B2787)&gt;1,"Duplicado","Único")</f>
        <v>Único</v>
      </c>
    </row>
    <row r="2788" spans="1:5" x14ac:dyDescent="0.25">
      <c r="A2788" s="15">
        <v>18184</v>
      </c>
      <c r="B2788" s="7">
        <v>32299164</v>
      </c>
      <c r="C2788" s="11">
        <v>46149.409340277802</v>
      </c>
      <c r="D2788" s="17" t="s">
        <v>4435</v>
      </c>
      <c r="E2788" t="str">
        <f>IF(COUNTIF($B$2:B2788,B2788)&gt;1,"Duplicado","Único")</f>
        <v>Único</v>
      </c>
    </row>
    <row r="2789" spans="1:5" hidden="1" x14ac:dyDescent="0.25">
      <c r="A2789" s="15">
        <v>18184</v>
      </c>
      <c r="B2789" s="7">
        <v>32299164</v>
      </c>
      <c r="C2789" s="11">
        <v>46118.351481481499</v>
      </c>
      <c r="D2789" s="17" t="s">
        <v>1177</v>
      </c>
      <c r="E2789" t="str">
        <f>IF(COUNTIF($B$2:B2789,B2789)&gt;1,"Duplicado","Único")</f>
        <v>Duplicado</v>
      </c>
    </row>
    <row r="2790" spans="1:5" x14ac:dyDescent="0.25">
      <c r="A2790" s="15">
        <v>16085</v>
      </c>
      <c r="B2790" s="7">
        <v>32503786</v>
      </c>
      <c r="C2790" s="11">
        <v>46121.405208333301</v>
      </c>
      <c r="D2790" s="17" t="s">
        <v>4356</v>
      </c>
      <c r="E2790" t="str">
        <f>IF(COUNTIF($B$2:B2790,B2790)&gt;1,"Duplicado","Único")</f>
        <v>Único</v>
      </c>
    </row>
    <row r="2791" spans="1:5" hidden="1" x14ac:dyDescent="0.25">
      <c r="A2791" s="15">
        <v>16085</v>
      </c>
      <c r="B2791" s="7">
        <v>32503786</v>
      </c>
      <c r="C2791" s="11">
        <v>46101.774317129602</v>
      </c>
      <c r="D2791" s="17" t="s">
        <v>4130</v>
      </c>
      <c r="E2791" t="str">
        <f>IF(COUNTIF($B$2:B2791,B2791)&gt;1,"Duplicado","Único")</f>
        <v>Duplicado</v>
      </c>
    </row>
    <row r="2792" spans="1:5" x14ac:dyDescent="0.25">
      <c r="A2792" s="15">
        <v>44521</v>
      </c>
      <c r="B2792" s="7">
        <v>32562322</v>
      </c>
      <c r="C2792" s="11">
        <v>45958.485254629602</v>
      </c>
      <c r="D2792" s="17" t="s">
        <v>2133</v>
      </c>
      <c r="E2792" t="str">
        <f>IF(COUNTIF($B$2:B2792,B2792)&gt;1,"Duplicado","Único")</f>
        <v>Único</v>
      </c>
    </row>
    <row r="2793" spans="1:5" x14ac:dyDescent="0.25">
      <c r="A2793" s="15">
        <v>49223</v>
      </c>
      <c r="B2793" s="7">
        <v>32650544</v>
      </c>
      <c r="C2793" s="11">
        <v>45981.390451388899</v>
      </c>
      <c r="D2793" s="17" t="s">
        <v>2631</v>
      </c>
      <c r="E2793" t="str">
        <f>IF(COUNTIF($B$2:B2793,B2793)&gt;1,"Duplicado","Único")</f>
        <v>Único</v>
      </c>
    </row>
    <row r="2794" spans="1:5" x14ac:dyDescent="0.25">
      <c r="A2794" s="15">
        <v>49333</v>
      </c>
      <c r="B2794" s="7">
        <v>32688178</v>
      </c>
      <c r="C2794" s="11">
        <v>45981.432997685202</v>
      </c>
      <c r="D2794" s="17" t="s">
        <v>2638</v>
      </c>
      <c r="E2794" t="str">
        <f>IF(COUNTIF($B$2:B2794,B2794)&gt;1,"Duplicado","Único")</f>
        <v>Único</v>
      </c>
    </row>
    <row r="2795" spans="1:5" x14ac:dyDescent="0.25">
      <c r="A2795" s="15">
        <v>44633</v>
      </c>
      <c r="B2795" s="7">
        <v>32688541</v>
      </c>
      <c r="C2795" s="11">
        <v>45958.532395833303</v>
      </c>
      <c r="D2795" s="17" t="s">
        <v>2147</v>
      </c>
      <c r="E2795" t="str">
        <f>IF(COUNTIF($B$2:B2795,B2795)&gt;1,"Duplicado","Único")</f>
        <v>Único</v>
      </c>
    </row>
    <row r="2796" spans="1:5" x14ac:dyDescent="0.25">
      <c r="A2796" s="15">
        <v>48539</v>
      </c>
      <c r="B2796" s="7">
        <v>3277353</v>
      </c>
      <c r="C2796" s="11">
        <v>45979.4995486111</v>
      </c>
      <c r="D2796" s="17" t="s">
        <v>2556</v>
      </c>
      <c r="E2796" t="str">
        <f>IF(COUNTIF($B$2:B2796,B2796)&gt;1,"Duplicado","Único")</f>
        <v>Único</v>
      </c>
    </row>
    <row r="2797" spans="1:5" x14ac:dyDescent="0.25">
      <c r="A2797" s="15">
        <v>48164</v>
      </c>
      <c r="B2797" s="7">
        <v>32834835</v>
      </c>
      <c r="C2797" s="11">
        <v>45974.438090277799</v>
      </c>
      <c r="D2797" s="17" t="s">
        <v>2503</v>
      </c>
      <c r="E2797" t="str">
        <f>IF(COUNTIF($B$2:B2797,B2797)&gt;1,"Duplicado","Único")</f>
        <v>Único</v>
      </c>
    </row>
    <row r="2798" spans="1:5" x14ac:dyDescent="0.25">
      <c r="A2798" s="15">
        <v>31225</v>
      </c>
      <c r="B2798" s="7">
        <v>32906296</v>
      </c>
      <c r="C2798" s="11">
        <v>45903.646828703699</v>
      </c>
      <c r="D2798" s="17" t="s">
        <v>1501</v>
      </c>
      <c r="E2798" t="str">
        <f>IF(COUNTIF($B$2:B2798,B2798)&gt;1,"Duplicado","Único")</f>
        <v>Único</v>
      </c>
    </row>
    <row r="2799" spans="1:5" x14ac:dyDescent="0.25">
      <c r="A2799" s="15">
        <v>44254</v>
      </c>
      <c r="B2799" s="7">
        <v>32939914</v>
      </c>
      <c r="C2799" s="11">
        <v>45958.427430555603</v>
      </c>
      <c r="D2799" s="17" t="s">
        <v>2120</v>
      </c>
      <c r="E2799" t="str">
        <f>IF(COUNTIF($B$2:B2799,B2799)&gt;1,"Duplicado","Único")</f>
        <v>Único</v>
      </c>
    </row>
    <row r="2800" spans="1:5" x14ac:dyDescent="0.25">
      <c r="A2800" s="15">
        <v>51232</v>
      </c>
      <c r="B2800" s="7">
        <v>33368764</v>
      </c>
      <c r="C2800" s="11">
        <v>46050.695474537002</v>
      </c>
      <c r="D2800" s="17" t="s">
        <v>3416</v>
      </c>
      <c r="E2800" t="str">
        <f>IF(COUNTIF($B$2:B2800,B2800)&gt;1,"Duplicado","Único")</f>
        <v>Único</v>
      </c>
    </row>
    <row r="2801" spans="1:5" hidden="1" x14ac:dyDescent="0.25">
      <c r="A2801" s="15">
        <v>51232</v>
      </c>
      <c r="B2801" s="7">
        <v>33368764</v>
      </c>
      <c r="C2801" s="11">
        <v>46001.490057870396</v>
      </c>
      <c r="D2801" s="17" t="s">
        <v>2859</v>
      </c>
      <c r="E2801" t="str">
        <f>IF(COUNTIF($B$2:B2801,B2801)&gt;1,"Duplicado","Único")</f>
        <v>Duplicado</v>
      </c>
    </row>
    <row r="2802" spans="1:5" x14ac:dyDescent="0.25">
      <c r="A2802" s="15">
        <v>21232</v>
      </c>
      <c r="B2802" s="7">
        <v>3383892</v>
      </c>
      <c r="C2802" s="11">
        <v>45824.402488425898</v>
      </c>
      <c r="D2802" s="17" t="s">
        <v>932</v>
      </c>
      <c r="E2802" t="str">
        <f>IF(COUNTIF($B$2:B2802,B2802)&gt;1,"Duplicado","Único")</f>
        <v>Único</v>
      </c>
    </row>
    <row r="2803" spans="1:5" x14ac:dyDescent="0.25">
      <c r="A2803" s="15">
        <v>23686</v>
      </c>
      <c r="B2803" s="7">
        <v>3396218</v>
      </c>
      <c r="C2803" s="11">
        <v>45842.481643518498</v>
      </c>
      <c r="D2803" s="17" t="s">
        <v>1051</v>
      </c>
      <c r="E2803" t="str">
        <f>IF(COUNTIF($B$2:B2803,B2803)&gt;1,"Duplicado","Único")</f>
        <v>Único</v>
      </c>
    </row>
    <row r="2804" spans="1:5" x14ac:dyDescent="0.25">
      <c r="A2804" s="15">
        <v>24504</v>
      </c>
      <c r="B2804" s="7">
        <v>34324636</v>
      </c>
      <c r="C2804" s="11">
        <v>45856.508136574099</v>
      </c>
      <c r="D2804" s="17" t="s">
        <v>1084</v>
      </c>
      <c r="E2804" t="str">
        <f>IF(COUNTIF($B$2:B2804,B2804)&gt;1,"Duplicado","Único")</f>
        <v>Único</v>
      </c>
    </row>
    <row r="2805" spans="1:5" x14ac:dyDescent="0.25">
      <c r="A2805" s="15">
        <v>29676</v>
      </c>
      <c r="B2805" s="7">
        <v>34562377</v>
      </c>
      <c r="C2805" s="11">
        <v>45894.719375000001</v>
      </c>
      <c r="D2805" s="17" t="s">
        <v>1421</v>
      </c>
      <c r="E2805" t="str">
        <f>IF(COUNTIF($B$2:B2805,B2805)&gt;1,"Duplicado","Único")</f>
        <v>Único</v>
      </c>
    </row>
    <row r="2806" spans="1:5" x14ac:dyDescent="0.25">
      <c r="A2806" s="15">
        <v>433</v>
      </c>
      <c r="B2806" s="7">
        <v>34609793</v>
      </c>
      <c r="C2806" s="11">
        <v>46086.501701388901</v>
      </c>
      <c r="D2806" s="17" t="s">
        <v>3820</v>
      </c>
      <c r="E2806" t="str">
        <f>IF(COUNTIF($B$2:B2806,B2806)&gt;1,"Duplicado","Único")</f>
        <v>Único</v>
      </c>
    </row>
    <row r="2807" spans="1:5" hidden="1" x14ac:dyDescent="0.25">
      <c r="A2807" s="15">
        <v>433</v>
      </c>
      <c r="B2807" s="7">
        <v>34609793</v>
      </c>
      <c r="C2807" s="11">
        <v>46035.380358796298</v>
      </c>
      <c r="D2807" s="17" t="s">
        <v>3132</v>
      </c>
      <c r="E2807" t="str">
        <f>IF(COUNTIF($B$2:B2807,B2807)&gt;1,"Duplicado","Único")</f>
        <v>Duplicado</v>
      </c>
    </row>
    <row r="2808" spans="1:5" x14ac:dyDescent="0.25">
      <c r="A2808" s="15">
        <v>50284</v>
      </c>
      <c r="B2808" s="7">
        <v>3506995</v>
      </c>
      <c r="C2808" s="11">
        <v>46050.608275462997</v>
      </c>
      <c r="D2808" s="17" t="s">
        <v>3311</v>
      </c>
      <c r="E2808" t="str">
        <f>IF(COUNTIF($B$2:B2808,B2808)&gt;1,"Duplicado","Único")</f>
        <v>Único</v>
      </c>
    </row>
    <row r="2809" spans="1:5" hidden="1" x14ac:dyDescent="0.25">
      <c r="A2809" s="15">
        <v>50284</v>
      </c>
      <c r="B2809" s="7">
        <v>3506995</v>
      </c>
      <c r="C2809" s="11">
        <v>45988.3418634259</v>
      </c>
      <c r="D2809" s="17" t="s">
        <v>2745</v>
      </c>
      <c r="E2809" t="str">
        <f>IF(COUNTIF($B$2:B2809,B2809)&gt;1,"Duplicado","Único")</f>
        <v>Duplicado</v>
      </c>
    </row>
    <row r="2810" spans="1:5" x14ac:dyDescent="0.25">
      <c r="A2810" s="15">
        <v>17457</v>
      </c>
      <c r="B2810" s="7">
        <v>35262016</v>
      </c>
      <c r="C2810" s="11">
        <v>46149.434768518498</v>
      </c>
      <c r="D2810" s="17" t="s">
        <v>1385</v>
      </c>
      <c r="E2810" t="str">
        <f>IF(COUNTIF($B$2:B2810,B2810)&gt;1,"Duplicado","Único")</f>
        <v>Único</v>
      </c>
    </row>
    <row r="2811" spans="1:5" hidden="1" x14ac:dyDescent="0.25">
      <c r="A2811" s="15">
        <v>17457</v>
      </c>
      <c r="B2811" s="7">
        <v>35262016</v>
      </c>
      <c r="C2811" s="11">
        <v>46108.473668981504</v>
      </c>
      <c r="D2811" s="17" t="s">
        <v>4187</v>
      </c>
      <c r="E2811" t="str">
        <f>IF(COUNTIF($B$2:B2811,B2811)&gt;1,"Duplicado","Único")</f>
        <v>Duplicado</v>
      </c>
    </row>
    <row r="2812" spans="1:5" x14ac:dyDescent="0.25">
      <c r="A2812" s="15">
        <v>23871</v>
      </c>
      <c r="B2812" s="7">
        <v>35493782</v>
      </c>
      <c r="C2812" s="11">
        <v>45852.510370370401</v>
      </c>
      <c r="D2812" s="17" t="s">
        <v>1064</v>
      </c>
      <c r="E2812" t="str">
        <f>IF(COUNTIF($B$2:B2812,B2812)&gt;1,"Duplicado","Único")</f>
        <v>Único</v>
      </c>
    </row>
    <row r="2813" spans="1:5" x14ac:dyDescent="0.25">
      <c r="A2813" s="15">
        <v>15718</v>
      </c>
      <c r="B2813" s="7">
        <v>35501971</v>
      </c>
      <c r="C2813" s="11">
        <v>46121.406331018501</v>
      </c>
      <c r="D2813" s="17" t="s">
        <v>4357</v>
      </c>
      <c r="E2813" t="str">
        <f>IF(COUNTIF($B$2:B2813,B2813)&gt;1,"Duplicado","Único")</f>
        <v>Único</v>
      </c>
    </row>
    <row r="2814" spans="1:5" hidden="1" x14ac:dyDescent="0.25">
      <c r="A2814" s="15">
        <v>15718</v>
      </c>
      <c r="B2814" s="7">
        <v>35501971</v>
      </c>
      <c r="C2814" s="11">
        <v>46101.678043981497</v>
      </c>
      <c r="D2814" s="17" t="s">
        <v>4111</v>
      </c>
      <c r="E2814" t="str">
        <f>IF(COUNTIF($B$2:B2814,B2814)&gt;1,"Duplicado","Único")</f>
        <v>Duplicado</v>
      </c>
    </row>
    <row r="2815" spans="1:5" x14ac:dyDescent="0.25">
      <c r="A2815" s="15">
        <v>47205</v>
      </c>
      <c r="B2815" s="7">
        <v>35696274</v>
      </c>
      <c r="C2815" s="11">
        <v>45968.752476851798</v>
      </c>
      <c r="D2815" s="17" t="s">
        <v>2400</v>
      </c>
      <c r="E2815" t="str">
        <f>IF(COUNTIF($B$2:B2815,B2815)&gt;1,"Duplicado","Único")</f>
        <v>Único</v>
      </c>
    </row>
    <row r="2816" spans="1:5" x14ac:dyDescent="0.25">
      <c r="A2816" s="15">
        <v>28445</v>
      </c>
      <c r="B2816" s="7">
        <v>35899085</v>
      </c>
      <c r="C2816" s="11">
        <v>45888.5054282407</v>
      </c>
      <c r="D2816" s="17" t="s">
        <v>1332</v>
      </c>
      <c r="E2816" t="str">
        <f>IF(COUNTIF($B$2:B2816,B2816)&gt;1,"Duplicado","Único")</f>
        <v>Único</v>
      </c>
    </row>
    <row r="2817" spans="1:5" x14ac:dyDescent="0.25">
      <c r="A2817" s="15">
        <v>42404</v>
      </c>
      <c r="B2817" s="7">
        <v>3592590</v>
      </c>
      <c r="C2817" s="11">
        <v>45951.613506944399</v>
      </c>
      <c r="D2817" s="17" t="s">
        <v>2027</v>
      </c>
      <c r="E2817" t="str">
        <f>IF(COUNTIF($B$2:B2817,B2817)&gt;1,"Duplicado","Único")</f>
        <v>Único</v>
      </c>
    </row>
    <row r="2818" spans="1:5" x14ac:dyDescent="0.25">
      <c r="A2818" s="15">
        <v>54512</v>
      </c>
      <c r="B2818" s="7">
        <v>36146181</v>
      </c>
      <c r="C2818" s="11">
        <v>46057.449282407397</v>
      </c>
      <c r="D2818" s="17" t="s">
        <v>3722</v>
      </c>
      <c r="E2818" t="str">
        <f>IF(COUNTIF($B$2:B2818,B2818)&gt;1,"Duplicado","Único")</f>
        <v>Único</v>
      </c>
    </row>
    <row r="2819" spans="1:5" hidden="1" x14ac:dyDescent="0.25">
      <c r="A2819" s="15">
        <v>54512</v>
      </c>
      <c r="B2819" s="7">
        <v>36146181</v>
      </c>
      <c r="C2819" s="11">
        <v>46017.639062499999</v>
      </c>
      <c r="D2819" s="17" t="s">
        <v>3094</v>
      </c>
      <c r="E2819" t="str">
        <f>IF(COUNTIF($B$2:B2819,B2819)&gt;1,"Duplicado","Único")</f>
        <v>Duplicado</v>
      </c>
    </row>
    <row r="2820" spans="1:5" x14ac:dyDescent="0.25">
      <c r="A2820" s="15">
        <v>50082</v>
      </c>
      <c r="B2820" s="7">
        <v>36294662</v>
      </c>
      <c r="C2820" s="11">
        <v>46050.514224537001</v>
      </c>
      <c r="D2820" s="17" t="s">
        <v>3282</v>
      </c>
      <c r="E2820" t="str">
        <f>IF(COUNTIF($B$2:B2820,B2820)&gt;1,"Duplicado","Único")</f>
        <v>Único</v>
      </c>
    </row>
    <row r="2821" spans="1:5" hidden="1" x14ac:dyDescent="0.25">
      <c r="A2821" s="15">
        <v>50082</v>
      </c>
      <c r="B2821" s="7">
        <v>36294662</v>
      </c>
      <c r="C2821" s="11">
        <v>45987.390914351898</v>
      </c>
      <c r="D2821" s="17" t="s">
        <v>2721</v>
      </c>
      <c r="E2821" t="str">
        <f>IF(COUNTIF($B$2:B2821,B2821)&gt;1,"Duplicado","Único")</f>
        <v>Duplicado</v>
      </c>
    </row>
    <row r="2822" spans="1:5" x14ac:dyDescent="0.25">
      <c r="A2822" s="15">
        <v>28113</v>
      </c>
      <c r="B2822" s="7">
        <v>36301539</v>
      </c>
      <c r="C2822" s="11">
        <v>45884.528657407398</v>
      </c>
      <c r="D2822" s="17" t="s">
        <v>1311</v>
      </c>
      <c r="E2822" t="str">
        <f>IF(COUNTIF($B$2:B2822,B2822)&gt;1,"Duplicado","Único")</f>
        <v>Único</v>
      </c>
    </row>
    <row r="2823" spans="1:5" x14ac:dyDescent="0.25">
      <c r="A2823" s="15">
        <v>50837</v>
      </c>
      <c r="B2823" s="7">
        <v>36307328</v>
      </c>
      <c r="C2823" s="11">
        <v>46050.656041666698</v>
      </c>
      <c r="D2823" s="17" t="s">
        <v>3369</v>
      </c>
      <c r="E2823" t="str">
        <f>IF(COUNTIF($B$2:B2823,B2823)&gt;1,"Duplicado","Único")</f>
        <v>Único</v>
      </c>
    </row>
    <row r="2824" spans="1:5" hidden="1" x14ac:dyDescent="0.25">
      <c r="A2824" s="15">
        <v>50837</v>
      </c>
      <c r="B2824" s="7">
        <v>36307328</v>
      </c>
      <c r="C2824" s="11">
        <v>45992.588761574101</v>
      </c>
      <c r="D2824" s="17" t="s">
        <v>2818</v>
      </c>
      <c r="E2824" t="str">
        <f>IF(COUNTIF($B$2:B2824,B2824)&gt;1,"Duplicado","Único")</f>
        <v>Duplicado</v>
      </c>
    </row>
    <row r="2825" spans="1:5" x14ac:dyDescent="0.25">
      <c r="A2825" s="15">
        <v>21723</v>
      </c>
      <c r="B2825" s="7">
        <v>36313254</v>
      </c>
      <c r="C2825" s="11">
        <v>45825.489965277797</v>
      </c>
      <c r="D2825" s="17" t="s">
        <v>954</v>
      </c>
      <c r="E2825" t="str">
        <f>IF(COUNTIF($B$2:B2825,B2825)&gt;1,"Duplicado","Único")</f>
        <v>Único</v>
      </c>
    </row>
    <row r="2826" spans="1:5" x14ac:dyDescent="0.25">
      <c r="A2826" s="15">
        <v>41567</v>
      </c>
      <c r="B2826" s="7">
        <v>36314416</v>
      </c>
      <c r="C2826" s="11">
        <v>45938.4391666667</v>
      </c>
      <c r="D2826" s="17" t="s">
        <v>1989</v>
      </c>
      <c r="E2826" t="str">
        <f>IF(COUNTIF($B$2:B2826,B2826)&gt;1,"Duplicado","Único")</f>
        <v>Único</v>
      </c>
    </row>
    <row r="2827" spans="1:5" x14ac:dyDescent="0.25">
      <c r="A2827" s="15">
        <v>44056</v>
      </c>
      <c r="B2827" s="7">
        <v>36345698</v>
      </c>
      <c r="C2827" s="11">
        <v>45958.3815046296</v>
      </c>
      <c r="D2827" s="17" t="s">
        <v>2106</v>
      </c>
      <c r="E2827" t="str">
        <f>IF(COUNTIF($B$2:B2827,B2827)&gt;1,"Duplicado","Único")</f>
        <v>Único</v>
      </c>
    </row>
    <row r="2828" spans="1:5" x14ac:dyDescent="0.25">
      <c r="A2828" s="15">
        <v>5178</v>
      </c>
      <c r="B2828" s="7">
        <v>36752003</v>
      </c>
      <c r="C2828" s="11">
        <v>46066.421956018501</v>
      </c>
      <c r="D2828" s="17" t="s">
        <v>3758</v>
      </c>
      <c r="E2828" t="str">
        <f>IF(COUNTIF($B$2:B2828,B2828)&gt;1,"Duplicado","Único")</f>
        <v>Único</v>
      </c>
    </row>
    <row r="2829" spans="1:5" hidden="1" x14ac:dyDescent="0.25">
      <c r="A2829" s="15">
        <v>5178</v>
      </c>
      <c r="B2829" s="7">
        <v>36752003</v>
      </c>
      <c r="C2829" s="11">
        <v>46058.461504629602</v>
      </c>
      <c r="D2829" s="17" t="s">
        <v>3739</v>
      </c>
      <c r="E2829" t="str">
        <f>IF(COUNTIF($B$2:B2829,B2829)&gt;1,"Duplicado","Único")</f>
        <v>Duplicado</v>
      </c>
    </row>
    <row r="2830" spans="1:5" x14ac:dyDescent="0.25">
      <c r="A2830" s="15">
        <v>1968</v>
      </c>
      <c r="B2830" s="7">
        <v>37080233</v>
      </c>
      <c r="C2830" s="11">
        <v>46086.695115740702</v>
      </c>
      <c r="D2830" s="17" t="s">
        <v>3882</v>
      </c>
      <c r="E2830" t="str">
        <f>IF(COUNTIF($B$2:B2830,B2830)&gt;1,"Duplicado","Único")</f>
        <v>Único</v>
      </c>
    </row>
    <row r="2831" spans="1:5" hidden="1" x14ac:dyDescent="0.25">
      <c r="A2831" s="15">
        <v>1968</v>
      </c>
      <c r="B2831" s="7">
        <v>37080233</v>
      </c>
      <c r="C2831" s="11">
        <v>46048.630219907398</v>
      </c>
      <c r="D2831" s="17" t="s">
        <v>3205</v>
      </c>
      <c r="E2831" t="str">
        <f>IF(COUNTIF($B$2:B2831,B2831)&gt;1,"Duplicado","Único")</f>
        <v>Duplicado</v>
      </c>
    </row>
    <row r="2832" spans="1:5" x14ac:dyDescent="0.25">
      <c r="A2832" s="15">
        <v>45979</v>
      </c>
      <c r="B2832" s="7">
        <v>37182737</v>
      </c>
      <c r="C2832" s="11">
        <v>45961.695775462998</v>
      </c>
      <c r="D2832" s="17" t="s">
        <v>2290</v>
      </c>
      <c r="E2832" t="str">
        <f>IF(COUNTIF($B$2:B2832,B2832)&gt;1,"Duplicado","Único")</f>
        <v>Único</v>
      </c>
    </row>
    <row r="2833" spans="1:5" x14ac:dyDescent="0.25">
      <c r="A2833" s="15">
        <v>14299</v>
      </c>
      <c r="B2833" s="7">
        <v>37229945</v>
      </c>
      <c r="C2833" s="11">
        <v>46120.462037037003</v>
      </c>
      <c r="D2833" s="17" t="s">
        <v>4254</v>
      </c>
      <c r="E2833" t="str">
        <f>IF(COUNTIF($B$2:B2833,B2833)&gt;1,"Duplicado","Único")</f>
        <v>Único</v>
      </c>
    </row>
    <row r="2834" spans="1:5" hidden="1" x14ac:dyDescent="0.25">
      <c r="A2834" s="15">
        <v>14299</v>
      </c>
      <c r="B2834" s="7">
        <v>37229945</v>
      </c>
      <c r="C2834" s="11">
        <v>46090.656226851897</v>
      </c>
      <c r="D2834" s="17" t="s">
        <v>4015</v>
      </c>
      <c r="E2834" t="str">
        <f>IF(COUNTIF($B$2:B2834,B2834)&gt;1,"Duplicado","Único")</f>
        <v>Duplicado</v>
      </c>
    </row>
    <row r="2835" spans="1:5" x14ac:dyDescent="0.25">
      <c r="A2835" s="15">
        <v>50196</v>
      </c>
      <c r="B2835" s="7">
        <v>37555639</v>
      </c>
      <c r="C2835" s="11">
        <v>46050.514872685198</v>
      </c>
      <c r="D2835" s="17" t="s">
        <v>3283</v>
      </c>
      <c r="E2835" t="str">
        <f>IF(COUNTIF($B$2:B2835,B2835)&gt;1,"Duplicado","Único")</f>
        <v>Único</v>
      </c>
    </row>
    <row r="2836" spans="1:5" hidden="1" x14ac:dyDescent="0.25">
      <c r="A2836" s="15">
        <v>50196</v>
      </c>
      <c r="B2836" s="7">
        <v>37555639</v>
      </c>
      <c r="C2836" s="11">
        <v>45987.505729166704</v>
      </c>
      <c r="D2836" s="17" t="s">
        <v>2743</v>
      </c>
      <c r="E2836" t="str">
        <f>IF(COUNTIF($B$2:B2836,B2836)&gt;1,"Duplicado","Único")</f>
        <v>Duplicado</v>
      </c>
    </row>
    <row r="2837" spans="1:5" x14ac:dyDescent="0.25">
      <c r="A2837" s="15">
        <v>13735</v>
      </c>
      <c r="B2837" s="7">
        <v>37581200</v>
      </c>
      <c r="C2837" s="11">
        <v>46149.654074074097</v>
      </c>
      <c r="D2837" s="17" t="s">
        <v>4550</v>
      </c>
      <c r="E2837" t="str">
        <f>IF(COUNTIF($B$2:B2837,B2837)&gt;1,"Duplicado","Único")</f>
        <v>Único</v>
      </c>
    </row>
    <row r="2838" spans="1:5" hidden="1" x14ac:dyDescent="0.25">
      <c r="A2838" s="15">
        <v>13735</v>
      </c>
      <c r="B2838" s="7">
        <v>37581200</v>
      </c>
      <c r="C2838" s="11">
        <v>46084.508391203701</v>
      </c>
      <c r="D2838" s="17" t="s">
        <v>941</v>
      </c>
      <c r="E2838" t="str">
        <f>IF(COUNTIF($B$2:B2838,B2838)&gt;1,"Duplicado","Único")</f>
        <v>Duplicado</v>
      </c>
    </row>
    <row r="2839" spans="1:5" x14ac:dyDescent="0.25">
      <c r="A2839" s="15">
        <v>49615</v>
      </c>
      <c r="B2839" s="7">
        <v>37722472</v>
      </c>
      <c r="C2839" s="11">
        <v>46050.426828703698</v>
      </c>
      <c r="D2839" s="17" t="s">
        <v>3229</v>
      </c>
      <c r="E2839" t="str">
        <f>IF(COUNTIF($B$2:B2839,B2839)&gt;1,"Duplicado","Único")</f>
        <v>Único</v>
      </c>
    </row>
    <row r="2840" spans="1:5" hidden="1" x14ac:dyDescent="0.25">
      <c r="A2840" s="15">
        <v>49615</v>
      </c>
      <c r="B2840" s="7">
        <v>37722472</v>
      </c>
      <c r="C2840" s="11">
        <v>45985.378622685203</v>
      </c>
      <c r="D2840" s="17" t="s">
        <v>2679</v>
      </c>
      <c r="E2840" t="str">
        <f>IF(COUNTIF($B$2:B2840,B2840)&gt;1,"Duplicado","Único")</f>
        <v>Duplicado</v>
      </c>
    </row>
    <row r="2841" spans="1:5" x14ac:dyDescent="0.25">
      <c r="A2841" s="15">
        <v>54851</v>
      </c>
      <c r="B2841" s="7">
        <v>37725623</v>
      </c>
      <c r="C2841" s="11">
        <v>46035.430034722202</v>
      </c>
      <c r="D2841" s="17" t="s">
        <v>3136</v>
      </c>
      <c r="E2841" t="str">
        <f>IF(COUNTIF($B$2:B2841,B2841)&gt;1,"Duplicado","Único")</f>
        <v>Único</v>
      </c>
    </row>
    <row r="2842" spans="1:5" hidden="1" x14ac:dyDescent="0.25">
      <c r="A2842" s="15">
        <v>54851</v>
      </c>
      <c r="B2842" s="7">
        <v>37725623</v>
      </c>
      <c r="C2842" s="11">
        <v>46020.603900463</v>
      </c>
      <c r="D2842" s="17" t="s">
        <v>3099</v>
      </c>
      <c r="E2842" t="str">
        <f>IF(COUNTIF($B$2:B2842,B2842)&gt;1,"Duplicado","Único")</f>
        <v>Duplicado</v>
      </c>
    </row>
    <row r="2843" spans="1:5" x14ac:dyDescent="0.25">
      <c r="A2843" s="15">
        <v>16862</v>
      </c>
      <c r="B2843" s="7">
        <v>37752355</v>
      </c>
      <c r="C2843" s="11">
        <v>46149.435358796298</v>
      </c>
      <c r="D2843" s="17" t="s">
        <v>4474</v>
      </c>
      <c r="E2843" t="str">
        <f>IF(COUNTIF($B$2:B2843,B2843)&gt;1,"Duplicado","Único")</f>
        <v>Único</v>
      </c>
    </row>
    <row r="2844" spans="1:5" hidden="1" x14ac:dyDescent="0.25">
      <c r="A2844" s="15">
        <v>16862</v>
      </c>
      <c r="B2844" s="7">
        <v>37752355</v>
      </c>
      <c r="C2844" s="11">
        <v>46108.494780092602</v>
      </c>
      <c r="D2844" s="17" t="s">
        <v>4196</v>
      </c>
      <c r="E2844" t="str">
        <f>IF(COUNTIF($B$2:B2844,B2844)&gt;1,"Duplicado","Único")</f>
        <v>Duplicado</v>
      </c>
    </row>
    <row r="2845" spans="1:5" x14ac:dyDescent="0.25">
      <c r="A2845" s="15">
        <v>3823</v>
      </c>
      <c r="B2845" s="7">
        <v>37893152</v>
      </c>
      <c r="C2845" s="11">
        <v>46086.772106481498</v>
      </c>
      <c r="D2845" s="17" t="s">
        <v>3956</v>
      </c>
      <c r="E2845" t="str">
        <f>IF(COUNTIF($B$2:B2845,B2845)&gt;1,"Duplicado","Único")</f>
        <v>Único</v>
      </c>
    </row>
    <row r="2846" spans="1:5" hidden="1" x14ac:dyDescent="0.25">
      <c r="A2846" s="15">
        <v>3823</v>
      </c>
      <c r="B2846" s="7">
        <v>37893152</v>
      </c>
      <c r="C2846" s="11">
        <v>46055.411400463003</v>
      </c>
      <c r="D2846" s="17" t="s">
        <v>3587</v>
      </c>
      <c r="E2846" t="str">
        <f>IF(COUNTIF($B$2:B2846,B2846)&gt;1,"Duplicado","Único")</f>
        <v>Duplicado</v>
      </c>
    </row>
    <row r="2847" spans="1:5" x14ac:dyDescent="0.25">
      <c r="A2847" s="15">
        <v>38157</v>
      </c>
      <c r="B2847" s="7">
        <v>3798453</v>
      </c>
      <c r="C2847" s="11">
        <v>45925.370069444398</v>
      </c>
      <c r="D2847" s="17" t="s">
        <v>1820</v>
      </c>
      <c r="E2847" t="str">
        <f>IF(COUNTIF($B$2:B2847,B2847)&gt;1,"Duplicado","Único")</f>
        <v>Único</v>
      </c>
    </row>
    <row r="2848" spans="1:5" x14ac:dyDescent="0.25">
      <c r="A2848" s="15">
        <v>15035</v>
      </c>
      <c r="B2848" s="7">
        <v>38251970</v>
      </c>
      <c r="C2848" s="11">
        <v>46120.517048611102</v>
      </c>
      <c r="D2848" s="17" t="s">
        <v>4290</v>
      </c>
      <c r="E2848" t="str">
        <f>IF(COUNTIF($B$2:B2848,B2848)&gt;1,"Duplicado","Único")</f>
        <v>Único</v>
      </c>
    </row>
    <row r="2849" spans="1:5" hidden="1" x14ac:dyDescent="0.25">
      <c r="A2849" s="15">
        <v>15035</v>
      </c>
      <c r="B2849" s="7">
        <v>38251970</v>
      </c>
      <c r="C2849" s="11">
        <v>46094.498298611099</v>
      </c>
      <c r="D2849" s="17" t="s">
        <v>4059</v>
      </c>
      <c r="E2849" t="str">
        <f>IF(COUNTIF($B$2:B2849,B2849)&gt;1,"Duplicado","Único")</f>
        <v>Duplicado</v>
      </c>
    </row>
    <row r="2850" spans="1:5" x14ac:dyDescent="0.25">
      <c r="A2850" s="15">
        <v>54001</v>
      </c>
      <c r="B2850" s="7">
        <v>38463102</v>
      </c>
      <c r="C2850" s="11">
        <v>46057.360254629602</v>
      </c>
      <c r="D2850" s="17" t="s">
        <v>3645</v>
      </c>
      <c r="E2850" t="str">
        <f>IF(COUNTIF($B$2:B2850,B2850)&gt;1,"Duplicado","Único")</f>
        <v>Único</v>
      </c>
    </row>
    <row r="2851" spans="1:5" hidden="1" x14ac:dyDescent="0.25">
      <c r="A2851" s="15">
        <v>54001</v>
      </c>
      <c r="B2851" s="7">
        <v>38463102</v>
      </c>
      <c r="C2851" s="11">
        <v>46013.621238425898</v>
      </c>
      <c r="D2851" s="17" t="s">
        <v>3050</v>
      </c>
      <c r="E2851" t="str">
        <f>IF(COUNTIF($B$2:B2851,B2851)&gt;1,"Duplicado","Único")</f>
        <v>Duplicado</v>
      </c>
    </row>
    <row r="2852" spans="1:5" x14ac:dyDescent="0.25">
      <c r="A2852" s="15">
        <v>47043</v>
      </c>
      <c r="B2852" s="7">
        <v>38604007</v>
      </c>
      <c r="C2852" s="11">
        <v>45968.4110069444</v>
      </c>
      <c r="D2852" s="17" t="s">
        <v>2385</v>
      </c>
      <c r="E2852" t="str">
        <f>IF(COUNTIF($B$2:B2852,B2852)&gt;1,"Duplicado","Único")</f>
        <v>Único</v>
      </c>
    </row>
    <row r="2853" spans="1:5" x14ac:dyDescent="0.25">
      <c r="A2853" s="15">
        <v>21438</v>
      </c>
      <c r="B2853" s="7">
        <v>38604319</v>
      </c>
      <c r="C2853" s="11">
        <v>45825.344976851899</v>
      </c>
      <c r="D2853" s="17" t="s">
        <v>941</v>
      </c>
      <c r="E2853" t="str">
        <f>IF(COUNTIF($B$2:B2853,B2853)&gt;1,"Duplicado","Único")</f>
        <v>Único</v>
      </c>
    </row>
    <row r="2854" spans="1:5" x14ac:dyDescent="0.25">
      <c r="A2854" s="15">
        <v>53129</v>
      </c>
      <c r="B2854" s="7">
        <v>38871360</v>
      </c>
      <c r="C2854" s="11">
        <v>46057.3614467593</v>
      </c>
      <c r="D2854" s="17" t="s">
        <v>3646</v>
      </c>
      <c r="E2854" t="str">
        <f>IF(COUNTIF($B$2:B2854,B2854)&gt;1,"Duplicado","Único")</f>
        <v>Único</v>
      </c>
    </row>
    <row r="2855" spans="1:5" hidden="1" x14ac:dyDescent="0.25">
      <c r="A2855" s="15">
        <v>53129</v>
      </c>
      <c r="B2855" s="7">
        <v>38871360</v>
      </c>
      <c r="C2855" s="11">
        <v>46013.377766203703</v>
      </c>
      <c r="D2855" s="17" t="s">
        <v>2998</v>
      </c>
      <c r="E2855" t="str">
        <f>IF(COUNTIF($B$2:B2855,B2855)&gt;1,"Duplicado","Único")</f>
        <v>Duplicado</v>
      </c>
    </row>
    <row r="2856" spans="1:5" x14ac:dyDescent="0.25">
      <c r="A2856" s="15">
        <v>2826</v>
      </c>
      <c r="B2856" s="7">
        <v>39071462</v>
      </c>
      <c r="C2856" s="11">
        <v>46086.731134259302</v>
      </c>
      <c r="D2856" s="17" t="s">
        <v>3915</v>
      </c>
      <c r="E2856" t="str">
        <f>IF(COUNTIF($B$2:B2856,B2856)&gt;1,"Duplicado","Único")</f>
        <v>Único</v>
      </c>
    </row>
    <row r="2857" spans="1:5" hidden="1" x14ac:dyDescent="0.25">
      <c r="A2857" s="15">
        <v>2826</v>
      </c>
      <c r="B2857" s="7">
        <v>39071462</v>
      </c>
      <c r="C2857" s="11">
        <v>46050.473240740699</v>
      </c>
      <c r="D2857" s="17" t="s">
        <v>3257</v>
      </c>
      <c r="E2857" t="str">
        <f>IF(COUNTIF($B$2:B2857,B2857)&gt;1,"Duplicado","Único")</f>
        <v>Duplicado</v>
      </c>
    </row>
    <row r="2858" spans="1:5" x14ac:dyDescent="0.25">
      <c r="A2858" s="15">
        <v>31509</v>
      </c>
      <c r="B2858" s="7">
        <v>39200270</v>
      </c>
      <c r="C2858" s="11">
        <v>45905.419074074103</v>
      </c>
      <c r="D2858" s="17" t="s">
        <v>1557</v>
      </c>
      <c r="E2858" t="str">
        <f>IF(COUNTIF($B$2:B2858,B2858)&gt;1,"Duplicado","Único")</f>
        <v>Único</v>
      </c>
    </row>
    <row r="2859" spans="1:5" x14ac:dyDescent="0.25">
      <c r="A2859" s="15">
        <v>39468</v>
      </c>
      <c r="B2859" s="7">
        <v>39426031</v>
      </c>
      <c r="C2859" s="11">
        <v>45930.399976851899</v>
      </c>
      <c r="D2859" s="17" t="s">
        <v>1880</v>
      </c>
      <c r="E2859" t="str">
        <f>IF(COUNTIF($B$2:B2859,B2859)&gt;1,"Duplicado","Único")</f>
        <v>Único</v>
      </c>
    </row>
    <row r="2860" spans="1:5" x14ac:dyDescent="0.25">
      <c r="A2860" s="15">
        <v>21274</v>
      </c>
      <c r="B2860" s="7">
        <v>39535546</v>
      </c>
      <c r="C2860" s="11">
        <v>45834.465775463003</v>
      </c>
      <c r="D2860" s="17" t="s">
        <v>967</v>
      </c>
      <c r="E2860" t="str">
        <f>IF(COUNTIF($B$2:B2860,B2860)&gt;1,"Duplicado","Único")</f>
        <v>Único</v>
      </c>
    </row>
    <row r="2861" spans="1:5" hidden="1" x14ac:dyDescent="0.25">
      <c r="A2861" s="15">
        <v>21274</v>
      </c>
      <c r="B2861" s="7">
        <v>39535546</v>
      </c>
      <c r="C2861" s="11">
        <v>45827.444085648101</v>
      </c>
      <c r="D2861" s="17" t="s">
        <v>959</v>
      </c>
      <c r="E2861" t="str">
        <f>IF(COUNTIF($B$2:B2861,B2861)&gt;1,"Duplicado","Único")</f>
        <v>Duplicado</v>
      </c>
    </row>
    <row r="2862" spans="1:5" hidden="1" x14ac:dyDescent="0.25">
      <c r="A2862" s="15">
        <v>21274</v>
      </c>
      <c r="B2862" s="7">
        <v>39535546</v>
      </c>
      <c r="C2862" s="11">
        <v>45824.410208333298</v>
      </c>
      <c r="D2862" s="17" t="s">
        <v>933</v>
      </c>
      <c r="E2862" t="str">
        <f>IF(COUNTIF($B$2:B2862,B2862)&gt;1,"Duplicado","Único")</f>
        <v>Duplicado</v>
      </c>
    </row>
    <row r="2863" spans="1:5" x14ac:dyDescent="0.25">
      <c r="A2863" s="15">
        <v>41500</v>
      </c>
      <c r="B2863" s="7">
        <v>39629529</v>
      </c>
      <c r="C2863" s="11">
        <v>45938.4220138889</v>
      </c>
      <c r="D2863" s="17" t="s">
        <v>1981</v>
      </c>
      <c r="E2863" t="str">
        <f>IF(COUNTIF($B$2:B2863,B2863)&gt;1,"Duplicado","Único")</f>
        <v>Único</v>
      </c>
    </row>
    <row r="2864" spans="1:5" x14ac:dyDescent="0.25">
      <c r="A2864" s="15">
        <v>22052</v>
      </c>
      <c r="B2864" s="7">
        <v>39675541</v>
      </c>
      <c r="C2864" s="11">
        <v>45834.636921296304</v>
      </c>
      <c r="D2864" s="17" t="s">
        <v>986</v>
      </c>
      <c r="E2864" t="str">
        <f>IF(COUNTIF($B$2:B2864,B2864)&gt;1,"Duplicado","Único")</f>
        <v>Único</v>
      </c>
    </row>
    <row r="2865" spans="1:5" x14ac:dyDescent="0.25">
      <c r="A2865" s="15">
        <v>29182</v>
      </c>
      <c r="B2865" s="7">
        <v>39772358</v>
      </c>
      <c r="C2865" s="11">
        <v>45891.681412037004</v>
      </c>
      <c r="D2865" s="17" t="s">
        <v>1395</v>
      </c>
      <c r="E2865" t="str">
        <f>IF(COUNTIF($B$2:B2865,B2865)&gt;1,"Duplicado","Único")</f>
        <v>Único</v>
      </c>
    </row>
    <row r="2866" spans="1:5" x14ac:dyDescent="0.25">
      <c r="A2866" s="15">
        <v>31565</v>
      </c>
      <c r="B2866" s="7">
        <v>40043661</v>
      </c>
      <c r="C2866" s="11">
        <v>45905.404282407399</v>
      </c>
      <c r="D2866" s="17" t="s">
        <v>1556</v>
      </c>
      <c r="E2866" t="str">
        <f>IF(COUNTIF($B$2:B2866,B2866)&gt;1,"Duplicado","Único")</f>
        <v>Único</v>
      </c>
    </row>
    <row r="2867" spans="1:5" x14ac:dyDescent="0.25">
      <c r="A2867" s="15">
        <v>52449</v>
      </c>
      <c r="B2867" s="7">
        <v>40077339</v>
      </c>
      <c r="C2867" s="11">
        <v>46052.2703819444</v>
      </c>
      <c r="D2867" s="17" t="s">
        <v>3560</v>
      </c>
      <c r="E2867" t="str">
        <f>IF(COUNTIF($B$2:B2867,B2867)&gt;1,"Duplicado","Único")</f>
        <v>Único</v>
      </c>
    </row>
    <row r="2868" spans="1:5" hidden="1" x14ac:dyDescent="0.25">
      <c r="A2868" s="15">
        <v>52449</v>
      </c>
      <c r="B2868" s="7">
        <v>40077339</v>
      </c>
      <c r="C2868" s="11">
        <v>46009.442349536999</v>
      </c>
      <c r="D2868" s="17" t="s">
        <v>2987</v>
      </c>
      <c r="E2868" t="str">
        <f>IF(COUNTIF($B$2:B2868,B2868)&gt;1,"Duplicado","Único")</f>
        <v>Duplicado</v>
      </c>
    </row>
    <row r="2869" spans="1:5" x14ac:dyDescent="0.25">
      <c r="A2869" s="15">
        <v>17346</v>
      </c>
      <c r="B2869" s="7">
        <v>40079808</v>
      </c>
      <c r="C2869" s="11">
        <v>45796.683981481503</v>
      </c>
      <c r="D2869" s="17" t="s">
        <v>704</v>
      </c>
      <c r="E2869" t="str">
        <f>IF(COUNTIF($B$2:B2869,B2869)&gt;1,"Duplicado","Único")</f>
        <v>Único</v>
      </c>
    </row>
    <row r="2870" spans="1:5" x14ac:dyDescent="0.25">
      <c r="A2870" s="15">
        <v>48889</v>
      </c>
      <c r="B2870" s="7">
        <v>40187319</v>
      </c>
      <c r="C2870" s="11">
        <v>45980.375277777799</v>
      </c>
      <c r="D2870" s="17" t="s">
        <v>2586</v>
      </c>
      <c r="E2870" t="str">
        <f>IF(COUNTIF($B$2:B2870,B2870)&gt;1,"Duplicado","Único")</f>
        <v>Único</v>
      </c>
    </row>
    <row r="2871" spans="1:5" x14ac:dyDescent="0.25">
      <c r="A2871" s="15">
        <v>52632</v>
      </c>
      <c r="B2871" s="7">
        <v>40218100</v>
      </c>
      <c r="C2871" s="11">
        <v>46051.528622685197</v>
      </c>
      <c r="D2871" s="17" t="s">
        <v>3527</v>
      </c>
      <c r="E2871" t="str">
        <f>IF(COUNTIF($B$2:B2871,B2871)&gt;1,"Duplicado","Único")</f>
        <v>Único</v>
      </c>
    </row>
    <row r="2872" spans="1:5" hidden="1" x14ac:dyDescent="0.25">
      <c r="A2872" s="15">
        <v>52632</v>
      </c>
      <c r="B2872" s="7">
        <v>40218100</v>
      </c>
      <c r="C2872" s="11">
        <v>46007.490578703699</v>
      </c>
      <c r="D2872" s="17" t="s">
        <v>2946</v>
      </c>
      <c r="E2872" t="str">
        <f>IF(COUNTIF($B$2:B2872,B2872)&gt;1,"Duplicado","Único")</f>
        <v>Duplicado</v>
      </c>
    </row>
    <row r="2873" spans="1:5" x14ac:dyDescent="0.25">
      <c r="A2873" s="15">
        <v>44615</v>
      </c>
      <c r="B2873" s="7">
        <v>4085498</v>
      </c>
      <c r="C2873" s="11">
        <v>45958.520543981504</v>
      </c>
      <c r="D2873" s="17" t="s">
        <v>2144</v>
      </c>
      <c r="E2873" t="str">
        <f>IF(COUNTIF($B$2:B2873,B2873)&gt;1,"Duplicado","Único")</f>
        <v>Único</v>
      </c>
    </row>
    <row r="2874" spans="1:5" x14ac:dyDescent="0.25">
      <c r="A2874" s="15">
        <v>48138</v>
      </c>
      <c r="B2874" s="7">
        <v>40941525</v>
      </c>
      <c r="C2874" s="11">
        <v>45974.426932870403</v>
      </c>
      <c r="D2874" s="17" t="s">
        <v>2501</v>
      </c>
      <c r="E2874" t="str">
        <f>IF(COUNTIF($B$2:B2874,B2874)&gt;1,"Duplicado","Único")</f>
        <v>Único</v>
      </c>
    </row>
    <row r="2875" spans="1:5" x14ac:dyDescent="0.25">
      <c r="A2875" s="15">
        <v>20019</v>
      </c>
      <c r="B2875" s="7">
        <v>4119970</v>
      </c>
      <c r="C2875" s="11">
        <v>45819.670601851903</v>
      </c>
      <c r="D2875" s="17" t="s">
        <v>854</v>
      </c>
      <c r="E2875" t="str">
        <f>IF(COUNTIF($B$2:B2875,B2875)&gt;1,"Duplicado","Único")</f>
        <v>Único</v>
      </c>
    </row>
    <row r="2876" spans="1:5" x14ac:dyDescent="0.25">
      <c r="A2876" s="15">
        <v>43969</v>
      </c>
      <c r="B2876" s="7">
        <v>4133994</v>
      </c>
      <c r="C2876" s="11">
        <v>45957.720474537004</v>
      </c>
      <c r="D2876" s="17" t="s">
        <v>2102</v>
      </c>
      <c r="E2876" t="str">
        <f>IF(COUNTIF($B$2:B2876,B2876)&gt;1,"Duplicado","Único")</f>
        <v>Único</v>
      </c>
    </row>
    <row r="2877" spans="1:5" x14ac:dyDescent="0.25">
      <c r="A2877" s="15">
        <v>18300</v>
      </c>
      <c r="B2877" s="7">
        <v>41561606</v>
      </c>
      <c r="C2877" s="11">
        <v>46149.409930555601</v>
      </c>
      <c r="D2877" s="17" t="s">
        <v>4436</v>
      </c>
      <c r="E2877" t="str">
        <f>IF(COUNTIF($B$2:B2877,B2877)&gt;1,"Duplicado","Único")</f>
        <v>Único</v>
      </c>
    </row>
    <row r="2878" spans="1:5" hidden="1" x14ac:dyDescent="0.25">
      <c r="A2878" s="15">
        <v>18300</v>
      </c>
      <c r="B2878" s="7">
        <v>41561606</v>
      </c>
      <c r="C2878" s="11">
        <v>46118.394363425898</v>
      </c>
      <c r="D2878" s="17" t="s">
        <v>1187</v>
      </c>
      <c r="E2878" t="str">
        <f>IF(COUNTIF($B$2:B2878,B2878)&gt;1,"Duplicado","Único")</f>
        <v>Duplicado</v>
      </c>
    </row>
    <row r="2879" spans="1:5" x14ac:dyDescent="0.25">
      <c r="A2879" s="15">
        <v>3115</v>
      </c>
      <c r="B2879" s="7">
        <v>41585936</v>
      </c>
      <c r="C2879" s="11">
        <v>46086.7425462963</v>
      </c>
      <c r="D2879" s="17" t="s">
        <v>3930</v>
      </c>
      <c r="E2879" t="str">
        <f>IF(COUNTIF($B$2:B2879,B2879)&gt;1,"Duplicado","Único")</f>
        <v>Único</v>
      </c>
    </row>
    <row r="2880" spans="1:5" hidden="1" x14ac:dyDescent="0.25">
      <c r="A2880" s="15">
        <v>3115</v>
      </c>
      <c r="B2880" s="7">
        <v>41585936</v>
      </c>
      <c r="C2880" s="11">
        <v>46051.449641203697</v>
      </c>
      <c r="D2880" s="17" t="s">
        <v>3471</v>
      </c>
      <c r="E2880" t="str">
        <f>IF(COUNTIF($B$2:B2880,B2880)&gt;1,"Duplicado","Único")</f>
        <v>Duplicado</v>
      </c>
    </row>
    <row r="2881" spans="1:5" x14ac:dyDescent="0.25">
      <c r="A2881" s="15">
        <v>26968</v>
      </c>
      <c r="B2881" s="7">
        <v>41791758</v>
      </c>
      <c r="C2881" s="11">
        <v>45874.359583333302</v>
      </c>
      <c r="D2881" s="17" t="s">
        <v>1234</v>
      </c>
      <c r="E2881" t="str">
        <f>IF(COUNTIF($B$2:B2881,B2881)&gt;1,"Duplicado","Único")</f>
        <v>Único</v>
      </c>
    </row>
    <row r="2882" spans="1:5" x14ac:dyDescent="0.25">
      <c r="A2882" s="15">
        <v>3110</v>
      </c>
      <c r="B2882" s="7">
        <v>4188857</v>
      </c>
      <c r="C2882" s="11">
        <v>46086.740821759297</v>
      </c>
      <c r="D2882" s="17" t="s">
        <v>3927</v>
      </c>
      <c r="E2882" t="str">
        <f>IF(COUNTIF($B$2:B2882,B2882)&gt;1,"Duplicado","Único")</f>
        <v>Único</v>
      </c>
    </row>
    <row r="2883" spans="1:5" hidden="1" x14ac:dyDescent="0.25">
      <c r="A2883" s="15">
        <v>3110</v>
      </c>
      <c r="B2883" s="7">
        <v>4188857</v>
      </c>
      <c r="C2883" s="11">
        <v>46051.434641203698</v>
      </c>
      <c r="D2883" s="17" t="s">
        <v>3454</v>
      </c>
      <c r="E2883" t="str">
        <f>IF(COUNTIF($B$2:B2883,B2883)&gt;1,"Duplicado","Único")</f>
        <v>Duplicado</v>
      </c>
    </row>
    <row r="2884" spans="1:5" x14ac:dyDescent="0.25">
      <c r="A2884" s="15">
        <v>17389</v>
      </c>
      <c r="B2884" s="7">
        <v>41898314</v>
      </c>
      <c r="C2884" s="11">
        <v>46149.435856481497</v>
      </c>
      <c r="D2884" s="17" t="s">
        <v>4475</v>
      </c>
      <c r="E2884" t="str">
        <f>IF(COUNTIF($B$2:B2884,B2884)&gt;1,"Duplicado","Único")</f>
        <v>Único</v>
      </c>
    </row>
    <row r="2885" spans="1:5" hidden="1" x14ac:dyDescent="0.25">
      <c r="A2885" s="15">
        <v>17389</v>
      </c>
      <c r="B2885" s="7">
        <v>41898314</v>
      </c>
      <c r="C2885" s="11">
        <v>46108.472141203703</v>
      </c>
      <c r="D2885" s="17" t="s">
        <v>4185</v>
      </c>
      <c r="E2885" t="str">
        <f>IF(COUNTIF($B$2:B2885,B2885)&gt;1,"Duplicado","Único")</f>
        <v>Duplicado</v>
      </c>
    </row>
    <row r="2886" spans="1:5" x14ac:dyDescent="0.25">
      <c r="A2886" s="15">
        <v>47140</v>
      </c>
      <c r="B2886" s="7">
        <v>41948745</v>
      </c>
      <c r="C2886" s="11">
        <v>45968.420532407399</v>
      </c>
      <c r="D2886" s="17" t="s">
        <v>2390</v>
      </c>
      <c r="E2886" t="str">
        <f>IF(COUNTIF($B$2:B2886,B2886)&gt;1,"Duplicado","Único")</f>
        <v>Único</v>
      </c>
    </row>
    <row r="2887" spans="1:5" x14ac:dyDescent="0.25">
      <c r="A2887" s="15">
        <v>28906</v>
      </c>
      <c r="B2887" s="7">
        <v>41951656</v>
      </c>
      <c r="C2887" s="11">
        <v>45890.635891203703</v>
      </c>
      <c r="D2887" s="17" t="s">
        <v>1368</v>
      </c>
      <c r="E2887" t="str">
        <f>IF(COUNTIF($B$2:B2887,B2887)&gt;1,"Duplicado","Único")</f>
        <v>Único</v>
      </c>
    </row>
    <row r="2888" spans="1:5" x14ac:dyDescent="0.25">
      <c r="A2888" s="15">
        <v>42779</v>
      </c>
      <c r="B2888" s="7">
        <v>42102195</v>
      </c>
      <c r="C2888" s="11">
        <v>45954.650567129604</v>
      </c>
      <c r="D2888" s="17" t="s">
        <v>2074</v>
      </c>
      <c r="E2888" t="str">
        <f>IF(COUNTIF($B$2:B2888,B2888)&gt;1,"Duplicado","Único")</f>
        <v>Único</v>
      </c>
    </row>
    <row r="2889" spans="1:5" x14ac:dyDescent="0.25">
      <c r="A2889" s="15">
        <v>40266</v>
      </c>
      <c r="B2889" s="7">
        <v>4252498</v>
      </c>
      <c r="C2889" s="11">
        <v>45932.385451388902</v>
      </c>
      <c r="D2889" s="17" t="s">
        <v>1914</v>
      </c>
      <c r="E2889" t="str">
        <f>IF(COUNTIF($B$2:B2889,B2889)&gt;1,"Duplicado","Único")</f>
        <v>Único</v>
      </c>
    </row>
    <row r="2890" spans="1:5" x14ac:dyDescent="0.25">
      <c r="A2890" s="15">
        <v>29630</v>
      </c>
      <c r="B2890" s="7">
        <v>42691635</v>
      </c>
      <c r="C2890" s="11">
        <v>45894.710462962998</v>
      </c>
      <c r="D2890" s="17" t="s">
        <v>1418</v>
      </c>
      <c r="E2890" t="str">
        <f>IF(COUNTIF($B$2:B2890,B2890)&gt;1,"Duplicado","Único")</f>
        <v>Único</v>
      </c>
    </row>
    <row r="2891" spans="1:5" x14ac:dyDescent="0.25">
      <c r="A2891" s="15">
        <v>16809</v>
      </c>
      <c r="B2891" s="7">
        <v>42898106</v>
      </c>
      <c r="C2891" s="11">
        <v>46149.436481481498</v>
      </c>
      <c r="D2891" s="17" t="s">
        <v>4476</v>
      </c>
      <c r="E2891" t="str">
        <f>IF(COUNTIF($B$2:B2891,B2891)&gt;1,"Duplicado","Único")</f>
        <v>Único</v>
      </c>
    </row>
    <row r="2892" spans="1:5" hidden="1" x14ac:dyDescent="0.25">
      <c r="A2892" s="15">
        <v>16809</v>
      </c>
      <c r="B2892" s="7">
        <v>42898106</v>
      </c>
      <c r="C2892" s="11">
        <v>46108.454641203702</v>
      </c>
      <c r="D2892" s="17" t="s">
        <v>4179</v>
      </c>
      <c r="E2892" t="str">
        <f>IF(COUNTIF($B$2:B2892,B2892)&gt;1,"Duplicado","Único")</f>
        <v>Duplicado</v>
      </c>
    </row>
    <row r="2893" spans="1:5" x14ac:dyDescent="0.25">
      <c r="A2893" s="15">
        <v>50402</v>
      </c>
      <c r="B2893" s="7">
        <v>42898519</v>
      </c>
      <c r="C2893" s="11">
        <v>46050.610763888901</v>
      </c>
      <c r="D2893" s="17" t="s">
        <v>3317</v>
      </c>
      <c r="E2893" t="str">
        <f>IF(COUNTIF($B$2:B2893,B2893)&gt;1,"Duplicado","Único")</f>
        <v>Único</v>
      </c>
    </row>
    <row r="2894" spans="1:5" hidden="1" x14ac:dyDescent="0.25">
      <c r="A2894" s="15">
        <v>50402</v>
      </c>
      <c r="B2894" s="7">
        <v>42898519</v>
      </c>
      <c r="C2894" s="11">
        <v>45988.391539351898</v>
      </c>
      <c r="D2894" s="17" t="s">
        <v>2758</v>
      </c>
      <c r="E2894" t="str">
        <f>IF(COUNTIF($B$2:B2894,B2894)&gt;1,"Duplicado","Único")</f>
        <v>Duplicado</v>
      </c>
    </row>
    <row r="2895" spans="1:5" x14ac:dyDescent="0.25">
      <c r="A2895" s="15">
        <v>45264</v>
      </c>
      <c r="B2895" s="7">
        <v>43052997</v>
      </c>
      <c r="C2895" s="11">
        <v>45958.7480671296</v>
      </c>
      <c r="D2895" s="17" t="s">
        <v>2203</v>
      </c>
      <c r="E2895" t="str">
        <f>IF(COUNTIF($B$2:B2895,B2895)&gt;1,"Duplicado","Único")</f>
        <v>Único</v>
      </c>
    </row>
    <row r="2896" spans="1:5" x14ac:dyDescent="0.25">
      <c r="A2896" s="15">
        <v>53364</v>
      </c>
      <c r="B2896" s="7">
        <v>43058922</v>
      </c>
      <c r="C2896" s="11">
        <v>46057.400069444397</v>
      </c>
      <c r="D2896" s="17" t="s">
        <v>3676</v>
      </c>
      <c r="E2896" t="str">
        <f>IF(COUNTIF($B$2:B2896,B2896)&gt;1,"Duplicado","Único")</f>
        <v>Único</v>
      </c>
    </row>
    <row r="2897" spans="1:5" hidden="1" x14ac:dyDescent="0.25">
      <c r="A2897" s="15">
        <v>53364</v>
      </c>
      <c r="B2897" s="7">
        <v>43058922</v>
      </c>
      <c r="C2897" s="11">
        <v>46013.4742708333</v>
      </c>
      <c r="D2897" s="17" t="s">
        <v>3013</v>
      </c>
      <c r="E2897" t="str">
        <f>IF(COUNTIF($B$2:B2897,B2897)&gt;1,"Duplicado","Único")</f>
        <v>Duplicado</v>
      </c>
    </row>
    <row r="2898" spans="1:5" x14ac:dyDescent="0.25">
      <c r="A2898" s="15">
        <v>3760</v>
      </c>
      <c r="B2898" s="7">
        <v>43106361</v>
      </c>
      <c r="C2898" s="11">
        <v>46086.772615740701</v>
      </c>
      <c r="D2898" s="17" t="s">
        <v>3957</v>
      </c>
      <c r="E2898" t="str">
        <f>IF(COUNTIF($B$2:B2898,B2898)&gt;1,"Duplicado","Único")</f>
        <v>Único</v>
      </c>
    </row>
    <row r="2899" spans="1:5" hidden="1" x14ac:dyDescent="0.25">
      <c r="A2899" s="15">
        <v>3760</v>
      </c>
      <c r="B2899" s="7">
        <v>43106361</v>
      </c>
      <c r="C2899" s="11">
        <v>46055.387048611097</v>
      </c>
      <c r="D2899" s="17" t="s">
        <v>3574</v>
      </c>
      <c r="E2899" t="str">
        <f>IF(COUNTIF($B$2:B2899,B2899)&gt;1,"Duplicado","Único")</f>
        <v>Duplicado</v>
      </c>
    </row>
    <row r="2900" spans="1:5" x14ac:dyDescent="0.25">
      <c r="A2900" s="15">
        <v>30963</v>
      </c>
      <c r="B2900" s="7">
        <v>43117192</v>
      </c>
      <c r="C2900" s="11">
        <v>45911.435451388897</v>
      </c>
      <c r="D2900" s="17" t="s">
        <v>1664</v>
      </c>
      <c r="E2900" t="str">
        <f>IF(COUNTIF($B$2:B2900,B2900)&gt;1,"Duplicado","Único")</f>
        <v>Único</v>
      </c>
    </row>
    <row r="2901" spans="1:5" hidden="1" x14ac:dyDescent="0.25">
      <c r="A2901" s="15">
        <v>20739</v>
      </c>
      <c r="B2901" s="7">
        <v>43117192</v>
      </c>
      <c r="C2901" s="11">
        <v>45821.618148148104</v>
      </c>
      <c r="D2901" s="17" t="s">
        <v>902</v>
      </c>
      <c r="E2901" t="str">
        <f>IF(COUNTIF($B$2:B2901,B2901)&gt;1,"Duplicado","Único")</f>
        <v>Duplicado</v>
      </c>
    </row>
    <row r="2902" spans="1:5" x14ac:dyDescent="0.25">
      <c r="A2902" s="15">
        <v>17419</v>
      </c>
      <c r="B2902" s="7">
        <v>43200568</v>
      </c>
      <c r="C2902" s="11">
        <v>46149.436909722201</v>
      </c>
      <c r="D2902" s="17" t="s">
        <v>4477</v>
      </c>
      <c r="E2902" t="str">
        <f>IF(COUNTIF($B$2:B2902,B2902)&gt;1,"Duplicado","Único")</f>
        <v>Único</v>
      </c>
    </row>
    <row r="2903" spans="1:5" hidden="1" x14ac:dyDescent="0.25">
      <c r="A2903" s="15">
        <v>17419</v>
      </c>
      <c r="B2903" s="7">
        <v>43200568</v>
      </c>
      <c r="C2903" s="11">
        <v>46108.558888888903</v>
      </c>
      <c r="D2903" s="17" t="s">
        <v>4219</v>
      </c>
      <c r="E2903" t="str">
        <f>IF(COUNTIF($B$2:B2903,B2903)&gt;1,"Duplicado","Único")</f>
        <v>Duplicado</v>
      </c>
    </row>
    <row r="2904" spans="1:5" hidden="1" x14ac:dyDescent="0.25">
      <c r="A2904" s="15">
        <v>17967</v>
      </c>
      <c r="B2904" s="7">
        <v>43200568</v>
      </c>
      <c r="C2904" s="11">
        <v>45798.387106481503</v>
      </c>
      <c r="D2904" s="17" t="s">
        <v>738</v>
      </c>
      <c r="E2904" t="str">
        <f>IF(COUNTIF($B$2:B2904,B2904)&gt;1,"Duplicado","Único")</f>
        <v>Duplicado</v>
      </c>
    </row>
    <row r="2905" spans="1:5" x14ac:dyDescent="0.25">
      <c r="A2905" s="15">
        <v>47740</v>
      </c>
      <c r="B2905" s="7">
        <v>43201256</v>
      </c>
      <c r="C2905" s="11">
        <v>45973.648275462998</v>
      </c>
      <c r="D2905" s="17" t="s">
        <v>2458</v>
      </c>
      <c r="E2905" t="str">
        <f>IF(COUNTIF($B$2:B2905,B2905)&gt;1,"Duplicado","Único")</f>
        <v>Único</v>
      </c>
    </row>
    <row r="2906" spans="1:5" x14ac:dyDescent="0.25">
      <c r="A2906" s="15">
        <v>32946</v>
      </c>
      <c r="B2906" s="7">
        <v>43208812</v>
      </c>
      <c r="C2906" s="11">
        <v>45911.382881944402</v>
      </c>
      <c r="D2906" s="17" t="s">
        <v>1658</v>
      </c>
      <c r="E2906" t="str">
        <f>IF(COUNTIF($B$2:B2906,B2906)&gt;1,"Duplicado","Único")</f>
        <v>Único</v>
      </c>
    </row>
    <row r="2907" spans="1:5" x14ac:dyDescent="0.25">
      <c r="A2907" s="15">
        <v>44591</v>
      </c>
      <c r="B2907" s="7">
        <v>43253611</v>
      </c>
      <c r="C2907" s="11">
        <v>45958.517939814803</v>
      </c>
      <c r="D2907" s="17" t="s">
        <v>2142</v>
      </c>
      <c r="E2907" t="str">
        <f>IF(COUNTIF($B$2:B2907,B2907)&gt;1,"Duplicado","Único")</f>
        <v>Único</v>
      </c>
    </row>
    <row r="2908" spans="1:5" x14ac:dyDescent="0.25">
      <c r="A2908" s="15">
        <v>47615</v>
      </c>
      <c r="B2908" s="7">
        <v>43275282</v>
      </c>
      <c r="C2908" s="11">
        <v>45972.452245370398</v>
      </c>
      <c r="D2908" s="17" t="s">
        <v>2436</v>
      </c>
      <c r="E2908" t="str">
        <f>IF(COUNTIF($B$2:B2908,B2908)&gt;1,"Duplicado","Único")</f>
        <v>Único</v>
      </c>
    </row>
    <row r="2909" spans="1:5" x14ac:dyDescent="0.25">
      <c r="A2909" s="15">
        <v>49714</v>
      </c>
      <c r="B2909" s="7">
        <v>43558530</v>
      </c>
      <c r="C2909" s="11">
        <v>46050.427650463003</v>
      </c>
      <c r="D2909" s="17" t="s">
        <v>3230</v>
      </c>
      <c r="E2909" t="str">
        <f>IF(COUNTIF($B$2:B2909,B2909)&gt;1,"Duplicado","Único")</f>
        <v>Único</v>
      </c>
    </row>
    <row r="2910" spans="1:5" hidden="1" x14ac:dyDescent="0.25">
      <c r="A2910" s="15">
        <v>49714</v>
      </c>
      <c r="B2910" s="7">
        <v>43558530</v>
      </c>
      <c r="C2910" s="11">
        <v>45985.401064814803</v>
      </c>
      <c r="D2910" s="17" t="s">
        <v>2686</v>
      </c>
      <c r="E2910" t="str">
        <f>IF(COUNTIF($B$2:B2910,B2910)&gt;1,"Duplicado","Único")</f>
        <v>Duplicado</v>
      </c>
    </row>
    <row r="2911" spans="1:5" x14ac:dyDescent="0.25">
      <c r="A2911" s="15">
        <v>46116</v>
      </c>
      <c r="B2911" s="7">
        <v>43640089</v>
      </c>
      <c r="C2911" s="11">
        <v>45965.458796296298</v>
      </c>
      <c r="D2911" s="17" t="s">
        <v>2293</v>
      </c>
      <c r="E2911" t="str">
        <f>IF(COUNTIF($B$2:B2911,B2911)&gt;1,"Duplicado","Único")</f>
        <v>Único</v>
      </c>
    </row>
    <row r="2912" spans="1:5" hidden="1" x14ac:dyDescent="0.25">
      <c r="A2912" s="15">
        <v>31552</v>
      </c>
      <c r="B2912" s="7">
        <v>43640089</v>
      </c>
      <c r="C2912" s="11">
        <v>45905.396423611099</v>
      </c>
      <c r="D2912" s="17" t="s">
        <v>1554</v>
      </c>
      <c r="E2912" t="str">
        <f>IF(COUNTIF($B$2:B2912,B2912)&gt;1,"Duplicado","Único")</f>
        <v>Duplicado</v>
      </c>
    </row>
    <row r="2913" spans="1:5" x14ac:dyDescent="0.25">
      <c r="A2913" s="15">
        <v>39394</v>
      </c>
      <c r="B2913" s="7">
        <v>43686117</v>
      </c>
      <c r="C2913" s="11">
        <v>45930.392303240696</v>
      </c>
      <c r="D2913" s="17" t="s">
        <v>1877</v>
      </c>
      <c r="E2913" t="str">
        <f>IF(COUNTIF($B$2:B2913,B2913)&gt;1,"Duplicado","Único")</f>
        <v>Único</v>
      </c>
    </row>
    <row r="2914" spans="1:5" x14ac:dyDescent="0.25">
      <c r="A2914" s="15">
        <v>50036</v>
      </c>
      <c r="B2914" s="7">
        <v>43757069</v>
      </c>
      <c r="C2914" s="11">
        <v>46050.476620370398</v>
      </c>
      <c r="D2914" s="17" t="s">
        <v>3260</v>
      </c>
      <c r="E2914" t="str">
        <f>IF(COUNTIF($B$2:B2914,B2914)&gt;1,"Duplicado","Único")</f>
        <v>Único</v>
      </c>
    </row>
    <row r="2915" spans="1:5" hidden="1" x14ac:dyDescent="0.25">
      <c r="A2915" s="15">
        <v>50036</v>
      </c>
      <c r="B2915" s="7">
        <v>43757069</v>
      </c>
      <c r="C2915" s="11">
        <v>45986.400347222203</v>
      </c>
      <c r="D2915" s="17" t="s">
        <v>2714</v>
      </c>
      <c r="E2915" t="str">
        <f>IF(COUNTIF($B$2:B2915,B2915)&gt;1,"Duplicado","Único")</f>
        <v>Duplicado</v>
      </c>
    </row>
    <row r="2916" spans="1:5" x14ac:dyDescent="0.25">
      <c r="A2916" s="15">
        <v>24776</v>
      </c>
      <c r="B2916" s="7">
        <v>43760405</v>
      </c>
      <c r="C2916" s="11">
        <v>45859.4221875</v>
      </c>
      <c r="D2916" s="17" t="s">
        <v>1095</v>
      </c>
      <c r="E2916" t="str">
        <f>IF(COUNTIF($B$2:B2916,B2916)&gt;1,"Duplicado","Único")</f>
        <v>Único</v>
      </c>
    </row>
    <row r="2917" spans="1:5" x14ac:dyDescent="0.25">
      <c r="A2917" s="15">
        <v>2864</v>
      </c>
      <c r="B2917" s="7">
        <v>4378116</v>
      </c>
      <c r="C2917" s="11">
        <v>46086.726956018501</v>
      </c>
      <c r="D2917" s="17" t="s">
        <v>3909</v>
      </c>
      <c r="E2917" t="str">
        <f>IF(COUNTIF($B$2:B2917,B2917)&gt;1,"Duplicado","Único")</f>
        <v>Único</v>
      </c>
    </row>
    <row r="2918" spans="1:5" hidden="1" x14ac:dyDescent="0.25">
      <c r="A2918" s="15">
        <v>2864</v>
      </c>
      <c r="B2918" s="7">
        <v>4378116</v>
      </c>
      <c r="C2918" s="11">
        <v>46050.517465277801</v>
      </c>
      <c r="D2918" s="17" t="s">
        <v>3288</v>
      </c>
      <c r="E2918" t="str">
        <f>IF(COUNTIF($B$2:B2918,B2918)&gt;1,"Duplicado","Único")</f>
        <v>Duplicado</v>
      </c>
    </row>
    <row r="2919" spans="1:5" x14ac:dyDescent="0.25">
      <c r="A2919" s="15">
        <v>44910</v>
      </c>
      <c r="B2919" s="7">
        <v>43812864</v>
      </c>
      <c r="C2919" s="11">
        <v>45959.718518518501</v>
      </c>
      <c r="D2919" s="17" t="s">
        <v>2237</v>
      </c>
      <c r="E2919" t="str">
        <f>IF(COUNTIF($B$2:B2919,B2919)&gt;1,"Duplicado","Único")</f>
        <v>Único</v>
      </c>
    </row>
    <row r="2920" spans="1:5" x14ac:dyDescent="0.25">
      <c r="A2920" s="15">
        <v>2056</v>
      </c>
      <c r="B2920" s="7">
        <v>43865754</v>
      </c>
      <c r="C2920" s="11">
        <v>46086.695729166699</v>
      </c>
      <c r="D2920" s="17" t="s">
        <v>3883</v>
      </c>
      <c r="E2920" t="str">
        <f>IF(COUNTIF($B$2:B2920,B2920)&gt;1,"Duplicado","Único")</f>
        <v>Único</v>
      </c>
    </row>
    <row r="2921" spans="1:5" hidden="1" x14ac:dyDescent="0.25">
      <c r="A2921" s="15">
        <v>2056</v>
      </c>
      <c r="B2921" s="7">
        <v>43865754</v>
      </c>
      <c r="C2921" s="11">
        <v>46048.636331018497</v>
      </c>
      <c r="D2921" s="17" t="s">
        <v>3208</v>
      </c>
      <c r="E2921" t="str">
        <f>IF(COUNTIF($B$2:B2921,B2921)&gt;1,"Duplicado","Único")</f>
        <v>Duplicado</v>
      </c>
    </row>
    <row r="2922" spans="1:5" x14ac:dyDescent="0.25">
      <c r="A2922" s="15">
        <v>45365</v>
      </c>
      <c r="B2922" s="7">
        <v>43906979</v>
      </c>
      <c r="C2922" s="11">
        <v>45959.397997685199</v>
      </c>
      <c r="D2922" s="17" t="s">
        <v>2213</v>
      </c>
      <c r="E2922" t="str">
        <f>IF(COUNTIF($B$2:B2922,B2922)&gt;1,"Duplicado","Único")</f>
        <v>Único</v>
      </c>
    </row>
    <row r="2923" spans="1:5" x14ac:dyDescent="0.25">
      <c r="A2923" s="15">
        <v>46722</v>
      </c>
      <c r="B2923" s="7">
        <v>43907185</v>
      </c>
      <c r="C2923" s="11">
        <v>45967.692141203697</v>
      </c>
      <c r="D2923" s="17" t="s">
        <v>2355</v>
      </c>
      <c r="E2923" t="str">
        <f>IF(COUNTIF($B$2:B2923,B2923)&gt;1,"Duplicado","Único")</f>
        <v>Único</v>
      </c>
    </row>
    <row r="2924" spans="1:5" x14ac:dyDescent="0.25">
      <c r="A2924" s="15">
        <v>46051</v>
      </c>
      <c r="B2924" s="7">
        <v>43908639</v>
      </c>
      <c r="C2924" s="11">
        <v>45961.468240740702</v>
      </c>
      <c r="D2924" s="17" t="s">
        <v>2281</v>
      </c>
      <c r="E2924" t="str">
        <f>IF(COUNTIF($B$2:B2924,B2924)&gt;1,"Duplicado","Único")</f>
        <v>Único</v>
      </c>
    </row>
    <row r="2925" spans="1:5" x14ac:dyDescent="0.25">
      <c r="A2925" s="15">
        <v>2900</v>
      </c>
      <c r="B2925" s="7">
        <v>4391421</v>
      </c>
      <c r="C2925" s="11">
        <v>46086.727430555598</v>
      </c>
      <c r="D2925" s="17" t="s">
        <v>3910</v>
      </c>
      <c r="E2925" t="str">
        <f>IF(COUNTIF($B$2:B2925,B2925)&gt;1,"Duplicado","Único")</f>
        <v>Único</v>
      </c>
    </row>
    <row r="2926" spans="1:5" hidden="1" x14ac:dyDescent="0.25">
      <c r="A2926" s="15">
        <v>2900</v>
      </c>
      <c r="B2926" s="7">
        <v>4391421</v>
      </c>
      <c r="C2926" s="11">
        <v>46050.604178240697</v>
      </c>
      <c r="D2926" s="17" t="s">
        <v>3302</v>
      </c>
      <c r="E2926" t="str">
        <f>IF(COUNTIF($B$2:B2926,B2926)&gt;1,"Duplicado","Único")</f>
        <v>Duplicado</v>
      </c>
    </row>
    <row r="2927" spans="1:5" x14ac:dyDescent="0.25">
      <c r="A2927" s="15">
        <v>32867</v>
      </c>
      <c r="B2927" s="7">
        <v>43972546</v>
      </c>
      <c r="C2927" s="11">
        <v>45910.451481481497</v>
      </c>
      <c r="D2927" s="17" t="s">
        <v>1648</v>
      </c>
      <c r="E2927" t="str">
        <f>IF(COUNTIF($B$2:B2927,B2927)&gt;1,"Duplicado","Único")</f>
        <v>Único</v>
      </c>
    </row>
    <row r="2928" spans="1:5" x14ac:dyDescent="0.25">
      <c r="A2928" s="15">
        <v>29975</v>
      </c>
      <c r="B2928" s="7">
        <v>43973160</v>
      </c>
      <c r="C2928" s="11">
        <v>45898.471331018503</v>
      </c>
      <c r="D2928" s="17" t="s">
        <v>1457</v>
      </c>
      <c r="E2928" t="str">
        <f>IF(COUNTIF($B$2:B2928,B2928)&gt;1,"Duplicado","Único")</f>
        <v>Único</v>
      </c>
    </row>
    <row r="2929" spans="1:5" x14ac:dyDescent="0.25">
      <c r="A2929" s="15">
        <v>50600</v>
      </c>
      <c r="B2929" s="7">
        <v>43976618</v>
      </c>
      <c r="C2929" s="11">
        <v>46050.635798611103</v>
      </c>
      <c r="D2929" s="17" t="s">
        <v>3344</v>
      </c>
      <c r="E2929" t="str">
        <f>IF(COUNTIF($B$2:B2929,B2929)&gt;1,"Duplicado","Único")</f>
        <v>Único</v>
      </c>
    </row>
    <row r="2930" spans="1:5" hidden="1" x14ac:dyDescent="0.25">
      <c r="A2930" s="15">
        <v>50600</v>
      </c>
      <c r="B2930" s="7">
        <v>43976618</v>
      </c>
      <c r="C2930" s="11">
        <v>45989.427476851903</v>
      </c>
      <c r="D2930" s="17" t="s">
        <v>2786</v>
      </c>
      <c r="E2930" t="str">
        <f>IF(COUNTIF($B$2:B2930,B2930)&gt;1,"Duplicado","Único")</f>
        <v>Duplicado</v>
      </c>
    </row>
    <row r="2931" spans="1:5" x14ac:dyDescent="0.25">
      <c r="A2931" s="15">
        <v>18582</v>
      </c>
      <c r="B2931" s="7">
        <v>43992970</v>
      </c>
      <c r="C2931" s="11">
        <v>45803.500694444403</v>
      </c>
      <c r="D2931" s="17" t="s">
        <v>772</v>
      </c>
      <c r="E2931" t="str">
        <f>IF(COUNTIF($B$2:B2931,B2931)&gt;1,"Duplicado","Único")</f>
        <v>Único</v>
      </c>
    </row>
    <row r="2932" spans="1:5" x14ac:dyDescent="0.25">
      <c r="A2932" s="15">
        <v>53864</v>
      </c>
      <c r="B2932" s="7">
        <v>44158296</v>
      </c>
      <c r="C2932" s="11">
        <v>46057.400960648098</v>
      </c>
      <c r="D2932" s="17" t="s">
        <v>3677</v>
      </c>
      <c r="E2932" t="str">
        <f>IF(COUNTIF($B$2:B2932,B2932)&gt;1,"Duplicado","Único")</f>
        <v>Único</v>
      </c>
    </row>
    <row r="2933" spans="1:5" hidden="1" x14ac:dyDescent="0.25">
      <c r="A2933" s="15">
        <v>53864</v>
      </c>
      <c r="B2933" s="7">
        <v>44158296</v>
      </c>
      <c r="C2933" s="11">
        <v>46013.641585648104</v>
      </c>
      <c r="D2933" s="17" t="s">
        <v>3054</v>
      </c>
      <c r="E2933" t="str">
        <f>IF(COUNTIF($B$2:B2933,B2933)&gt;1,"Duplicado","Único")</f>
        <v>Duplicado</v>
      </c>
    </row>
    <row r="2934" spans="1:5" x14ac:dyDescent="0.25">
      <c r="A2934" s="15">
        <v>46723</v>
      </c>
      <c r="B2934" s="7">
        <v>4437511</v>
      </c>
      <c r="C2934" s="11">
        <v>45967.693472222199</v>
      </c>
      <c r="D2934" s="17" t="s">
        <v>2356</v>
      </c>
      <c r="E2934" t="str">
        <f>IF(COUNTIF($B$2:B2934,B2934)&gt;1,"Duplicado","Único")</f>
        <v>Único</v>
      </c>
    </row>
    <row r="2935" spans="1:5" x14ac:dyDescent="0.25">
      <c r="A2935" s="15">
        <v>27657</v>
      </c>
      <c r="B2935" s="7">
        <v>4437535</v>
      </c>
      <c r="C2935" s="11">
        <v>45877.3847916667</v>
      </c>
      <c r="D2935" s="17" t="s">
        <v>1286</v>
      </c>
      <c r="E2935" t="str">
        <f>IF(COUNTIF($B$2:B2935,B2935)&gt;1,"Duplicado","Único")</f>
        <v>Único</v>
      </c>
    </row>
    <row r="2936" spans="1:5" x14ac:dyDescent="0.25">
      <c r="A2936" s="15">
        <v>43980</v>
      </c>
      <c r="B2936" s="7">
        <v>45475352</v>
      </c>
      <c r="C2936" s="11">
        <v>45957.721689814804</v>
      </c>
      <c r="D2936" s="17" t="s">
        <v>2104</v>
      </c>
      <c r="E2936" t="str">
        <f>IF(COUNTIF($B$2:B2936,B2936)&gt;1,"Duplicado","Único")</f>
        <v>Único</v>
      </c>
    </row>
    <row r="2937" spans="1:5" x14ac:dyDescent="0.25">
      <c r="A2937" s="15">
        <v>28512</v>
      </c>
      <c r="B2937" s="7">
        <v>45521053</v>
      </c>
      <c r="C2937" s="11">
        <v>45888.5690972222</v>
      </c>
      <c r="D2937" s="17" t="s">
        <v>1338</v>
      </c>
      <c r="E2937" t="str">
        <f>IF(COUNTIF($B$2:B2937,B2937)&gt;1,"Duplicado","Único")</f>
        <v>Único</v>
      </c>
    </row>
    <row r="2938" spans="1:5" x14ac:dyDescent="0.25">
      <c r="A2938" s="15">
        <v>48960</v>
      </c>
      <c r="B2938" s="7">
        <v>45531016</v>
      </c>
      <c r="C2938" s="11">
        <v>45980.395486111098</v>
      </c>
      <c r="D2938" s="17" t="s">
        <v>2593</v>
      </c>
      <c r="E2938" t="str">
        <f>IF(COUNTIF($B$2:B2938,B2938)&gt;1,"Duplicado","Único")</f>
        <v>Único</v>
      </c>
    </row>
    <row r="2939" spans="1:5" x14ac:dyDescent="0.25">
      <c r="A2939" s="15">
        <v>1224</v>
      </c>
      <c r="B2939" s="7">
        <v>45553107</v>
      </c>
      <c r="C2939" s="11">
        <v>46086.628750000003</v>
      </c>
      <c r="D2939" s="17" t="s">
        <v>962</v>
      </c>
      <c r="E2939" t="str">
        <f>IF(COUNTIF($B$2:B2939,B2939)&gt;1,"Duplicado","Único")</f>
        <v>Único</v>
      </c>
    </row>
    <row r="2940" spans="1:5" hidden="1" x14ac:dyDescent="0.25">
      <c r="A2940" s="15">
        <v>1224</v>
      </c>
      <c r="B2940" s="7">
        <v>45553107</v>
      </c>
      <c r="C2940" s="11">
        <v>46036.452233796299</v>
      </c>
      <c r="D2940" s="17" t="s">
        <v>3164</v>
      </c>
      <c r="E2940" t="str">
        <f>IF(COUNTIF($B$2:B2940,B2940)&gt;1,"Duplicado","Único")</f>
        <v>Duplicado</v>
      </c>
    </row>
    <row r="2941" spans="1:5" x14ac:dyDescent="0.25">
      <c r="A2941" s="15">
        <v>47866</v>
      </c>
      <c r="B2941" s="7">
        <v>45553634</v>
      </c>
      <c r="C2941" s="11">
        <v>45973.666909722197</v>
      </c>
      <c r="D2941" s="17" t="s">
        <v>2471</v>
      </c>
      <c r="E2941" t="str">
        <f>IF(COUNTIF($B$2:B2941,B2941)&gt;1,"Duplicado","Único")</f>
        <v>Único</v>
      </c>
    </row>
    <row r="2942" spans="1:5" x14ac:dyDescent="0.25">
      <c r="A2942" s="15">
        <v>14170</v>
      </c>
      <c r="B2942" s="7">
        <v>45565551</v>
      </c>
      <c r="C2942" s="11">
        <v>46149.516157407401</v>
      </c>
      <c r="D2942" s="17" t="s">
        <v>4523</v>
      </c>
      <c r="E2942" t="str">
        <f>IF(COUNTIF($B$2:B2942,B2942)&gt;1,"Duplicado","Único")</f>
        <v>Único</v>
      </c>
    </row>
    <row r="2943" spans="1:5" hidden="1" x14ac:dyDescent="0.25">
      <c r="A2943" s="15">
        <v>14170</v>
      </c>
      <c r="B2943" s="7">
        <v>45565551</v>
      </c>
      <c r="C2943" s="11">
        <v>46086.677986111099</v>
      </c>
      <c r="D2943" s="17" t="s">
        <v>978</v>
      </c>
      <c r="E2943" t="str">
        <f>IF(COUNTIF($B$2:B2943,B2943)&gt;1,"Duplicado","Único")</f>
        <v>Duplicado</v>
      </c>
    </row>
    <row r="2944" spans="1:5" x14ac:dyDescent="0.25">
      <c r="A2944" s="15">
        <v>50507</v>
      </c>
      <c r="B2944" s="7">
        <v>45592752</v>
      </c>
      <c r="C2944" s="11">
        <v>46050.637268518498</v>
      </c>
      <c r="D2944" s="17" t="s">
        <v>3345</v>
      </c>
      <c r="E2944" t="str">
        <f>IF(COUNTIF($B$2:B2944,B2944)&gt;1,"Duplicado","Único")</f>
        <v>Único</v>
      </c>
    </row>
    <row r="2945" spans="1:5" hidden="1" x14ac:dyDescent="0.25">
      <c r="A2945" s="15">
        <v>50507</v>
      </c>
      <c r="B2945" s="7">
        <v>45592752</v>
      </c>
      <c r="C2945" s="11">
        <v>45989.337800925903</v>
      </c>
      <c r="D2945" s="17" t="s">
        <v>2772</v>
      </c>
      <c r="E2945" t="str">
        <f>IF(COUNTIF($B$2:B2945,B2945)&gt;1,"Duplicado","Único")</f>
        <v>Duplicado</v>
      </c>
    </row>
    <row r="2946" spans="1:5" x14ac:dyDescent="0.25">
      <c r="A2946" s="15">
        <v>2615</v>
      </c>
      <c r="B2946" s="7">
        <v>45754167</v>
      </c>
      <c r="C2946" s="11">
        <v>46086.743240740703</v>
      </c>
      <c r="D2946" s="17" t="s">
        <v>3931</v>
      </c>
      <c r="E2946" t="str">
        <f>IF(COUNTIF($B$2:B2946,B2946)&gt;1,"Duplicado","Único")</f>
        <v>Único</v>
      </c>
    </row>
    <row r="2947" spans="1:5" hidden="1" x14ac:dyDescent="0.25">
      <c r="A2947" s="15">
        <v>2615</v>
      </c>
      <c r="B2947" s="7">
        <v>45754167</v>
      </c>
      <c r="C2947" s="11">
        <v>46051.453402777799</v>
      </c>
      <c r="D2947" s="17" t="s">
        <v>3474</v>
      </c>
      <c r="E2947" t="str">
        <f>IF(COUNTIF($B$2:B2947,B2947)&gt;1,"Duplicado","Único")</f>
        <v>Duplicado</v>
      </c>
    </row>
    <row r="2948" spans="1:5" hidden="1" x14ac:dyDescent="0.25">
      <c r="A2948" s="15">
        <v>27090</v>
      </c>
      <c r="B2948" s="7">
        <v>45754167</v>
      </c>
      <c r="C2948" s="11">
        <v>45874.413402777798</v>
      </c>
      <c r="D2948" s="17" t="s">
        <v>1243</v>
      </c>
      <c r="E2948" t="str">
        <f>IF(COUNTIF($B$2:B2948,B2948)&gt;1,"Duplicado","Único")</f>
        <v>Duplicado</v>
      </c>
    </row>
    <row r="2949" spans="1:5" x14ac:dyDescent="0.25">
      <c r="A2949" s="15">
        <v>47587</v>
      </c>
      <c r="B2949" s="7">
        <v>46372578</v>
      </c>
      <c r="C2949" s="11">
        <v>45972.445613425902</v>
      </c>
      <c r="D2949" s="17" t="s">
        <v>2431</v>
      </c>
      <c r="E2949" t="str">
        <f>IF(COUNTIF($B$2:B2949,B2949)&gt;1,"Duplicado","Único")</f>
        <v>Único</v>
      </c>
    </row>
    <row r="2950" spans="1:5" x14ac:dyDescent="0.25">
      <c r="A2950" s="15">
        <v>45527</v>
      </c>
      <c r="B2950" s="7">
        <v>46377311</v>
      </c>
      <c r="C2950" s="11">
        <v>45959.415023148104</v>
      </c>
      <c r="D2950" s="17" t="s">
        <v>2225</v>
      </c>
      <c r="E2950" t="str">
        <f>IF(COUNTIF($B$2:B2950,B2950)&gt;1,"Duplicado","Único")</f>
        <v>Único</v>
      </c>
    </row>
    <row r="2951" spans="1:5" x14ac:dyDescent="0.25">
      <c r="A2951" s="15">
        <v>26937</v>
      </c>
      <c r="B2951" s="7">
        <v>46383531</v>
      </c>
      <c r="C2951" s="11">
        <v>45873.650428240697</v>
      </c>
      <c r="D2951" s="17" t="s">
        <v>1230</v>
      </c>
      <c r="E2951" t="str">
        <f>IF(COUNTIF($B$2:B2951,B2951)&gt;1,"Duplicado","Único")</f>
        <v>Único</v>
      </c>
    </row>
    <row r="2952" spans="1:5" x14ac:dyDescent="0.25">
      <c r="A2952" s="15">
        <v>50970</v>
      </c>
      <c r="B2952" s="7">
        <v>50916086</v>
      </c>
      <c r="C2952" s="11">
        <v>46050.682986111096</v>
      </c>
      <c r="D2952" s="17" t="s">
        <v>3401</v>
      </c>
      <c r="E2952" t="str">
        <f>IF(COUNTIF($B$2:B2952,B2952)&gt;1,"Duplicado","Único")</f>
        <v>Único</v>
      </c>
    </row>
    <row r="2953" spans="1:5" hidden="1" x14ac:dyDescent="0.25">
      <c r="A2953" s="15">
        <v>50970</v>
      </c>
      <c r="B2953" s="7">
        <v>50916086</v>
      </c>
      <c r="C2953" s="11">
        <v>46000.619212963</v>
      </c>
      <c r="D2953" s="17" t="s">
        <v>2835</v>
      </c>
      <c r="E2953" t="str">
        <f>IF(COUNTIF($B$2:B2953,B2953)&gt;1,"Duplicado","Único")</f>
        <v>Duplicado</v>
      </c>
    </row>
    <row r="2954" spans="1:5" x14ac:dyDescent="0.25">
      <c r="A2954" s="15">
        <v>16460</v>
      </c>
      <c r="B2954" s="7">
        <v>50970199</v>
      </c>
      <c r="C2954" s="11">
        <v>46121.407500000001</v>
      </c>
      <c r="D2954" s="17" t="s">
        <v>4358</v>
      </c>
      <c r="E2954" t="str">
        <f>IF(COUNTIF($B$2:B2954,B2954)&gt;1,"Duplicado","Único")</f>
        <v>Único</v>
      </c>
    </row>
    <row r="2955" spans="1:5" hidden="1" x14ac:dyDescent="0.25">
      <c r="A2955" s="15">
        <v>16460</v>
      </c>
      <c r="B2955" s="7">
        <v>50970199</v>
      </c>
      <c r="C2955" s="11">
        <v>46101.820462962998</v>
      </c>
      <c r="D2955" s="17" t="s">
        <v>4152</v>
      </c>
      <c r="E2955" t="str">
        <f>IF(COUNTIF($B$2:B2955,B2955)&gt;1,"Duplicado","Único")</f>
        <v>Duplicado</v>
      </c>
    </row>
    <row r="2956" spans="1:5" x14ac:dyDescent="0.25">
      <c r="A2956" s="15">
        <v>50738</v>
      </c>
      <c r="B2956" s="7">
        <v>51554513</v>
      </c>
      <c r="C2956" s="11">
        <v>46050.656724537002</v>
      </c>
      <c r="D2956" s="17" t="s">
        <v>3370</v>
      </c>
      <c r="E2956" t="str">
        <f>IF(COUNTIF($B$2:B2956,B2956)&gt;1,"Duplicado","Único")</f>
        <v>Único</v>
      </c>
    </row>
    <row r="2957" spans="1:5" hidden="1" x14ac:dyDescent="0.25">
      <c r="A2957" s="15">
        <v>50738</v>
      </c>
      <c r="B2957" s="7">
        <v>51554513</v>
      </c>
      <c r="C2957" s="11">
        <v>45992.4624652778</v>
      </c>
      <c r="D2957" s="17" t="s">
        <v>2815</v>
      </c>
      <c r="E2957" t="str">
        <f>IF(COUNTIF($B$2:B2957,B2957)&gt;1,"Duplicado","Único")</f>
        <v>Duplicado</v>
      </c>
    </row>
    <row r="2958" spans="1:5" x14ac:dyDescent="0.25">
      <c r="A2958" s="15">
        <v>45698</v>
      </c>
      <c r="B2958" s="7">
        <v>51574366</v>
      </c>
      <c r="C2958" s="11">
        <v>45960.624074074098</v>
      </c>
      <c r="D2958" s="17" t="s">
        <v>2250</v>
      </c>
      <c r="E2958" t="str">
        <f>IF(COUNTIF($B$2:B2958,B2958)&gt;1,"Duplicado","Único")</f>
        <v>Único</v>
      </c>
    </row>
    <row r="2959" spans="1:5" x14ac:dyDescent="0.25">
      <c r="A2959" s="15">
        <v>14207</v>
      </c>
      <c r="B2959" s="7">
        <v>51648546</v>
      </c>
      <c r="C2959" s="11">
        <v>46149.516689814802</v>
      </c>
      <c r="D2959" s="17" t="s">
        <v>4524</v>
      </c>
      <c r="E2959" t="str">
        <f>IF(COUNTIF($B$2:B2959,B2959)&gt;1,"Duplicado","Único")</f>
        <v>Único</v>
      </c>
    </row>
    <row r="2960" spans="1:5" hidden="1" x14ac:dyDescent="0.25">
      <c r="A2960" s="15">
        <v>14207</v>
      </c>
      <c r="B2960" s="7">
        <v>51648546</v>
      </c>
      <c r="C2960" s="11">
        <v>46086.659421296303</v>
      </c>
      <c r="D2960" s="17" t="s">
        <v>3857</v>
      </c>
      <c r="E2960" t="str">
        <f>IF(COUNTIF($B$2:B2960,B2960)&gt;1,"Duplicado","Único")</f>
        <v>Duplicado</v>
      </c>
    </row>
    <row r="2961" spans="1:5" x14ac:dyDescent="0.25">
      <c r="A2961" s="15">
        <v>39731</v>
      </c>
      <c r="B2961" s="7">
        <v>51801744</v>
      </c>
      <c r="C2961" s="11">
        <v>45931.359166666698</v>
      </c>
      <c r="D2961" s="17" t="s">
        <v>1896</v>
      </c>
      <c r="E2961" t="str">
        <f>IF(COUNTIF($B$2:B2961,B2961)&gt;1,"Duplicado","Único")</f>
        <v>Único</v>
      </c>
    </row>
    <row r="2962" spans="1:5" x14ac:dyDescent="0.25">
      <c r="A2962" s="15">
        <v>14323</v>
      </c>
      <c r="B2962" s="7">
        <v>51816157</v>
      </c>
      <c r="C2962" s="11">
        <v>46120.462835648097</v>
      </c>
      <c r="D2962" s="17" t="s">
        <v>4255</v>
      </c>
      <c r="E2962" t="str">
        <f>IF(COUNTIF($B$2:B2962,B2962)&gt;1,"Duplicado","Único")</f>
        <v>Único</v>
      </c>
    </row>
    <row r="2963" spans="1:5" hidden="1" x14ac:dyDescent="0.25">
      <c r="A2963" s="15">
        <v>14323</v>
      </c>
      <c r="B2963" s="7">
        <v>51816157</v>
      </c>
      <c r="C2963" s="11">
        <v>46090.660393518498</v>
      </c>
      <c r="D2963" s="17" t="s">
        <v>4018</v>
      </c>
      <c r="E2963" t="str">
        <f>IF(COUNTIF($B$2:B2963,B2963)&gt;1,"Duplicado","Único")</f>
        <v>Duplicado</v>
      </c>
    </row>
    <row r="2964" spans="1:5" x14ac:dyDescent="0.25">
      <c r="A2964" s="15">
        <v>45791</v>
      </c>
      <c r="B2964" s="7">
        <v>51869157</v>
      </c>
      <c r="C2964" s="11">
        <v>45960.640509259298</v>
      </c>
      <c r="D2964" s="17" t="s">
        <v>2258</v>
      </c>
      <c r="E2964" t="str">
        <f>IF(COUNTIF($B$2:B2964,B2964)&gt;1,"Duplicado","Único")</f>
        <v>Único</v>
      </c>
    </row>
    <row r="2965" spans="1:5" x14ac:dyDescent="0.25">
      <c r="A2965" s="15">
        <v>2779</v>
      </c>
      <c r="B2965" s="7">
        <v>51877737</v>
      </c>
      <c r="C2965" s="11">
        <v>46086.731770833299</v>
      </c>
      <c r="D2965" s="17" t="s">
        <v>3916</v>
      </c>
      <c r="E2965" t="str">
        <f>IF(COUNTIF($B$2:B2965,B2965)&gt;1,"Duplicado","Único")</f>
        <v>Único</v>
      </c>
    </row>
    <row r="2966" spans="1:5" hidden="1" x14ac:dyDescent="0.25">
      <c r="A2966" s="15">
        <v>2779</v>
      </c>
      <c r="B2966" s="7">
        <v>51877737</v>
      </c>
      <c r="C2966" s="11">
        <v>46050.459027777797</v>
      </c>
      <c r="D2966" s="17" t="s">
        <v>3254</v>
      </c>
      <c r="E2966" t="str">
        <f>IF(COUNTIF($B$2:B2966,B2966)&gt;1,"Duplicado","Único")</f>
        <v>Duplicado</v>
      </c>
    </row>
    <row r="2967" spans="1:5" x14ac:dyDescent="0.25">
      <c r="A2967" s="15">
        <v>51834</v>
      </c>
      <c r="B2967" s="7">
        <v>51904057</v>
      </c>
      <c r="C2967" s="11">
        <v>46066.473495370403</v>
      </c>
      <c r="D2967" s="17" t="s">
        <v>3760</v>
      </c>
      <c r="E2967" t="str">
        <f>IF(COUNTIF($B$2:B2967,B2967)&gt;1,"Duplicado","Único")</f>
        <v>Único</v>
      </c>
    </row>
    <row r="2968" spans="1:5" hidden="1" x14ac:dyDescent="0.25">
      <c r="A2968" s="15">
        <v>51834</v>
      </c>
      <c r="B2968" s="7">
        <v>51904057</v>
      </c>
      <c r="C2968" s="11">
        <v>46051.447233796302</v>
      </c>
      <c r="D2968" s="17" t="s">
        <v>3469</v>
      </c>
      <c r="E2968" t="str">
        <f>IF(COUNTIF($B$2:B2968,B2968)&gt;1,"Duplicado","Único")</f>
        <v>Duplicado</v>
      </c>
    </row>
    <row r="2969" spans="1:5" hidden="1" x14ac:dyDescent="0.25">
      <c r="A2969" s="15">
        <v>51834</v>
      </c>
      <c r="B2969" s="7">
        <v>51904057</v>
      </c>
      <c r="C2969" s="11">
        <v>46002.678796296299</v>
      </c>
      <c r="D2969" s="17" t="s">
        <v>2900</v>
      </c>
      <c r="E2969" t="str">
        <f>IF(COUNTIF($B$2:B2969,B2969)&gt;1,"Duplicado","Único")</f>
        <v>Duplicado</v>
      </c>
    </row>
    <row r="2970" spans="1:5" x14ac:dyDescent="0.25">
      <c r="A2970" s="15">
        <v>47015</v>
      </c>
      <c r="B2970" s="7">
        <v>51905351</v>
      </c>
      <c r="C2970" s="11">
        <v>45968.4066550926</v>
      </c>
      <c r="D2970" s="17" t="s">
        <v>2383</v>
      </c>
      <c r="E2970" t="str">
        <f>IF(COUNTIF($B$2:B2970,B2970)&gt;1,"Duplicado","Único")</f>
        <v>Único</v>
      </c>
    </row>
    <row r="2971" spans="1:5" x14ac:dyDescent="0.25">
      <c r="A2971" s="15">
        <v>50496</v>
      </c>
      <c r="B2971" s="7">
        <v>51964976</v>
      </c>
      <c r="C2971" s="11">
        <v>46050.637893518498</v>
      </c>
      <c r="D2971" s="17" t="s">
        <v>3346</v>
      </c>
      <c r="E2971" t="str">
        <f>IF(COUNTIF($B$2:B2971,B2971)&gt;1,"Duplicado","Único")</f>
        <v>Único</v>
      </c>
    </row>
    <row r="2972" spans="1:5" hidden="1" x14ac:dyDescent="0.25">
      <c r="A2972" s="15">
        <v>50496</v>
      </c>
      <c r="B2972" s="7">
        <v>51964976</v>
      </c>
      <c r="C2972" s="11">
        <v>45989.336400462998</v>
      </c>
      <c r="D2972" s="17" t="s">
        <v>2771</v>
      </c>
      <c r="E2972" t="str">
        <f>IF(COUNTIF($B$2:B2972,B2972)&gt;1,"Duplicado","Único")</f>
        <v>Duplicado</v>
      </c>
    </row>
    <row r="2973" spans="1:5" x14ac:dyDescent="0.25">
      <c r="A2973" s="15">
        <v>46984</v>
      </c>
      <c r="B2973" s="7">
        <v>51975303</v>
      </c>
      <c r="C2973" s="11">
        <v>45968.390324074098</v>
      </c>
      <c r="D2973" s="17" t="s">
        <v>2379</v>
      </c>
      <c r="E2973" t="str">
        <f>IF(COUNTIF($B$2:B2973,B2973)&gt;1,"Duplicado","Único")</f>
        <v>Único</v>
      </c>
    </row>
    <row r="2974" spans="1:5" x14ac:dyDescent="0.25">
      <c r="A2974" s="15">
        <v>49110</v>
      </c>
      <c r="B2974" s="7">
        <v>52018849</v>
      </c>
      <c r="C2974" s="11">
        <v>45981.439664351798</v>
      </c>
      <c r="D2974" s="17" t="s">
        <v>2640</v>
      </c>
      <c r="E2974" t="str">
        <f>IF(COUNTIF($B$2:B2974,B2974)&gt;1,"Duplicado","Único")</f>
        <v>Único</v>
      </c>
    </row>
    <row r="2975" spans="1:5" x14ac:dyDescent="0.25">
      <c r="A2975" s="15">
        <v>20484</v>
      </c>
      <c r="B2975" s="7">
        <v>52033021</v>
      </c>
      <c r="C2975" s="11">
        <v>45846.596273148098</v>
      </c>
      <c r="D2975" s="17" t="s">
        <v>1058</v>
      </c>
      <c r="E2975" t="str">
        <f>IF(COUNTIF($B$2:B2975,B2975)&gt;1,"Duplicado","Único")</f>
        <v>Único</v>
      </c>
    </row>
    <row r="2976" spans="1:5" hidden="1" x14ac:dyDescent="0.25">
      <c r="A2976" s="15">
        <v>20484</v>
      </c>
      <c r="B2976" s="7">
        <v>52033021</v>
      </c>
      <c r="C2976" s="11">
        <v>45820.483263888898</v>
      </c>
      <c r="D2976" s="17" t="s">
        <v>887</v>
      </c>
      <c r="E2976" t="str">
        <f>IF(COUNTIF($B$2:B2976,B2976)&gt;1,"Duplicado","Único")</f>
        <v>Duplicado</v>
      </c>
    </row>
    <row r="2977" spans="1:5" x14ac:dyDescent="0.25">
      <c r="A2977" s="15">
        <v>47733</v>
      </c>
      <c r="B2977" s="7">
        <v>52076248</v>
      </c>
      <c r="C2977" s="11">
        <v>45973.393263888902</v>
      </c>
      <c r="D2977" s="17" t="s">
        <v>2450</v>
      </c>
      <c r="E2977" t="str">
        <f>IF(COUNTIF($B$2:B2977,B2977)&gt;1,"Duplicado","Único")</f>
        <v>Único</v>
      </c>
    </row>
    <row r="2978" spans="1:5" x14ac:dyDescent="0.25">
      <c r="A2978" s="15">
        <v>48511</v>
      </c>
      <c r="B2978" s="7">
        <v>52080213</v>
      </c>
      <c r="C2978" s="11">
        <v>45979.4781365741</v>
      </c>
      <c r="D2978" s="17" t="s">
        <v>2554</v>
      </c>
      <c r="E2978" t="str">
        <f>IF(COUNTIF($B$2:B2978,B2978)&gt;1,"Duplicado","Único")</f>
        <v>Único</v>
      </c>
    </row>
    <row r="2979" spans="1:5" x14ac:dyDescent="0.25">
      <c r="A2979" s="15">
        <v>16241</v>
      </c>
      <c r="B2979" s="7">
        <v>52080276</v>
      </c>
      <c r="C2979" s="11">
        <v>46121.408148148097</v>
      </c>
      <c r="D2979" s="17" t="s">
        <v>4359</v>
      </c>
      <c r="E2979" t="str">
        <f>IF(COUNTIF($B$2:B2979,B2979)&gt;1,"Duplicado","Único")</f>
        <v>Único</v>
      </c>
    </row>
    <row r="2980" spans="1:5" hidden="1" x14ac:dyDescent="0.25">
      <c r="A2980" s="15">
        <v>16241</v>
      </c>
      <c r="B2980" s="7">
        <v>52080276</v>
      </c>
      <c r="C2980" s="11">
        <v>46101.807766203703</v>
      </c>
      <c r="D2980" s="17" t="s">
        <v>4138</v>
      </c>
      <c r="E2980" t="str">
        <f>IF(COUNTIF($B$2:B2980,B2980)&gt;1,"Duplicado","Único")</f>
        <v>Duplicado</v>
      </c>
    </row>
    <row r="2981" spans="1:5" x14ac:dyDescent="0.25">
      <c r="A2981" s="15">
        <v>53338</v>
      </c>
      <c r="B2981" s="7">
        <v>52081517</v>
      </c>
      <c r="C2981" s="11">
        <v>46057.401770833298</v>
      </c>
      <c r="D2981" s="17" t="s">
        <v>3678</v>
      </c>
      <c r="E2981" t="str">
        <f>IF(COUNTIF($B$2:B2981,B2981)&gt;1,"Duplicado","Único")</f>
        <v>Único</v>
      </c>
    </row>
    <row r="2982" spans="1:5" hidden="1" x14ac:dyDescent="0.25">
      <c r="A2982" s="15">
        <v>53338</v>
      </c>
      <c r="B2982" s="7">
        <v>52081517</v>
      </c>
      <c r="C2982" s="11">
        <v>46013.457199074102</v>
      </c>
      <c r="D2982" s="17" t="s">
        <v>3010</v>
      </c>
      <c r="E2982" t="str">
        <f>IF(COUNTIF($B$2:B2982,B2982)&gt;1,"Duplicado","Único")</f>
        <v>Duplicado</v>
      </c>
    </row>
    <row r="2983" spans="1:5" x14ac:dyDescent="0.25">
      <c r="A2983" s="15">
        <v>25928</v>
      </c>
      <c r="B2983" s="7">
        <v>52082898</v>
      </c>
      <c r="C2983" s="11">
        <v>45866.622870370396</v>
      </c>
      <c r="D2983" s="17" t="s">
        <v>1156</v>
      </c>
      <c r="E2983" t="str">
        <f>IF(COUNTIF($B$2:B2983,B2983)&gt;1,"Duplicado","Único")</f>
        <v>Único</v>
      </c>
    </row>
    <row r="2984" spans="1:5" x14ac:dyDescent="0.25">
      <c r="A2984" s="15">
        <v>50059</v>
      </c>
      <c r="B2984" s="7">
        <v>52104456</v>
      </c>
      <c r="C2984" s="11">
        <v>46050.477847222202</v>
      </c>
      <c r="D2984" s="17" t="s">
        <v>3262</v>
      </c>
      <c r="E2984" t="str">
        <f>IF(COUNTIF($B$2:B2984,B2984)&gt;1,"Duplicado","Único")</f>
        <v>Único</v>
      </c>
    </row>
    <row r="2985" spans="1:5" hidden="1" x14ac:dyDescent="0.25">
      <c r="A2985" s="15">
        <v>50059</v>
      </c>
      <c r="B2985" s="7">
        <v>52104456</v>
      </c>
      <c r="C2985" s="11">
        <v>45986.407835648097</v>
      </c>
      <c r="D2985" s="17" t="s">
        <v>2717</v>
      </c>
      <c r="E2985" t="str">
        <f>IF(COUNTIF($B$2:B2985,B2985)&gt;1,"Duplicado","Único")</f>
        <v>Duplicado</v>
      </c>
    </row>
    <row r="2986" spans="1:5" x14ac:dyDescent="0.25">
      <c r="A2986" s="15">
        <v>30926</v>
      </c>
      <c r="B2986" s="7">
        <v>52111067</v>
      </c>
      <c r="C2986" s="11">
        <v>45911.420023148101</v>
      </c>
      <c r="D2986" s="17" t="s">
        <v>1661</v>
      </c>
      <c r="E2986" t="str">
        <f>IF(COUNTIF($B$2:B2986,B2986)&gt;1,"Duplicado","Único")</f>
        <v>Único</v>
      </c>
    </row>
    <row r="2987" spans="1:5" x14ac:dyDescent="0.25">
      <c r="A2987" s="15">
        <v>16473</v>
      </c>
      <c r="B2987" s="7">
        <v>52122911</v>
      </c>
      <c r="C2987" s="11">
        <v>46121.410219907397</v>
      </c>
      <c r="D2987" s="17" t="s">
        <v>4360</v>
      </c>
      <c r="E2987" t="str">
        <f>IF(COUNTIF($B$2:B2987,B2987)&gt;1,"Duplicado","Único")</f>
        <v>Único</v>
      </c>
    </row>
    <row r="2988" spans="1:5" hidden="1" x14ac:dyDescent="0.25">
      <c r="A2988" s="15">
        <v>16473</v>
      </c>
      <c r="B2988" s="7">
        <v>52122911</v>
      </c>
      <c r="C2988" s="11">
        <v>46101.821655092601</v>
      </c>
      <c r="D2988" s="17" t="s">
        <v>4154</v>
      </c>
      <c r="E2988" t="str">
        <f>IF(COUNTIF($B$2:B2988,B2988)&gt;1,"Duplicado","Único")</f>
        <v>Duplicado</v>
      </c>
    </row>
    <row r="2989" spans="1:5" x14ac:dyDescent="0.25">
      <c r="A2989" s="15">
        <v>30267</v>
      </c>
      <c r="B2989" s="7">
        <v>52149268</v>
      </c>
      <c r="C2989" s="11">
        <v>45901.492106481499</v>
      </c>
      <c r="D2989" s="17" t="s">
        <v>1481</v>
      </c>
      <c r="E2989" t="str">
        <f>IF(COUNTIF($B$2:B2989,B2989)&gt;1,"Duplicado","Único")</f>
        <v>Único</v>
      </c>
    </row>
    <row r="2990" spans="1:5" x14ac:dyDescent="0.25">
      <c r="A2990" s="15">
        <v>48991</v>
      </c>
      <c r="B2990" s="7">
        <v>52150143</v>
      </c>
      <c r="C2990" s="11">
        <v>45980.402523148201</v>
      </c>
      <c r="D2990" s="17" t="s">
        <v>2601</v>
      </c>
      <c r="E2990" t="str">
        <f>IF(COUNTIF($B$2:B2990,B2990)&gt;1,"Duplicado","Único")</f>
        <v>Único</v>
      </c>
    </row>
    <row r="2991" spans="1:5" x14ac:dyDescent="0.25">
      <c r="A2991" s="15">
        <v>38000</v>
      </c>
      <c r="B2991" s="7">
        <v>52159155</v>
      </c>
      <c r="C2991" s="11">
        <v>45929.382604166698</v>
      </c>
      <c r="D2991" s="17" t="s">
        <v>1851</v>
      </c>
      <c r="E2991" t="str">
        <f>IF(COUNTIF($B$2:B2991,B2991)&gt;1,"Duplicado","Único")</f>
        <v>Único</v>
      </c>
    </row>
    <row r="2992" spans="1:5" hidden="1" x14ac:dyDescent="0.25">
      <c r="A2992" s="15">
        <v>38000</v>
      </c>
      <c r="B2992" s="7">
        <v>52159155</v>
      </c>
      <c r="C2992" s="11">
        <v>45924.478865740697</v>
      </c>
      <c r="D2992" s="17" t="s">
        <v>1815</v>
      </c>
      <c r="E2992" t="str">
        <f>IF(COUNTIF($B$2:B2992,B2992)&gt;1,"Duplicado","Único")</f>
        <v>Duplicado</v>
      </c>
    </row>
    <row r="2993" spans="1:5" x14ac:dyDescent="0.25">
      <c r="A2993" s="15">
        <v>14312</v>
      </c>
      <c r="B2993" s="7">
        <v>52204835</v>
      </c>
      <c r="C2993" s="11">
        <v>46120.463576388902</v>
      </c>
      <c r="D2993" s="17" t="s">
        <v>4256</v>
      </c>
      <c r="E2993" t="str">
        <f>IF(COUNTIF($B$2:B2993,B2993)&gt;1,"Duplicado","Único")</f>
        <v>Único</v>
      </c>
    </row>
    <row r="2994" spans="1:5" hidden="1" x14ac:dyDescent="0.25">
      <c r="A2994" s="15">
        <v>14312</v>
      </c>
      <c r="B2994" s="7">
        <v>52204835</v>
      </c>
      <c r="C2994" s="11">
        <v>46090.659120370401</v>
      </c>
      <c r="D2994" s="17" t="s">
        <v>4017</v>
      </c>
      <c r="E2994" t="str">
        <f>IF(COUNTIF($B$2:B2994,B2994)&gt;1,"Duplicado","Único")</f>
        <v>Duplicado</v>
      </c>
    </row>
    <row r="2995" spans="1:5" x14ac:dyDescent="0.25">
      <c r="A2995" s="15">
        <v>50965</v>
      </c>
      <c r="B2995" s="7">
        <v>52272995</v>
      </c>
      <c r="C2995" s="11">
        <v>46050.683784722198</v>
      </c>
      <c r="D2995" s="17" t="s">
        <v>3402</v>
      </c>
      <c r="E2995" t="str">
        <f>IF(COUNTIF($B$2:B2995,B2995)&gt;1,"Duplicado","Único")</f>
        <v>Único</v>
      </c>
    </row>
    <row r="2996" spans="1:5" hidden="1" x14ac:dyDescent="0.25">
      <c r="A2996" s="15">
        <v>50965</v>
      </c>
      <c r="B2996" s="7">
        <v>52272995</v>
      </c>
      <c r="C2996" s="11">
        <v>46000.618194444403</v>
      </c>
      <c r="D2996" s="17" t="s">
        <v>2834</v>
      </c>
      <c r="E2996" t="str">
        <f>IF(COUNTIF($B$2:B2996,B2996)&gt;1,"Duplicado","Único")</f>
        <v>Duplicado</v>
      </c>
    </row>
    <row r="2997" spans="1:5" x14ac:dyDescent="0.25">
      <c r="A2997" s="15">
        <v>17139</v>
      </c>
      <c r="B2997" s="7">
        <v>52310091</v>
      </c>
      <c r="C2997" s="11">
        <v>46149.437291666698</v>
      </c>
      <c r="D2997" s="17" t="s">
        <v>4478</v>
      </c>
      <c r="E2997" t="str">
        <f>IF(COUNTIF($B$2:B2997,B2997)&gt;1,"Duplicado","Único")</f>
        <v>Único</v>
      </c>
    </row>
    <row r="2998" spans="1:5" hidden="1" x14ac:dyDescent="0.25">
      <c r="A2998" s="15">
        <v>17139</v>
      </c>
      <c r="B2998" s="7">
        <v>52310091</v>
      </c>
      <c r="C2998" s="11">
        <v>46108.5070949074</v>
      </c>
      <c r="D2998" s="17" t="s">
        <v>4209</v>
      </c>
      <c r="E2998" t="str">
        <f>IF(COUNTIF($B$2:B2998,B2998)&gt;1,"Duplicado","Único")</f>
        <v>Duplicado</v>
      </c>
    </row>
    <row r="2999" spans="1:5" x14ac:dyDescent="0.25">
      <c r="A2999" s="15">
        <v>16716</v>
      </c>
      <c r="B2999" s="7">
        <v>52344530</v>
      </c>
      <c r="C2999" s="11">
        <v>46121.419456018499</v>
      </c>
      <c r="D2999" s="17" t="s">
        <v>4361</v>
      </c>
      <c r="E2999" t="str">
        <f>IF(COUNTIF($B$2:B2999,B2999)&gt;1,"Duplicado","Único")</f>
        <v>Único</v>
      </c>
    </row>
    <row r="3000" spans="1:5" hidden="1" x14ac:dyDescent="0.25">
      <c r="A3000" s="15">
        <v>16716</v>
      </c>
      <c r="B3000" s="7">
        <v>52344530</v>
      </c>
      <c r="C3000" s="11">
        <v>46101.847951388903</v>
      </c>
      <c r="D3000" s="17" t="s">
        <v>4173</v>
      </c>
      <c r="E3000" t="str">
        <f>IF(COUNTIF($B$2:B3000,B3000)&gt;1,"Duplicado","Único")</f>
        <v>Duplicado</v>
      </c>
    </row>
    <row r="3001" spans="1:5" x14ac:dyDescent="0.25">
      <c r="A3001" s="15">
        <v>53673</v>
      </c>
      <c r="B3001" s="7">
        <v>52366717</v>
      </c>
      <c r="C3001" s="11">
        <v>46057.362094907403</v>
      </c>
      <c r="D3001" s="17" t="s">
        <v>3647</v>
      </c>
      <c r="E3001" t="str">
        <f>IF(COUNTIF($B$2:B3001,B3001)&gt;1,"Duplicado","Único")</f>
        <v>Único</v>
      </c>
    </row>
    <row r="3002" spans="1:5" hidden="1" x14ac:dyDescent="0.25">
      <c r="A3002" s="15">
        <v>53673</v>
      </c>
      <c r="B3002" s="7">
        <v>52366717</v>
      </c>
      <c r="C3002" s="11">
        <v>46013.604756944398</v>
      </c>
      <c r="D3002" s="17" t="s">
        <v>3042</v>
      </c>
      <c r="E3002" t="str">
        <f>IF(COUNTIF($B$2:B3002,B3002)&gt;1,"Duplicado","Único")</f>
        <v>Duplicado</v>
      </c>
    </row>
    <row r="3003" spans="1:5" x14ac:dyDescent="0.25">
      <c r="A3003" s="15">
        <v>38976</v>
      </c>
      <c r="B3003" s="7">
        <v>52373061</v>
      </c>
      <c r="C3003" s="11">
        <v>45929.507615740702</v>
      </c>
      <c r="D3003" s="17" t="s">
        <v>1862</v>
      </c>
      <c r="E3003" t="str">
        <f>IF(COUNTIF($B$2:B3003,B3003)&gt;1,"Duplicado","Único")</f>
        <v>Único</v>
      </c>
    </row>
    <row r="3004" spans="1:5" x14ac:dyDescent="0.25">
      <c r="A3004" s="15">
        <v>45587</v>
      </c>
      <c r="B3004" s="7">
        <v>52382992</v>
      </c>
      <c r="C3004" s="11">
        <v>45959.429409722201</v>
      </c>
      <c r="D3004" s="17" t="s">
        <v>2229</v>
      </c>
      <c r="E3004" t="str">
        <f>IF(COUNTIF($B$2:B3004,B3004)&gt;1,"Duplicado","Único")</f>
        <v>Único</v>
      </c>
    </row>
    <row r="3005" spans="1:5" x14ac:dyDescent="0.25">
      <c r="A3005" s="15">
        <v>18464</v>
      </c>
      <c r="B3005" s="7">
        <v>52383139</v>
      </c>
      <c r="C3005" s="11">
        <v>46149.410381944399</v>
      </c>
      <c r="D3005" s="17" t="s">
        <v>4437</v>
      </c>
      <c r="E3005" t="str">
        <f>IF(COUNTIF($B$2:B3005,B3005)&gt;1,"Duplicado","Único")</f>
        <v>Único</v>
      </c>
    </row>
    <row r="3006" spans="1:5" hidden="1" x14ac:dyDescent="0.25">
      <c r="A3006" s="15">
        <v>18464</v>
      </c>
      <c r="B3006" s="7">
        <v>52383139</v>
      </c>
      <c r="C3006" s="11">
        <v>46118.407488425903</v>
      </c>
      <c r="D3006" s="17" t="s">
        <v>1197</v>
      </c>
      <c r="E3006" t="str">
        <f>IF(COUNTIF($B$2:B3006,B3006)&gt;1,"Duplicado","Único")</f>
        <v>Duplicado</v>
      </c>
    </row>
    <row r="3007" spans="1:5" x14ac:dyDescent="0.25">
      <c r="A3007" s="15">
        <v>45743</v>
      </c>
      <c r="B3007" s="7">
        <v>52416537</v>
      </c>
      <c r="C3007" s="11">
        <v>45960.631666666697</v>
      </c>
      <c r="D3007" s="17" t="s">
        <v>2255</v>
      </c>
      <c r="E3007" t="str">
        <f>IF(COUNTIF($B$2:B3007,B3007)&gt;1,"Duplicado","Único")</f>
        <v>Único</v>
      </c>
    </row>
    <row r="3008" spans="1:5" x14ac:dyDescent="0.25">
      <c r="A3008" s="15">
        <v>2887</v>
      </c>
      <c r="B3008" s="7">
        <v>52417379</v>
      </c>
      <c r="C3008" s="11">
        <v>46086.732268518499</v>
      </c>
      <c r="D3008" s="17" t="s">
        <v>3917</v>
      </c>
      <c r="E3008" t="str">
        <f>IF(COUNTIF($B$2:B3008,B3008)&gt;1,"Duplicado","Único")</f>
        <v>Único</v>
      </c>
    </row>
    <row r="3009" spans="1:5" hidden="1" x14ac:dyDescent="0.25">
      <c r="A3009" s="15">
        <v>2887</v>
      </c>
      <c r="B3009" s="7">
        <v>52417379</v>
      </c>
      <c r="C3009" s="11">
        <v>46050.602928240703</v>
      </c>
      <c r="D3009" s="17" t="s">
        <v>3299</v>
      </c>
      <c r="E3009" t="str">
        <f>IF(COUNTIF($B$2:B3009,B3009)&gt;1,"Duplicado","Único")</f>
        <v>Duplicado</v>
      </c>
    </row>
    <row r="3010" spans="1:5" x14ac:dyDescent="0.25">
      <c r="A3010" s="15">
        <v>47576</v>
      </c>
      <c r="B3010" s="7">
        <v>52418187</v>
      </c>
      <c r="C3010" s="11">
        <v>45972.433923611097</v>
      </c>
      <c r="D3010" s="17" t="s">
        <v>2427</v>
      </c>
      <c r="E3010" t="str">
        <f>IF(COUNTIF($B$2:B3010,B3010)&gt;1,"Duplicado","Único")</f>
        <v>Único</v>
      </c>
    </row>
    <row r="3011" spans="1:5" x14ac:dyDescent="0.25">
      <c r="A3011" s="15">
        <v>48522</v>
      </c>
      <c r="B3011" s="7">
        <v>52421989</v>
      </c>
      <c r="C3011" s="11">
        <v>45979.478888888902</v>
      </c>
      <c r="D3011" s="17" t="s">
        <v>2555</v>
      </c>
      <c r="E3011" t="str">
        <f>IF(COUNTIF($B$2:B3011,B3011)&gt;1,"Duplicado","Único")</f>
        <v>Único</v>
      </c>
    </row>
    <row r="3012" spans="1:5" x14ac:dyDescent="0.25">
      <c r="A3012" s="15">
        <v>33131</v>
      </c>
      <c r="B3012" s="7">
        <v>52424541</v>
      </c>
      <c r="C3012" s="11">
        <v>45912.5312037037</v>
      </c>
      <c r="D3012" s="17" t="s">
        <v>1679</v>
      </c>
      <c r="E3012" t="str">
        <f>IF(COUNTIF($B$2:B3012,B3012)&gt;1,"Duplicado","Único")</f>
        <v>Único</v>
      </c>
    </row>
    <row r="3013" spans="1:5" x14ac:dyDescent="0.25">
      <c r="A3013" s="15">
        <v>3900</v>
      </c>
      <c r="B3013" s="7">
        <v>52426026</v>
      </c>
      <c r="C3013" s="11">
        <v>46086.773113425901</v>
      </c>
      <c r="D3013" s="17" t="s">
        <v>3958</v>
      </c>
      <c r="E3013" t="str">
        <f>IF(COUNTIF($B$2:B3013,B3013)&gt;1,"Duplicado","Único")</f>
        <v>Único</v>
      </c>
    </row>
    <row r="3014" spans="1:5" hidden="1" x14ac:dyDescent="0.25">
      <c r="A3014" s="15">
        <v>3900</v>
      </c>
      <c r="B3014" s="7">
        <v>52426026</v>
      </c>
      <c r="C3014" s="11">
        <v>46055.457627314798</v>
      </c>
      <c r="D3014" s="17" t="s">
        <v>3599</v>
      </c>
      <c r="E3014" t="str">
        <f>IF(COUNTIF($B$2:B3014,B3014)&gt;1,"Duplicado","Único")</f>
        <v>Duplicado</v>
      </c>
    </row>
    <row r="3015" spans="1:5" x14ac:dyDescent="0.25">
      <c r="A3015" s="15">
        <v>42255</v>
      </c>
      <c r="B3015" s="7">
        <v>52428710</v>
      </c>
      <c r="C3015" s="11">
        <v>45951.602812500001</v>
      </c>
      <c r="D3015" s="17" t="s">
        <v>2017</v>
      </c>
      <c r="E3015" t="str">
        <f>IF(COUNTIF($B$2:B3015,B3015)&gt;1,"Duplicado","Único")</f>
        <v>Único</v>
      </c>
    </row>
    <row r="3016" spans="1:5" x14ac:dyDescent="0.25">
      <c r="A3016" s="15">
        <v>49539</v>
      </c>
      <c r="B3016" s="7">
        <v>52457994</v>
      </c>
      <c r="C3016" s="11">
        <v>45982.384722222203</v>
      </c>
      <c r="D3016" s="17" t="s">
        <v>2662</v>
      </c>
      <c r="E3016" t="str">
        <f>IF(COUNTIF($B$2:B3016,B3016)&gt;1,"Duplicado","Único")</f>
        <v>Único</v>
      </c>
    </row>
    <row r="3017" spans="1:5" x14ac:dyDescent="0.25">
      <c r="A3017" s="15">
        <v>49300</v>
      </c>
      <c r="B3017" s="7">
        <v>52461752</v>
      </c>
      <c r="C3017" s="11">
        <v>45981.429120370398</v>
      </c>
      <c r="D3017" s="17" t="s">
        <v>2637</v>
      </c>
      <c r="E3017" t="str">
        <f>IF(COUNTIF($B$2:B3017,B3017)&gt;1,"Duplicado","Único")</f>
        <v>Único</v>
      </c>
    </row>
    <row r="3018" spans="1:5" hidden="1" x14ac:dyDescent="0.25">
      <c r="A3018" s="15">
        <v>22397</v>
      </c>
      <c r="B3018" s="7">
        <v>52461752</v>
      </c>
      <c r="C3018" s="11">
        <v>45841.511620370402</v>
      </c>
      <c r="D3018" s="17" t="s">
        <v>1007</v>
      </c>
      <c r="E3018" t="str">
        <f>IF(COUNTIF($B$2:B3018,B3018)&gt;1,"Duplicado","Único")</f>
        <v>Duplicado</v>
      </c>
    </row>
    <row r="3019" spans="1:5" x14ac:dyDescent="0.25">
      <c r="A3019" s="15">
        <v>1051</v>
      </c>
      <c r="B3019" s="7">
        <v>52472566</v>
      </c>
      <c r="C3019" s="11">
        <v>46086.629872685196</v>
      </c>
      <c r="D3019" s="17" t="s">
        <v>964</v>
      </c>
      <c r="E3019" t="str">
        <f>IF(COUNTIF($B$2:B3019,B3019)&gt;1,"Duplicado","Único")</f>
        <v>Único</v>
      </c>
    </row>
    <row r="3020" spans="1:5" hidden="1" x14ac:dyDescent="0.25">
      <c r="A3020" s="15">
        <v>1051</v>
      </c>
      <c r="B3020" s="7">
        <v>52472566</v>
      </c>
      <c r="C3020" s="11">
        <v>46036.415659722203</v>
      </c>
      <c r="D3020" s="17" t="s">
        <v>3162</v>
      </c>
      <c r="E3020" t="str">
        <f>IF(COUNTIF($B$2:B3020,B3020)&gt;1,"Duplicado","Único")</f>
        <v>Duplicado</v>
      </c>
    </row>
    <row r="3021" spans="1:5" x14ac:dyDescent="0.25">
      <c r="A3021" s="15">
        <v>30418</v>
      </c>
      <c r="B3021" s="7">
        <v>52475979</v>
      </c>
      <c r="C3021" s="11">
        <v>45895.704988425903</v>
      </c>
      <c r="D3021" s="17" t="s">
        <v>1433</v>
      </c>
      <c r="E3021" t="str">
        <f>IF(COUNTIF($B$2:B3021,B3021)&gt;1,"Duplicado","Único")</f>
        <v>Único</v>
      </c>
    </row>
    <row r="3022" spans="1:5" x14ac:dyDescent="0.25">
      <c r="A3022" s="15">
        <v>45258</v>
      </c>
      <c r="B3022" s="7">
        <v>52487731</v>
      </c>
      <c r="C3022" s="11">
        <v>45958.747222222199</v>
      </c>
      <c r="D3022" s="17" t="s">
        <v>2202</v>
      </c>
      <c r="E3022" t="str">
        <f>IF(COUNTIF($B$2:B3022,B3022)&gt;1,"Duplicado","Único")</f>
        <v>Único</v>
      </c>
    </row>
    <row r="3023" spans="1:5" x14ac:dyDescent="0.25">
      <c r="A3023" s="15">
        <v>48797</v>
      </c>
      <c r="B3023" s="7">
        <v>52494387</v>
      </c>
      <c r="C3023" s="11">
        <v>45980.349039351902</v>
      </c>
      <c r="D3023" s="17" t="s">
        <v>2577</v>
      </c>
      <c r="E3023" t="str">
        <f>IF(COUNTIF($B$2:B3023,B3023)&gt;1,"Duplicado","Único")</f>
        <v>Único</v>
      </c>
    </row>
    <row r="3024" spans="1:5" x14ac:dyDescent="0.25">
      <c r="A3024" s="15">
        <v>31848</v>
      </c>
      <c r="B3024" s="7">
        <v>52512518</v>
      </c>
      <c r="C3024" s="11">
        <v>45905.6621296296</v>
      </c>
      <c r="D3024" s="17" t="s">
        <v>1572</v>
      </c>
      <c r="E3024" t="str">
        <f>IF(COUNTIF($B$2:B3024,B3024)&gt;1,"Duplicado","Único")</f>
        <v>Único</v>
      </c>
    </row>
    <row r="3025" spans="1:5" x14ac:dyDescent="0.25">
      <c r="A3025" s="15">
        <v>45287</v>
      </c>
      <c r="B3025" s="7">
        <v>52528743</v>
      </c>
      <c r="C3025" s="11">
        <v>46057.450266203698</v>
      </c>
      <c r="D3025" s="17" t="s">
        <v>3723</v>
      </c>
      <c r="E3025" t="str">
        <f>IF(COUNTIF($B$2:B3025,B3025)&gt;1,"Duplicado","Único")</f>
        <v>Único</v>
      </c>
    </row>
    <row r="3026" spans="1:5" hidden="1" x14ac:dyDescent="0.25">
      <c r="A3026" s="15">
        <v>45287</v>
      </c>
      <c r="B3026" s="7">
        <v>52528743</v>
      </c>
      <c r="C3026" s="11">
        <v>46017.426493055602</v>
      </c>
      <c r="D3026" s="17" t="s">
        <v>3085</v>
      </c>
      <c r="E3026" t="str">
        <f>IF(COUNTIF($B$2:B3026,B3026)&gt;1,"Duplicado","Único")</f>
        <v>Duplicado</v>
      </c>
    </row>
    <row r="3027" spans="1:5" hidden="1" x14ac:dyDescent="0.25">
      <c r="A3027" s="15">
        <v>45287</v>
      </c>
      <c r="B3027" s="7">
        <v>52528743</v>
      </c>
      <c r="C3027" s="11">
        <v>45989.597604166702</v>
      </c>
      <c r="D3027" s="17" t="s">
        <v>2795</v>
      </c>
      <c r="E3027" t="str">
        <f>IF(COUNTIF($B$2:B3027,B3027)&gt;1,"Duplicado","Único")</f>
        <v>Duplicado</v>
      </c>
    </row>
    <row r="3028" spans="1:5" hidden="1" x14ac:dyDescent="0.25">
      <c r="A3028" s="15">
        <v>45287</v>
      </c>
      <c r="B3028" s="7">
        <v>52528743</v>
      </c>
      <c r="C3028" s="11">
        <v>45958.750208333302</v>
      </c>
      <c r="D3028" s="17" t="s">
        <v>2204</v>
      </c>
      <c r="E3028" t="str">
        <f>IF(COUNTIF($B$2:B3028,B3028)&gt;1,"Duplicado","Único")</f>
        <v>Duplicado</v>
      </c>
    </row>
    <row r="3029" spans="1:5" x14ac:dyDescent="0.25">
      <c r="A3029" s="15">
        <v>27740</v>
      </c>
      <c r="B3029" s="7">
        <v>52534235</v>
      </c>
      <c r="C3029" s="11">
        <v>45881.390254629601</v>
      </c>
      <c r="D3029" s="17" t="s">
        <v>1298</v>
      </c>
      <c r="E3029" t="str">
        <f>IF(COUNTIF($B$2:B3029,B3029)&gt;1,"Duplicado","Único")</f>
        <v>Único</v>
      </c>
    </row>
    <row r="3030" spans="1:5" x14ac:dyDescent="0.25">
      <c r="A3030" s="15">
        <v>15773</v>
      </c>
      <c r="B3030" s="7">
        <v>52535938</v>
      </c>
      <c r="C3030" s="11">
        <v>46121.420787037001</v>
      </c>
      <c r="D3030" s="17" t="s">
        <v>4362</v>
      </c>
      <c r="E3030" t="str">
        <f>IF(COUNTIF($B$2:B3030,B3030)&gt;1,"Duplicado","Único")</f>
        <v>Único</v>
      </c>
    </row>
    <row r="3031" spans="1:5" hidden="1" x14ac:dyDescent="0.25">
      <c r="A3031" s="15">
        <v>15773</v>
      </c>
      <c r="B3031" s="7">
        <v>52535938</v>
      </c>
      <c r="C3031" s="11">
        <v>46101.683159722197</v>
      </c>
      <c r="D3031" s="17" t="s">
        <v>4115</v>
      </c>
      <c r="E3031" t="str">
        <f>IF(COUNTIF($B$2:B3031,B3031)&gt;1,"Duplicado","Único")</f>
        <v>Duplicado</v>
      </c>
    </row>
    <row r="3032" spans="1:5" x14ac:dyDescent="0.25">
      <c r="A3032" s="15">
        <v>51738</v>
      </c>
      <c r="B3032" s="7">
        <v>52538463</v>
      </c>
      <c r="C3032" s="11">
        <v>46051.447893518503</v>
      </c>
      <c r="D3032" s="17" t="s">
        <v>3470</v>
      </c>
      <c r="E3032" t="str">
        <f>IF(COUNTIF($B$2:B3032,B3032)&gt;1,"Duplicado","Único")</f>
        <v>Único</v>
      </c>
    </row>
    <row r="3033" spans="1:5" hidden="1" x14ac:dyDescent="0.25">
      <c r="A3033" s="15">
        <v>51738</v>
      </c>
      <c r="B3033" s="7">
        <v>52538463</v>
      </c>
      <c r="C3033" s="11">
        <v>46002.646574074097</v>
      </c>
      <c r="D3033" s="17" t="s">
        <v>2896</v>
      </c>
      <c r="E3033" t="str">
        <f>IF(COUNTIF($B$2:B3033,B3033)&gt;1,"Duplicado","Único")</f>
        <v>Duplicado</v>
      </c>
    </row>
    <row r="3034" spans="1:5" x14ac:dyDescent="0.25">
      <c r="A3034" s="15">
        <v>17466</v>
      </c>
      <c r="B3034" s="7">
        <v>52539381</v>
      </c>
      <c r="C3034" s="11">
        <v>46149.437719907401</v>
      </c>
      <c r="D3034" s="17" t="s">
        <v>4479</v>
      </c>
      <c r="E3034" t="str">
        <f>IF(COUNTIF($B$2:B3034,B3034)&gt;1,"Duplicado","Único")</f>
        <v>Único</v>
      </c>
    </row>
    <row r="3035" spans="1:5" hidden="1" x14ac:dyDescent="0.25">
      <c r="A3035" s="15">
        <v>17466</v>
      </c>
      <c r="B3035" s="7">
        <v>52539381</v>
      </c>
      <c r="C3035" s="11">
        <v>46108.474479166704</v>
      </c>
      <c r="D3035" s="17" t="s">
        <v>4188</v>
      </c>
      <c r="E3035" t="str">
        <f>IF(COUNTIF($B$2:B3035,B3035)&gt;1,"Duplicado","Único")</f>
        <v>Duplicado</v>
      </c>
    </row>
    <row r="3036" spans="1:5" x14ac:dyDescent="0.25">
      <c r="A3036" s="15">
        <v>23455</v>
      </c>
      <c r="B3036" s="7">
        <v>52540559</v>
      </c>
      <c r="C3036" s="11">
        <v>45842.456886574102</v>
      </c>
      <c r="D3036" s="17" t="s">
        <v>1046</v>
      </c>
      <c r="E3036" t="str">
        <f>IF(COUNTIF($B$2:B3036,B3036)&gt;1,"Duplicado","Único")</f>
        <v>Único</v>
      </c>
    </row>
    <row r="3037" spans="1:5" x14ac:dyDescent="0.25">
      <c r="A3037" s="15">
        <v>31708</v>
      </c>
      <c r="B3037" s="7">
        <v>52541274</v>
      </c>
      <c r="C3037" s="11">
        <v>45904.710347222201</v>
      </c>
      <c r="D3037" s="17" t="s">
        <v>1543</v>
      </c>
      <c r="E3037" t="str">
        <f>IF(COUNTIF($B$2:B3037,B3037)&gt;1,"Duplicado","Único")</f>
        <v>Único</v>
      </c>
    </row>
    <row r="3038" spans="1:5" x14ac:dyDescent="0.25">
      <c r="A3038" s="15">
        <v>21575</v>
      </c>
      <c r="B3038" s="7">
        <v>52542274</v>
      </c>
      <c r="C3038" s="11">
        <v>45825.370972222197</v>
      </c>
      <c r="D3038" s="17" t="s">
        <v>946</v>
      </c>
      <c r="E3038" t="str">
        <f>IF(COUNTIF($B$2:B3038,B3038)&gt;1,"Duplicado","Único")</f>
        <v>Único</v>
      </c>
    </row>
    <row r="3039" spans="1:5" x14ac:dyDescent="0.25">
      <c r="A3039" s="15">
        <v>17299</v>
      </c>
      <c r="B3039" s="7">
        <v>52544914</v>
      </c>
      <c r="C3039" s="11">
        <v>45790.712384259299</v>
      </c>
      <c r="D3039" s="17" t="s">
        <v>697</v>
      </c>
      <c r="E3039" t="str">
        <f>IF(COUNTIF($B$2:B3039,B3039)&gt;1,"Duplicado","Único")</f>
        <v>Único</v>
      </c>
    </row>
    <row r="3040" spans="1:5" x14ac:dyDescent="0.25">
      <c r="A3040" s="15">
        <v>29107</v>
      </c>
      <c r="B3040" s="7">
        <v>52615615</v>
      </c>
      <c r="C3040" s="11">
        <v>45891.527835648201</v>
      </c>
      <c r="D3040" s="17" t="s">
        <v>1388</v>
      </c>
      <c r="E3040" t="str">
        <f>IF(COUNTIF($B$2:B3040,B3040)&gt;1,"Duplicado","Único")</f>
        <v>Único</v>
      </c>
    </row>
    <row r="3041" spans="1:5" x14ac:dyDescent="0.25">
      <c r="A3041" s="15">
        <v>47612</v>
      </c>
      <c r="B3041" s="7">
        <v>52645054</v>
      </c>
      <c r="C3041" s="11">
        <v>45972.450289351902</v>
      </c>
      <c r="D3041" s="17" t="s">
        <v>2434</v>
      </c>
      <c r="E3041" t="str">
        <f>IF(COUNTIF($B$2:B3041,B3041)&gt;1,"Duplicado","Único")</f>
        <v>Único</v>
      </c>
    </row>
    <row r="3042" spans="1:5" x14ac:dyDescent="0.25">
      <c r="A3042" s="15">
        <v>51893</v>
      </c>
      <c r="B3042" s="7">
        <v>52655918</v>
      </c>
      <c r="C3042" s="11">
        <v>46051.341076388897</v>
      </c>
      <c r="D3042" s="17" t="s">
        <v>3433</v>
      </c>
      <c r="E3042" t="str">
        <f>IF(COUNTIF($B$2:B3042,B3042)&gt;1,"Duplicado","Único")</f>
        <v>Único</v>
      </c>
    </row>
    <row r="3043" spans="1:5" hidden="1" x14ac:dyDescent="0.25">
      <c r="A3043" s="15">
        <v>51893</v>
      </c>
      <c r="B3043" s="7">
        <v>52655918</v>
      </c>
      <c r="C3043" s="11">
        <v>46002.7058680556</v>
      </c>
      <c r="D3043" s="17" t="s">
        <v>2906</v>
      </c>
      <c r="E3043" t="str">
        <f>IF(COUNTIF($B$2:B3043,B3043)&gt;1,"Duplicado","Único")</f>
        <v>Duplicado</v>
      </c>
    </row>
    <row r="3044" spans="1:5" x14ac:dyDescent="0.25">
      <c r="A3044" s="15">
        <v>45462</v>
      </c>
      <c r="B3044" s="7">
        <v>52690404</v>
      </c>
      <c r="C3044" s="11">
        <v>45959.409490740698</v>
      </c>
      <c r="D3044" s="17" t="s">
        <v>2222</v>
      </c>
      <c r="E3044" t="str">
        <f>IF(COUNTIF($B$2:B3044,B3044)&gt;1,"Duplicado","Único")</f>
        <v>Único</v>
      </c>
    </row>
    <row r="3045" spans="1:5" x14ac:dyDescent="0.25">
      <c r="A3045" s="15">
        <v>15473</v>
      </c>
      <c r="B3045" s="7">
        <v>52698656</v>
      </c>
      <c r="C3045" s="11">
        <v>46120.518333333297</v>
      </c>
      <c r="D3045" s="17" t="s">
        <v>4291</v>
      </c>
      <c r="E3045" t="str">
        <f>IF(COUNTIF($B$2:B3045,B3045)&gt;1,"Duplicado","Único")</f>
        <v>Único</v>
      </c>
    </row>
    <row r="3046" spans="1:5" hidden="1" x14ac:dyDescent="0.25">
      <c r="A3046" s="15">
        <v>15473</v>
      </c>
      <c r="B3046" s="7">
        <v>52698656</v>
      </c>
      <c r="C3046" s="11">
        <v>46094.527372685203</v>
      </c>
      <c r="D3046" s="17" t="s">
        <v>4091</v>
      </c>
      <c r="E3046" t="str">
        <f>IF(COUNTIF($B$2:B3046,B3046)&gt;1,"Duplicado","Único")</f>
        <v>Duplicado</v>
      </c>
    </row>
    <row r="3047" spans="1:5" x14ac:dyDescent="0.25">
      <c r="A3047" s="15">
        <v>3809</v>
      </c>
      <c r="B3047" s="7">
        <v>52703834</v>
      </c>
      <c r="C3047" s="11">
        <v>46086.773622685199</v>
      </c>
      <c r="D3047" s="17" t="s">
        <v>3959</v>
      </c>
      <c r="E3047" t="str">
        <f>IF(COUNTIF($B$2:B3047,B3047)&gt;1,"Duplicado","Único")</f>
        <v>Único</v>
      </c>
    </row>
    <row r="3048" spans="1:5" hidden="1" x14ac:dyDescent="0.25">
      <c r="A3048" s="15">
        <v>3809</v>
      </c>
      <c r="B3048" s="7">
        <v>52703834</v>
      </c>
      <c r="C3048" s="11">
        <v>46055.403159722198</v>
      </c>
      <c r="D3048" s="17" t="s">
        <v>3582</v>
      </c>
      <c r="E3048" t="str">
        <f>IF(COUNTIF($B$2:B3048,B3048)&gt;1,"Duplicado","Único")</f>
        <v>Duplicado</v>
      </c>
    </row>
    <row r="3049" spans="1:5" x14ac:dyDescent="0.25">
      <c r="A3049" s="15">
        <v>45944</v>
      </c>
      <c r="B3049" s="7">
        <v>52704707</v>
      </c>
      <c r="C3049" s="11">
        <v>45961.456967592603</v>
      </c>
      <c r="D3049" s="17" t="s">
        <v>2274</v>
      </c>
      <c r="E3049" t="str">
        <f>IF(COUNTIF($B$2:B3049,B3049)&gt;1,"Duplicado","Único")</f>
        <v>Único</v>
      </c>
    </row>
    <row r="3050" spans="1:5" x14ac:dyDescent="0.25">
      <c r="A3050" s="15">
        <v>53389</v>
      </c>
      <c r="B3050" s="7">
        <v>52712253</v>
      </c>
      <c r="C3050" s="11">
        <v>46057.402511574102</v>
      </c>
      <c r="D3050" s="17" t="s">
        <v>3679</v>
      </c>
      <c r="E3050" t="str">
        <f>IF(COUNTIF($B$2:B3050,B3050)&gt;1,"Duplicado","Único")</f>
        <v>Único</v>
      </c>
    </row>
    <row r="3051" spans="1:5" hidden="1" x14ac:dyDescent="0.25">
      <c r="A3051" s="15">
        <v>53389</v>
      </c>
      <c r="B3051" s="7">
        <v>52712253</v>
      </c>
      <c r="C3051" s="11">
        <v>46013.476793981499</v>
      </c>
      <c r="D3051" s="17" t="s">
        <v>3015</v>
      </c>
      <c r="E3051" t="str">
        <f>IF(COUNTIF($B$2:B3051,B3051)&gt;1,"Duplicado","Único")</f>
        <v>Duplicado</v>
      </c>
    </row>
    <row r="3052" spans="1:5" x14ac:dyDescent="0.25">
      <c r="A3052" s="15">
        <v>45833</v>
      </c>
      <c r="B3052" s="7">
        <v>52727920</v>
      </c>
      <c r="C3052" s="11">
        <v>45961.483229166697</v>
      </c>
      <c r="D3052" s="17" t="s">
        <v>2283</v>
      </c>
      <c r="E3052" t="str">
        <f>IF(COUNTIF($B$2:B3052,B3052)&gt;1,"Duplicado","Único")</f>
        <v>Único</v>
      </c>
    </row>
    <row r="3053" spans="1:5" hidden="1" x14ac:dyDescent="0.25">
      <c r="A3053" s="15">
        <v>45833</v>
      </c>
      <c r="B3053" s="7">
        <v>52727920</v>
      </c>
      <c r="C3053" s="11">
        <v>45960.647743055597</v>
      </c>
      <c r="D3053" s="17" t="s">
        <v>2264</v>
      </c>
      <c r="E3053" t="str">
        <f>IF(COUNTIF($B$2:B3053,B3053)&gt;1,"Duplicado","Único")</f>
        <v>Duplicado</v>
      </c>
    </row>
    <row r="3054" spans="1:5" x14ac:dyDescent="0.25">
      <c r="A3054" s="15">
        <v>49245</v>
      </c>
      <c r="B3054" s="7">
        <v>52736979</v>
      </c>
      <c r="C3054" s="11">
        <v>45981.421597222201</v>
      </c>
      <c r="D3054" s="17" t="s">
        <v>2635</v>
      </c>
      <c r="E3054" t="str">
        <f>IF(COUNTIF($B$2:B3054,B3054)&gt;1,"Duplicado","Único")</f>
        <v>Único</v>
      </c>
    </row>
    <row r="3055" spans="1:5" x14ac:dyDescent="0.25">
      <c r="A3055" s="15">
        <v>50131</v>
      </c>
      <c r="B3055" s="7">
        <v>52762644</v>
      </c>
      <c r="C3055" s="11">
        <v>46050.515520833302</v>
      </c>
      <c r="D3055" s="17" t="s">
        <v>3284</v>
      </c>
      <c r="E3055" t="str">
        <f>IF(COUNTIF($B$2:B3055,B3055)&gt;1,"Duplicado","Único")</f>
        <v>Único</v>
      </c>
    </row>
    <row r="3056" spans="1:5" hidden="1" x14ac:dyDescent="0.25">
      <c r="A3056" s="15">
        <v>50131</v>
      </c>
      <c r="B3056" s="7">
        <v>52762644</v>
      </c>
      <c r="C3056" s="11">
        <v>45987.412905092599</v>
      </c>
      <c r="D3056" s="17" t="s">
        <v>2727</v>
      </c>
      <c r="E3056" t="str">
        <f>IF(COUNTIF($B$2:B3056,B3056)&gt;1,"Duplicado","Único")</f>
        <v>Duplicado</v>
      </c>
    </row>
    <row r="3057" spans="1:5" x14ac:dyDescent="0.25">
      <c r="A3057" s="15">
        <v>46361</v>
      </c>
      <c r="B3057" s="7">
        <v>52768093</v>
      </c>
      <c r="C3057" s="11">
        <v>45965.539976851898</v>
      </c>
      <c r="D3057" s="17" t="s">
        <v>2322</v>
      </c>
      <c r="E3057" t="str">
        <f>IF(COUNTIF($B$2:B3057,B3057)&gt;1,"Duplicado","Único")</f>
        <v>Único</v>
      </c>
    </row>
    <row r="3058" spans="1:5" x14ac:dyDescent="0.25">
      <c r="A3058" s="15">
        <v>31407</v>
      </c>
      <c r="B3058" s="7">
        <v>52776708</v>
      </c>
      <c r="C3058" s="11">
        <v>45904.531238425901</v>
      </c>
      <c r="D3058" s="17" t="s">
        <v>1523</v>
      </c>
      <c r="E3058" t="str">
        <f>IF(COUNTIF($B$2:B3058,B3058)&gt;1,"Duplicado","Único")</f>
        <v>Único</v>
      </c>
    </row>
    <row r="3059" spans="1:5" x14ac:dyDescent="0.25">
      <c r="A3059" s="15">
        <v>43350</v>
      </c>
      <c r="B3059" s="7">
        <v>52780441</v>
      </c>
      <c r="C3059" s="11">
        <v>45954.663124999999</v>
      </c>
      <c r="D3059" s="17" t="s">
        <v>2079</v>
      </c>
      <c r="E3059" t="str">
        <f>IF(COUNTIF($B$2:B3059,B3059)&gt;1,"Duplicado","Único")</f>
        <v>Único</v>
      </c>
    </row>
    <row r="3060" spans="1:5" x14ac:dyDescent="0.25">
      <c r="A3060" s="15">
        <v>16516</v>
      </c>
      <c r="B3060" s="7">
        <v>52815887</v>
      </c>
      <c r="C3060" s="11">
        <v>46121.421354166698</v>
      </c>
      <c r="D3060" s="17" t="s">
        <v>4363</v>
      </c>
      <c r="E3060" t="str">
        <f>IF(COUNTIF($B$2:B3060,B3060)&gt;1,"Duplicado","Único")</f>
        <v>Único</v>
      </c>
    </row>
    <row r="3061" spans="1:5" hidden="1" x14ac:dyDescent="0.25">
      <c r="A3061" s="15">
        <v>16516</v>
      </c>
      <c r="B3061" s="7">
        <v>52815887</v>
      </c>
      <c r="C3061" s="11">
        <v>46101.826134259303</v>
      </c>
      <c r="D3061" s="17" t="s">
        <v>4159</v>
      </c>
      <c r="E3061" t="str">
        <f>IF(COUNTIF($B$2:B3061,B3061)&gt;1,"Duplicado","Único")</f>
        <v>Duplicado</v>
      </c>
    </row>
    <row r="3062" spans="1:5" x14ac:dyDescent="0.25">
      <c r="A3062" s="15">
        <v>13878</v>
      </c>
      <c r="B3062" s="7">
        <v>52834263</v>
      </c>
      <c r="C3062" s="11">
        <v>46087.617407407401</v>
      </c>
      <c r="D3062" s="17" t="s">
        <v>4001</v>
      </c>
      <c r="E3062" t="str">
        <f>IF(COUNTIF($B$2:B3062,B3062)&gt;1,"Duplicado","Único")</f>
        <v>Único</v>
      </c>
    </row>
    <row r="3063" spans="1:5" hidden="1" x14ac:dyDescent="0.25">
      <c r="A3063" s="15">
        <v>13878</v>
      </c>
      <c r="B3063" s="7">
        <v>52834263</v>
      </c>
      <c r="C3063" s="11">
        <v>46085.497685185197</v>
      </c>
      <c r="D3063" s="17" t="s">
        <v>3786</v>
      </c>
      <c r="E3063" t="str">
        <f>IF(COUNTIF($B$2:B3063,B3063)&gt;1,"Duplicado","Único")</f>
        <v>Duplicado</v>
      </c>
    </row>
    <row r="3064" spans="1:5" x14ac:dyDescent="0.25">
      <c r="A3064" s="15">
        <v>47212</v>
      </c>
      <c r="B3064" s="7">
        <v>52835715</v>
      </c>
      <c r="C3064" s="11">
        <v>45968.7586226852</v>
      </c>
      <c r="D3064" s="17" t="s">
        <v>2407</v>
      </c>
      <c r="E3064" t="str">
        <f>IF(COUNTIF($B$2:B3064,B3064)&gt;1,"Duplicado","Único")</f>
        <v>Único</v>
      </c>
    </row>
    <row r="3065" spans="1:5" x14ac:dyDescent="0.25">
      <c r="A3065" s="15">
        <v>48510</v>
      </c>
      <c r="B3065" s="7">
        <v>52843986</v>
      </c>
      <c r="C3065" s="11">
        <v>45979.477245370399</v>
      </c>
      <c r="D3065" s="17" t="s">
        <v>2553</v>
      </c>
      <c r="E3065" t="str">
        <f>IF(COUNTIF($B$2:B3065,B3065)&gt;1,"Duplicado","Único")</f>
        <v>Único</v>
      </c>
    </row>
    <row r="3066" spans="1:5" x14ac:dyDescent="0.25">
      <c r="A3066" s="15">
        <v>16071</v>
      </c>
      <c r="B3066" s="7">
        <v>52860256</v>
      </c>
      <c r="C3066" s="11">
        <v>46121.421875</v>
      </c>
      <c r="D3066" s="17" t="s">
        <v>4364</v>
      </c>
      <c r="E3066" t="str">
        <f>IF(COUNTIF($B$2:B3066,B3066)&gt;1,"Duplicado","Único")</f>
        <v>Único</v>
      </c>
    </row>
    <row r="3067" spans="1:5" hidden="1" x14ac:dyDescent="0.25">
      <c r="A3067" s="15">
        <v>16071</v>
      </c>
      <c r="B3067" s="7">
        <v>52860256</v>
      </c>
      <c r="C3067" s="11">
        <v>46101.714988425898</v>
      </c>
      <c r="D3067" s="17" t="s">
        <v>4127</v>
      </c>
      <c r="E3067" t="str">
        <f>IF(COUNTIF($B$2:B3067,B3067)&gt;1,"Duplicado","Único")</f>
        <v>Duplicado</v>
      </c>
    </row>
    <row r="3068" spans="1:5" x14ac:dyDescent="0.25">
      <c r="A3068" s="15">
        <v>14780</v>
      </c>
      <c r="B3068" s="7">
        <v>52887271</v>
      </c>
      <c r="C3068" s="11">
        <v>46120.518831018497</v>
      </c>
      <c r="D3068" s="17" t="s">
        <v>4292</v>
      </c>
      <c r="E3068" t="str">
        <f>IF(COUNTIF($B$2:B3068,B3068)&gt;1,"Duplicado","Único")</f>
        <v>Único</v>
      </c>
    </row>
    <row r="3069" spans="1:5" hidden="1" x14ac:dyDescent="0.25">
      <c r="A3069" s="15">
        <v>14780</v>
      </c>
      <c r="B3069" s="7">
        <v>52887271</v>
      </c>
      <c r="C3069" s="11">
        <v>46094.486585648097</v>
      </c>
      <c r="D3069" s="17" t="s">
        <v>4043</v>
      </c>
      <c r="E3069" t="str">
        <f>IF(COUNTIF($B$2:B3069,B3069)&gt;1,"Duplicado","Único")</f>
        <v>Duplicado</v>
      </c>
    </row>
    <row r="3070" spans="1:5" x14ac:dyDescent="0.25">
      <c r="A3070" s="15">
        <v>30939</v>
      </c>
      <c r="B3070" s="7">
        <v>52888014</v>
      </c>
      <c r="C3070" s="11">
        <v>45919.523969907401</v>
      </c>
      <c r="D3070" s="17" t="s">
        <v>1768</v>
      </c>
      <c r="E3070" t="str">
        <f>IF(COUNTIF($B$2:B3070,B3070)&gt;1,"Duplicado","Único")</f>
        <v>Único</v>
      </c>
    </row>
    <row r="3071" spans="1:5" x14ac:dyDescent="0.25">
      <c r="A3071" s="15">
        <v>40055</v>
      </c>
      <c r="B3071" s="7">
        <v>52889067</v>
      </c>
      <c r="C3071" s="11">
        <v>45932.4047685185</v>
      </c>
      <c r="D3071" s="17" t="s">
        <v>1915</v>
      </c>
      <c r="E3071" t="str">
        <f>IF(COUNTIF($B$2:B3071,B3071)&gt;1,"Duplicado","Único")</f>
        <v>Único</v>
      </c>
    </row>
    <row r="3072" spans="1:5" x14ac:dyDescent="0.25">
      <c r="A3072" s="15">
        <v>40530</v>
      </c>
      <c r="B3072" s="7">
        <v>52889217</v>
      </c>
      <c r="C3072" s="11">
        <v>45933.697453703702</v>
      </c>
      <c r="D3072" s="17" t="s">
        <v>1926</v>
      </c>
      <c r="E3072" t="str">
        <f>IF(COUNTIF($B$2:B3072,B3072)&gt;1,"Duplicado","Único")</f>
        <v>Único</v>
      </c>
    </row>
    <row r="3073" spans="1:5" x14ac:dyDescent="0.25">
      <c r="A3073" s="15">
        <v>29418</v>
      </c>
      <c r="B3073" s="7">
        <v>52907565</v>
      </c>
      <c r="C3073" s="11">
        <v>45894.533611111103</v>
      </c>
      <c r="D3073" s="17" t="s">
        <v>1407</v>
      </c>
      <c r="E3073" t="str">
        <f>IF(COUNTIF($B$2:B3073,B3073)&gt;1,"Duplicado","Único")</f>
        <v>Único</v>
      </c>
    </row>
    <row r="3074" spans="1:5" x14ac:dyDescent="0.25">
      <c r="A3074" s="15">
        <v>37599</v>
      </c>
      <c r="B3074" s="7">
        <v>52908971</v>
      </c>
      <c r="C3074" s="11">
        <v>45923.479456018496</v>
      </c>
      <c r="D3074" s="17" t="s">
        <v>1799</v>
      </c>
      <c r="E3074" t="str">
        <f>IF(COUNTIF($B$2:B3074,B3074)&gt;1,"Duplicado","Único")</f>
        <v>Único</v>
      </c>
    </row>
    <row r="3075" spans="1:5" x14ac:dyDescent="0.25">
      <c r="A3075" s="15">
        <v>53876</v>
      </c>
      <c r="B3075" s="7">
        <v>52917351</v>
      </c>
      <c r="C3075" s="11">
        <v>46057.403124999997</v>
      </c>
      <c r="D3075" s="17" t="s">
        <v>3680</v>
      </c>
      <c r="E3075" t="str">
        <f>IF(COUNTIF($B$2:B3075,B3075)&gt;1,"Duplicado","Único")</f>
        <v>Único</v>
      </c>
    </row>
    <row r="3076" spans="1:5" hidden="1" x14ac:dyDescent="0.25">
      <c r="A3076" s="15">
        <v>53876</v>
      </c>
      <c r="B3076" s="7">
        <v>52917351</v>
      </c>
      <c r="C3076" s="11">
        <v>46013.643101851798</v>
      </c>
      <c r="D3076" s="17" t="s">
        <v>3056</v>
      </c>
      <c r="E3076" t="str">
        <f>IF(COUNTIF($B$2:B3076,B3076)&gt;1,"Duplicado","Único")</f>
        <v>Duplicado</v>
      </c>
    </row>
    <row r="3077" spans="1:5" x14ac:dyDescent="0.25">
      <c r="A3077" s="15">
        <v>14108</v>
      </c>
      <c r="B3077" s="7">
        <v>52929041</v>
      </c>
      <c r="C3077" s="11">
        <v>46149.5171990741</v>
      </c>
      <c r="D3077" s="17" t="s">
        <v>4525</v>
      </c>
      <c r="E3077" t="str">
        <f>IF(COUNTIF($B$2:B3077,B3077)&gt;1,"Duplicado","Único")</f>
        <v>Único</v>
      </c>
    </row>
    <row r="3078" spans="1:5" hidden="1" x14ac:dyDescent="0.25">
      <c r="A3078" s="15">
        <v>14108</v>
      </c>
      <c r="B3078" s="7">
        <v>52929041</v>
      </c>
      <c r="C3078" s="11">
        <v>46086.673587963</v>
      </c>
      <c r="D3078" s="17" t="s">
        <v>974</v>
      </c>
      <c r="E3078" t="str">
        <f>IF(COUNTIF($B$2:B3078,B3078)&gt;1,"Duplicado","Único")</f>
        <v>Duplicado</v>
      </c>
    </row>
    <row r="3079" spans="1:5" x14ac:dyDescent="0.25">
      <c r="A3079" s="15">
        <v>31249</v>
      </c>
      <c r="B3079" s="7">
        <v>52953267</v>
      </c>
      <c r="C3079" s="11">
        <v>45904.528333333299</v>
      </c>
      <c r="D3079" s="17" t="s">
        <v>1522</v>
      </c>
      <c r="E3079" t="str">
        <f>IF(COUNTIF($B$2:B3079,B3079)&gt;1,"Duplicado","Único")</f>
        <v>Único</v>
      </c>
    </row>
    <row r="3080" spans="1:5" x14ac:dyDescent="0.25">
      <c r="A3080" s="15">
        <v>40527</v>
      </c>
      <c r="B3080" s="7">
        <v>52953838</v>
      </c>
      <c r="C3080" s="11">
        <v>45936.448854166701</v>
      </c>
      <c r="D3080" s="17" t="s">
        <v>1936</v>
      </c>
      <c r="E3080" t="str">
        <f>IF(COUNTIF($B$2:B3080,B3080)&gt;1,"Duplicado","Único")</f>
        <v>Único</v>
      </c>
    </row>
    <row r="3081" spans="1:5" x14ac:dyDescent="0.25">
      <c r="A3081" s="15">
        <v>19757</v>
      </c>
      <c r="B3081" s="7">
        <v>52955842</v>
      </c>
      <c r="C3081" s="11">
        <v>45814.327476851897</v>
      </c>
      <c r="D3081" s="17" t="s">
        <v>844</v>
      </c>
      <c r="E3081" t="str">
        <f>IF(COUNTIF($B$2:B3081,B3081)&gt;1,"Duplicado","Único")</f>
        <v>Único</v>
      </c>
    </row>
    <row r="3082" spans="1:5" x14ac:dyDescent="0.25">
      <c r="A3082" s="15">
        <v>2454</v>
      </c>
      <c r="B3082" s="7">
        <v>52959390</v>
      </c>
      <c r="C3082" s="11">
        <v>46086.743865740696</v>
      </c>
      <c r="D3082" s="17" t="s">
        <v>3932</v>
      </c>
      <c r="E3082" t="str">
        <f>IF(COUNTIF($B$2:B3082,B3082)&gt;1,"Duplicado","Único")</f>
        <v>Único</v>
      </c>
    </row>
    <row r="3083" spans="1:5" hidden="1" x14ac:dyDescent="0.25">
      <c r="A3083" s="15">
        <v>2454</v>
      </c>
      <c r="B3083" s="7">
        <v>52959390</v>
      </c>
      <c r="C3083" s="11">
        <v>46051.384652777801</v>
      </c>
      <c r="D3083" s="17" t="s">
        <v>3436</v>
      </c>
      <c r="E3083" t="str">
        <f>IF(COUNTIF($B$2:B3083,B3083)&gt;1,"Duplicado","Único")</f>
        <v>Duplicado</v>
      </c>
    </row>
    <row r="3084" spans="1:5" x14ac:dyDescent="0.25">
      <c r="A3084" s="15">
        <v>50573</v>
      </c>
      <c r="B3084" s="7">
        <v>52963181</v>
      </c>
      <c r="C3084" s="11">
        <v>46050.638483796298</v>
      </c>
      <c r="D3084" s="17" t="s">
        <v>3347</v>
      </c>
      <c r="E3084" t="str">
        <f>IF(COUNTIF($B$2:B3084,B3084)&gt;1,"Duplicado","Único")</f>
        <v>Único</v>
      </c>
    </row>
    <row r="3085" spans="1:5" hidden="1" x14ac:dyDescent="0.25">
      <c r="A3085" s="15">
        <v>50573</v>
      </c>
      <c r="B3085" s="7">
        <v>52963181</v>
      </c>
      <c r="C3085" s="11">
        <v>45989.410601851901</v>
      </c>
      <c r="D3085" s="17" t="s">
        <v>2782</v>
      </c>
      <c r="E3085" t="str">
        <f>IF(COUNTIF($B$2:B3085,B3085)&gt;1,"Duplicado","Único")</f>
        <v>Duplicado</v>
      </c>
    </row>
    <row r="3086" spans="1:5" x14ac:dyDescent="0.25">
      <c r="A3086" s="15">
        <v>47094</v>
      </c>
      <c r="B3086" s="7">
        <v>52964978</v>
      </c>
      <c r="C3086" s="11">
        <v>45968.417650463001</v>
      </c>
      <c r="D3086" s="17" t="s">
        <v>2388</v>
      </c>
      <c r="E3086" t="str">
        <f>IF(COUNTIF($B$2:B3086,B3086)&gt;1,"Duplicado","Único")</f>
        <v>Único</v>
      </c>
    </row>
    <row r="3087" spans="1:5" x14ac:dyDescent="0.25">
      <c r="A3087" s="15">
        <v>49230</v>
      </c>
      <c r="B3087" s="7">
        <v>52974944</v>
      </c>
      <c r="C3087" s="11">
        <v>45981.496157407397</v>
      </c>
      <c r="D3087" s="17" t="s">
        <v>2643</v>
      </c>
      <c r="E3087" t="str">
        <f>IF(COUNTIF($B$2:B3087,B3087)&gt;1,"Duplicado","Único")</f>
        <v>Único</v>
      </c>
    </row>
    <row r="3088" spans="1:5" x14ac:dyDescent="0.25">
      <c r="A3088" s="15">
        <v>17045</v>
      </c>
      <c r="B3088" s="7">
        <v>52993493</v>
      </c>
      <c r="C3088" s="11">
        <v>46149.438148148103</v>
      </c>
      <c r="D3088" s="17" t="s">
        <v>4480</v>
      </c>
      <c r="E3088" t="str">
        <f>IF(COUNTIF($B$2:B3088,B3088)&gt;1,"Duplicado","Único")</f>
        <v>Único</v>
      </c>
    </row>
    <row r="3089" spans="1:5" hidden="1" x14ac:dyDescent="0.25">
      <c r="A3089" s="15">
        <v>17045</v>
      </c>
      <c r="B3089" s="7">
        <v>52993493</v>
      </c>
      <c r="C3089" s="11">
        <v>46108.464618055601</v>
      </c>
      <c r="D3089" s="17" t="s">
        <v>4180</v>
      </c>
      <c r="E3089" t="str">
        <f>IF(COUNTIF($B$2:B3089,B3089)&gt;1,"Duplicado","Único")</f>
        <v>Duplicado</v>
      </c>
    </row>
    <row r="3090" spans="1:5" x14ac:dyDescent="0.25">
      <c r="A3090" s="15">
        <v>15239</v>
      </c>
      <c r="B3090" s="7">
        <v>52998490</v>
      </c>
      <c r="C3090" s="11">
        <v>46120.519652777803</v>
      </c>
      <c r="D3090" s="17" t="s">
        <v>4293</v>
      </c>
      <c r="E3090" t="str">
        <f>IF(COUNTIF($B$2:B3090,B3090)&gt;1,"Duplicado","Único")</f>
        <v>Único</v>
      </c>
    </row>
    <row r="3091" spans="1:5" hidden="1" x14ac:dyDescent="0.25">
      <c r="A3091" s="15">
        <v>15239</v>
      </c>
      <c r="B3091" s="7">
        <v>52998490</v>
      </c>
      <c r="C3091" s="11">
        <v>46094.508159722202</v>
      </c>
      <c r="D3091" s="17" t="s">
        <v>4073</v>
      </c>
      <c r="E3091" t="str">
        <f>IF(COUNTIF($B$2:B3091,B3091)&gt;1,"Duplicado","Único")</f>
        <v>Duplicado</v>
      </c>
    </row>
    <row r="3092" spans="1:5" x14ac:dyDescent="0.25">
      <c r="A3092" s="15">
        <v>48902</v>
      </c>
      <c r="B3092" s="7">
        <v>52999459</v>
      </c>
      <c r="C3092" s="11">
        <v>45980.378240740698</v>
      </c>
      <c r="D3092" s="17" t="s">
        <v>2589</v>
      </c>
      <c r="E3092" t="str">
        <f>IF(COUNTIF($B$2:B3092,B3092)&gt;1,"Duplicado","Único")</f>
        <v>Único</v>
      </c>
    </row>
    <row r="3093" spans="1:5" x14ac:dyDescent="0.25">
      <c r="A3093" s="15">
        <v>32715</v>
      </c>
      <c r="B3093" s="7">
        <v>53009276</v>
      </c>
      <c r="C3093" s="11">
        <v>45910.410937499997</v>
      </c>
      <c r="D3093" s="17" t="s">
        <v>1638</v>
      </c>
      <c r="E3093" t="str">
        <f>IF(COUNTIF($B$2:B3093,B3093)&gt;1,"Duplicado","Único")</f>
        <v>Único</v>
      </c>
    </row>
    <row r="3094" spans="1:5" x14ac:dyDescent="0.25">
      <c r="A3094" s="15">
        <v>40528</v>
      </c>
      <c r="B3094" s="7">
        <v>53038786</v>
      </c>
      <c r="C3094" s="11">
        <v>45933.696238425902</v>
      </c>
      <c r="D3094" s="17" t="s">
        <v>1925</v>
      </c>
      <c r="E3094" t="str">
        <f>IF(COUNTIF($B$2:B3094,B3094)&gt;1,"Duplicado","Único")</f>
        <v>Único</v>
      </c>
    </row>
    <row r="3095" spans="1:5" x14ac:dyDescent="0.25">
      <c r="A3095" s="15">
        <v>38648</v>
      </c>
      <c r="B3095" s="7">
        <v>53042127</v>
      </c>
      <c r="C3095" s="11">
        <v>45926.416076388901</v>
      </c>
      <c r="D3095" s="17" t="s">
        <v>1841</v>
      </c>
      <c r="E3095" t="str">
        <f>IF(COUNTIF($B$2:B3095,B3095)&gt;1,"Duplicado","Único")</f>
        <v>Único</v>
      </c>
    </row>
    <row r="3096" spans="1:5" x14ac:dyDescent="0.25">
      <c r="A3096" s="15">
        <v>48499</v>
      </c>
      <c r="B3096" s="7">
        <v>53051988</v>
      </c>
      <c r="C3096" s="11">
        <v>45979.474293981497</v>
      </c>
      <c r="D3096" s="17" t="s">
        <v>2552</v>
      </c>
      <c r="E3096" t="str">
        <f>IF(COUNTIF($B$2:B3096,B3096)&gt;1,"Duplicado","Único")</f>
        <v>Único</v>
      </c>
    </row>
    <row r="3097" spans="1:5" x14ac:dyDescent="0.25">
      <c r="A3097" s="15">
        <v>16449</v>
      </c>
      <c r="B3097" s="7">
        <v>53073866</v>
      </c>
      <c r="C3097" s="11">
        <v>46121.425405092603</v>
      </c>
      <c r="D3097" s="17" t="s">
        <v>4365</v>
      </c>
      <c r="E3097" t="str">
        <f>IF(COUNTIF($B$2:B3097,B3097)&gt;1,"Duplicado","Único")</f>
        <v>Único</v>
      </c>
    </row>
    <row r="3098" spans="1:5" hidden="1" x14ac:dyDescent="0.25">
      <c r="A3098" s="15">
        <v>16449</v>
      </c>
      <c r="B3098" s="7">
        <v>53073866</v>
      </c>
      <c r="C3098" s="11">
        <v>46101.818599537</v>
      </c>
      <c r="D3098" s="17" t="s">
        <v>4149</v>
      </c>
      <c r="E3098" t="str">
        <f>IF(COUNTIF($B$2:B3098,B3098)&gt;1,"Duplicado","Único")</f>
        <v>Duplicado</v>
      </c>
    </row>
    <row r="3099" spans="1:5" hidden="1" x14ac:dyDescent="0.25">
      <c r="A3099" s="15">
        <v>21629</v>
      </c>
      <c r="B3099" s="7">
        <v>53073866</v>
      </c>
      <c r="C3099" s="11">
        <v>45825.394004629597</v>
      </c>
      <c r="D3099" s="17" t="s">
        <v>951</v>
      </c>
      <c r="E3099" t="str">
        <f>IF(COUNTIF($B$2:B3099,B3099)&gt;1,"Duplicado","Único")</f>
        <v>Duplicado</v>
      </c>
    </row>
    <row r="3100" spans="1:5" x14ac:dyDescent="0.25">
      <c r="A3100" s="15">
        <v>17938</v>
      </c>
      <c r="B3100" s="7">
        <v>5307571</v>
      </c>
      <c r="C3100" s="11">
        <v>46149.407199074099</v>
      </c>
      <c r="D3100" s="17" t="s">
        <v>4434</v>
      </c>
      <c r="E3100" t="str">
        <f>IF(COUNTIF($B$2:B3100,B3100)&gt;1,"Duplicado","Único")</f>
        <v>Único</v>
      </c>
    </row>
    <row r="3101" spans="1:5" hidden="1" x14ac:dyDescent="0.25">
      <c r="A3101" s="15">
        <v>17938</v>
      </c>
      <c r="B3101" s="7">
        <v>5307571</v>
      </c>
      <c r="C3101" s="11">
        <v>46118.326620370397</v>
      </c>
      <c r="D3101" s="17" t="s">
        <v>4238</v>
      </c>
      <c r="E3101" t="str">
        <f>IF(COUNTIF($B$2:B3101,B3101)&gt;1,"Duplicado","Único")</f>
        <v>Duplicado</v>
      </c>
    </row>
    <row r="3102" spans="1:5" x14ac:dyDescent="0.25">
      <c r="A3102" s="15">
        <v>3781</v>
      </c>
      <c r="B3102" s="7">
        <v>53082935</v>
      </c>
      <c r="C3102" s="11">
        <v>46086.774074074099</v>
      </c>
      <c r="D3102" s="17" t="s">
        <v>3960</v>
      </c>
      <c r="E3102" t="str">
        <f>IF(COUNTIF($B$2:B3102,B3102)&gt;1,"Duplicado","Único")</f>
        <v>Único</v>
      </c>
    </row>
    <row r="3103" spans="1:5" hidden="1" x14ac:dyDescent="0.25">
      <c r="A3103" s="15">
        <v>3781</v>
      </c>
      <c r="B3103" s="7">
        <v>53082935</v>
      </c>
      <c r="C3103" s="11">
        <v>46055.603460648097</v>
      </c>
      <c r="D3103" s="17" t="s">
        <v>3615</v>
      </c>
      <c r="E3103" t="str">
        <f>IF(COUNTIF($B$2:B3103,B3103)&gt;1,"Duplicado","Único")</f>
        <v>Duplicado</v>
      </c>
    </row>
    <row r="3104" spans="1:5" x14ac:dyDescent="0.25">
      <c r="A3104" s="15">
        <v>38830</v>
      </c>
      <c r="B3104" s="7">
        <v>53102649</v>
      </c>
      <c r="C3104" s="11">
        <v>45929.4235416667</v>
      </c>
      <c r="D3104" s="17" t="s">
        <v>1856</v>
      </c>
      <c r="E3104" t="str">
        <f>IF(COUNTIF($B$2:B3104,B3104)&gt;1,"Duplicado","Único")</f>
        <v>Único</v>
      </c>
    </row>
    <row r="3105" spans="1:5" x14ac:dyDescent="0.25">
      <c r="A3105" s="15">
        <v>46068</v>
      </c>
      <c r="B3105" s="7">
        <v>53105099</v>
      </c>
      <c r="C3105" s="11">
        <v>45965.475312499999</v>
      </c>
      <c r="D3105" s="17" t="s">
        <v>2306</v>
      </c>
      <c r="E3105" t="str">
        <f>IF(COUNTIF($B$2:B3105,B3105)&gt;1,"Duplicado","Único")</f>
        <v>Único</v>
      </c>
    </row>
    <row r="3106" spans="1:5" x14ac:dyDescent="0.25">
      <c r="A3106" s="15">
        <v>170</v>
      </c>
      <c r="B3106" s="7">
        <v>53106381</v>
      </c>
      <c r="C3106" s="11">
        <v>46086.474699074097</v>
      </c>
      <c r="D3106" s="17" t="s">
        <v>3807</v>
      </c>
      <c r="E3106" t="str">
        <f>IF(COUNTIF($B$2:B3106,B3106)&gt;1,"Duplicado","Único")</f>
        <v>Único</v>
      </c>
    </row>
    <row r="3107" spans="1:5" hidden="1" x14ac:dyDescent="0.25">
      <c r="A3107" s="15">
        <v>170</v>
      </c>
      <c r="B3107" s="7">
        <v>53106381</v>
      </c>
      <c r="C3107" s="11">
        <v>46031.5088888889</v>
      </c>
      <c r="D3107" s="17" t="s">
        <v>3121</v>
      </c>
      <c r="E3107" t="str">
        <f>IF(COUNTIF($B$2:B3107,B3107)&gt;1,"Duplicado","Único")</f>
        <v>Duplicado</v>
      </c>
    </row>
    <row r="3108" spans="1:5" x14ac:dyDescent="0.25">
      <c r="A3108" s="15">
        <v>15461</v>
      </c>
      <c r="B3108" s="7">
        <v>53107105</v>
      </c>
      <c r="C3108" s="11">
        <v>46120.520393518498</v>
      </c>
      <c r="D3108" s="17" t="s">
        <v>4294</v>
      </c>
      <c r="E3108" t="str">
        <f>IF(COUNTIF($B$2:B3108,B3108)&gt;1,"Duplicado","Único")</f>
        <v>Único</v>
      </c>
    </row>
    <row r="3109" spans="1:5" hidden="1" x14ac:dyDescent="0.25">
      <c r="A3109" s="15">
        <v>15461</v>
      </c>
      <c r="B3109" s="7">
        <v>53107105</v>
      </c>
      <c r="C3109" s="11">
        <v>46094.526377314804</v>
      </c>
      <c r="D3109" s="17" t="s">
        <v>4090</v>
      </c>
      <c r="E3109" t="str">
        <f>IF(COUNTIF($B$2:B3109,B3109)&gt;1,"Duplicado","Único")</f>
        <v>Duplicado</v>
      </c>
    </row>
    <row r="3110" spans="1:5" x14ac:dyDescent="0.25">
      <c r="A3110" s="15">
        <v>17453</v>
      </c>
      <c r="B3110" s="7">
        <v>53116921</v>
      </c>
      <c r="C3110" s="11">
        <v>46149.438553240703</v>
      </c>
      <c r="D3110" s="17" t="s">
        <v>4481</v>
      </c>
      <c r="E3110" t="str">
        <f>IF(COUNTIF($B$2:B3110,B3110)&gt;1,"Duplicado","Único")</f>
        <v>Único</v>
      </c>
    </row>
    <row r="3111" spans="1:5" hidden="1" x14ac:dyDescent="0.25">
      <c r="A3111" s="15">
        <v>17453</v>
      </c>
      <c r="B3111" s="7">
        <v>53116921</v>
      </c>
      <c r="C3111" s="11">
        <v>46108.473113425898</v>
      </c>
      <c r="D3111" s="17" t="s">
        <v>4186</v>
      </c>
      <c r="E3111" t="str">
        <f>IF(COUNTIF($B$2:B3111,B3111)&gt;1,"Duplicado","Único")</f>
        <v>Duplicado</v>
      </c>
    </row>
    <row r="3112" spans="1:5" x14ac:dyDescent="0.25">
      <c r="A3112" s="15">
        <v>51777</v>
      </c>
      <c r="B3112" s="7">
        <v>53118695</v>
      </c>
      <c r="C3112" s="11">
        <v>46051.455925925897</v>
      </c>
      <c r="D3112" s="17" t="s">
        <v>3475</v>
      </c>
      <c r="E3112" t="str">
        <f>IF(COUNTIF($B$2:B3112,B3112)&gt;1,"Duplicado","Único")</f>
        <v>Único</v>
      </c>
    </row>
    <row r="3113" spans="1:5" hidden="1" x14ac:dyDescent="0.25">
      <c r="A3113" s="15">
        <v>51777</v>
      </c>
      <c r="B3113" s="7">
        <v>53118695</v>
      </c>
      <c r="C3113" s="11">
        <v>46002.649814814802</v>
      </c>
      <c r="D3113" s="17" t="s">
        <v>2897</v>
      </c>
      <c r="E3113" t="str">
        <f>IF(COUNTIF($B$2:B3113,B3113)&gt;1,"Duplicado","Único")</f>
        <v>Duplicado</v>
      </c>
    </row>
    <row r="3114" spans="1:5" x14ac:dyDescent="0.25">
      <c r="A3114" s="15">
        <v>16002</v>
      </c>
      <c r="B3114" s="7">
        <v>53121892</v>
      </c>
      <c r="C3114" s="11">
        <v>46121.425844907397</v>
      </c>
      <c r="D3114" s="17" t="s">
        <v>4366</v>
      </c>
      <c r="E3114" t="str">
        <f>IF(COUNTIF($B$2:B3114,B3114)&gt;1,"Duplicado","Único")</f>
        <v>Único</v>
      </c>
    </row>
    <row r="3115" spans="1:5" hidden="1" x14ac:dyDescent="0.25">
      <c r="A3115" s="15">
        <v>16002</v>
      </c>
      <c r="B3115" s="7">
        <v>53121892</v>
      </c>
      <c r="C3115" s="11">
        <v>46101.709710648101</v>
      </c>
      <c r="D3115" s="17" t="s">
        <v>4123</v>
      </c>
      <c r="E3115" t="str">
        <f>IF(COUNTIF($B$2:B3115,B3115)&gt;1,"Duplicado","Único")</f>
        <v>Duplicado</v>
      </c>
    </row>
    <row r="3116" spans="1:5" x14ac:dyDescent="0.25">
      <c r="A3116" s="15">
        <v>15673</v>
      </c>
      <c r="B3116" s="7">
        <v>53123035</v>
      </c>
      <c r="C3116" s="11">
        <v>46121.426608796297</v>
      </c>
      <c r="D3116" s="17" t="s">
        <v>4367</v>
      </c>
      <c r="E3116" t="str">
        <f>IF(COUNTIF($B$2:B3116,B3116)&gt;1,"Duplicado","Único")</f>
        <v>Único</v>
      </c>
    </row>
    <row r="3117" spans="1:5" hidden="1" x14ac:dyDescent="0.25">
      <c r="A3117" s="15">
        <v>15673</v>
      </c>
      <c r="B3117" s="7">
        <v>53123035</v>
      </c>
      <c r="C3117" s="11">
        <v>46101.622152777803</v>
      </c>
      <c r="D3117" s="17" t="s">
        <v>1124</v>
      </c>
      <c r="E3117" t="str">
        <f>IF(COUNTIF($B$2:B3117,B3117)&gt;1,"Duplicado","Único")</f>
        <v>Duplicado</v>
      </c>
    </row>
    <row r="3118" spans="1:5" x14ac:dyDescent="0.25">
      <c r="A3118" s="15">
        <v>17507</v>
      </c>
      <c r="B3118" s="7">
        <v>53124146</v>
      </c>
      <c r="C3118" s="11">
        <v>45797.524432870399</v>
      </c>
      <c r="D3118" s="17" t="s">
        <v>712</v>
      </c>
      <c r="E3118" t="str">
        <f>IF(COUNTIF($B$2:B3118,B3118)&gt;1,"Duplicado","Único")</f>
        <v>Único</v>
      </c>
    </row>
    <row r="3119" spans="1:5" x14ac:dyDescent="0.25">
      <c r="A3119" s="15">
        <v>36200</v>
      </c>
      <c r="B3119" s="7">
        <v>53153756</v>
      </c>
      <c r="C3119" s="11">
        <v>45918.432361111103</v>
      </c>
      <c r="D3119" s="17" t="s">
        <v>1744</v>
      </c>
      <c r="E3119" t="str">
        <f>IF(COUNTIF($B$2:B3119,B3119)&gt;1,"Duplicado","Único")</f>
        <v>Único</v>
      </c>
    </row>
    <row r="3120" spans="1:5" x14ac:dyDescent="0.25">
      <c r="A3120" s="15">
        <v>18445</v>
      </c>
      <c r="B3120" s="7">
        <v>53155411</v>
      </c>
      <c r="C3120" s="11">
        <v>45803.399629629603</v>
      </c>
      <c r="D3120" s="17" t="s">
        <v>769</v>
      </c>
      <c r="E3120" t="str">
        <f>IF(COUNTIF($B$2:B3120,B3120)&gt;1,"Duplicado","Único")</f>
        <v>Único</v>
      </c>
    </row>
    <row r="3121" spans="1:5" x14ac:dyDescent="0.25">
      <c r="A3121" s="15">
        <v>45321</v>
      </c>
      <c r="B3121" s="7">
        <v>55249214</v>
      </c>
      <c r="C3121" s="11">
        <v>45959.6882638889</v>
      </c>
      <c r="D3121" s="17" t="s">
        <v>2235</v>
      </c>
      <c r="E3121" t="str">
        <f>IF(COUNTIF($B$2:B3121,B3121)&gt;1,"Duplicado","Único")</f>
        <v>Único</v>
      </c>
    </row>
    <row r="3122" spans="1:5" x14ac:dyDescent="0.25">
      <c r="A3122" s="15">
        <v>48333</v>
      </c>
      <c r="B3122" s="7">
        <v>55312312</v>
      </c>
      <c r="C3122" s="11">
        <v>45975.674317129597</v>
      </c>
      <c r="D3122" s="17" t="s">
        <v>2527</v>
      </c>
      <c r="E3122" t="str">
        <f>IF(COUNTIF($B$2:B3122,B3122)&gt;1,"Duplicado","Único")</f>
        <v>Único</v>
      </c>
    </row>
    <row r="3123" spans="1:5" x14ac:dyDescent="0.25">
      <c r="A3123" s="15">
        <v>34041</v>
      </c>
      <c r="B3123" s="7">
        <v>55312691</v>
      </c>
      <c r="C3123" s="11">
        <v>45917.366875</v>
      </c>
      <c r="D3123" s="17" t="s">
        <v>1721</v>
      </c>
      <c r="E3123" t="str">
        <f>IF(COUNTIF($B$2:B3123,B3123)&gt;1,"Duplicado","Único")</f>
        <v>Único</v>
      </c>
    </row>
    <row r="3124" spans="1:5" x14ac:dyDescent="0.25">
      <c r="A3124" s="15">
        <v>27461</v>
      </c>
      <c r="B3124" s="7">
        <v>57436371</v>
      </c>
      <c r="C3124" s="11">
        <v>45874.628981481503</v>
      </c>
      <c r="D3124" s="17" t="s">
        <v>1270</v>
      </c>
      <c r="E3124" t="str">
        <f>IF(COUNTIF($B$2:B3124,B3124)&gt;1,"Duplicado","Único")</f>
        <v>Único</v>
      </c>
    </row>
    <row r="3125" spans="1:5" x14ac:dyDescent="0.25">
      <c r="A3125" s="15">
        <v>17155</v>
      </c>
      <c r="B3125" s="7">
        <v>57466263</v>
      </c>
      <c r="C3125" s="11">
        <v>46149.4391666667</v>
      </c>
      <c r="D3125" s="17" t="s">
        <v>4482</v>
      </c>
      <c r="E3125" t="str">
        <f>IF(COUNTIF($B$2:B3125,B3125)&gt;1,"Duplicado","Único")</f>
        <v>Único</v>
      </c>
    </row>
    <row r="3126" spans="1:5" hidden="1" x14ac:dyDescent="0.25">
      <c r="A3126" s="15">
        <v>17155</v>
      </c>
      <c r="B3126" s="7">
        <v>57466263</v>
      </c>
      <c r="C3126" s="11">
        <v>46108.508148148103</v>
      </c>
      <c r="D3126" s="17" t="s">
        <v>4210</v>
      </c>
      <c r="E3126" t="str">
        <f>IF(COUNTIF($B$2:B3126,B3126)&gt;1,"Duplicado","Único")</f>
        <v>Duplicado</v>
      </c>
    </row>
    <row r="3127" spans="1:5" x14ac:dyDescent="0.25">
      <c r="A3127" s="15">
        <v>45904</v>
      </c>
      <c r="B3127" s="7">
        <v>5823762</v>
      </c>
      <c r="C3127" s="11">
        <v>45961.689942129597</v>
      </c>
      <c r="D3127" s="17" t="s">
        <v>2287</v>
      </c>
      <c r="E3127" t="str">
        <f>IF(COUNTIF($B$2:B3127,B3127)&gt;1,"Duplicado","Único")</f>
        <v>Único</v>
      </c>
    </row>
    <row r="3128" spans="1:5" x14ac:dyDescent="0.25">
      <c r="A3128" s="15">
        <v>49355</v>
      </c>
      <c r="B3128" s="7">
        <v>5897301</v>
      </c>
      <c r="C3128" s="11">
        <v>45981.664004629602</v>
      </c>
      <c r="D3128" s="17" t="s">
        <v>2645</v>
      </c>
      <c r="E3128" t="str">
        <f>IF(COUNTIF($B$2:B3128,B3128)&gt;1,"Duplicado","Único")</f>
        <v>Único</v>
      </c>
    </row>
    <row r="3129" spans="1:5" x14ac:dyDescent="0.25">
      <c r="A3129" s="15">
        <v>828</v>
      </c>
      <c r="B3129" s="7">
        <v>59682427</v>
      </c>
      <c r="C3129" s="11">
        <v>46086.502407407403</v>
      </c>
      <c r="D3129" s="17" t="s">
        <v>3821</v>
      </c>
      <c r="E3129" t="str">
        <f>IF(COUNTIF($B$2:B3129,B3129)&gt;1,"Duplicado","Único")</f>
        <v>Único</v>
      </c>
    </row>
    <row r="3130" spans="1:5" hidden="1" x14ac:dyDescent="0.25">
      <c r="A3130" s="15">
        <v>828</v>
      </c>
      <c r="B3130" s="7">
        <v>59682427</v>
      </c>
      <c r="C3130" s="11">
        <v>46035.523645833302</v>
      </c>
      <c r="D3130" s="17" t="s">
        <v>3148</v>
      </c>
      <c r="E3130" t="str">
        <f>IF(COUNTIF($B$2:B3130,B3130)&gt;1,"Duplicado","Único")</f>
        <v>Duplicado</v>
      </c>
    </row>
    <row r="3131" spans="1:5" x14ac:dyDescent="0.25">
      <c r="A3131" s="15">
        <v>51374</v>
      </c>
      <c r="B3131" s="7">
        <v>59816972</v>
      </c>
      <c r="C3131" s="11">
        <v>46051.456747685203</v>
      </c>
      <c r="D3131" s="17" t="s">
        <v>3476</v>
      </c>
      <c r="E3131" t="str">
        <f>IF(COUNTIF($B$2:B3131,B3131)&gt;1,"Duplicado","Único")</f>
        <v>Único</v>
      </c>
    </row>
    <row r="3132" spans="1:5" hidden="1" x14ac:dyDescent="0.25">
      <c r="A3132" s="15">
        <v>51374</v>
      </c>
      <c r="B3132" s="7">
        <v>59816972</v>
      </c>
      <c r="C3132" s="11">
        <v>46002.598611111098</v>
      </c>
      <c r="D3132" s="17" t="s">
        <v>2885</v>
      </c>
      <c r="E3132" t="str">
        <f>IF(COUNTIF($B$2:B3132,B3132)&gt;1,"Duplicado","Único")</f>
        <v>Duplicado</v>
      </c>
    </row>
    <row r="3133" spans="1:5" x14ac:dyDescent="0.25">
      <c r="A3133" s="15">
        <v>2432</v>
      </c>
      <c r="B3133" s="7">
        <v>60259573</v>
      </c>
      <c r="C3133" s="11">
        <v>46086.714085648098</v>
      </c>
      <c r="D3133" s="17" t="s">
        <v>3900</v>
      </c>
      <c r="E3133" t="str">
        <f>IF(COUNTIF($B$2:B3133,B3133)&gt;1,"Duplicado","Único")</f>
        <v>Único</v>
      </c>
    </row>
    <row r="3134" spans="1:5" hidden="1" x14ac:dyDescent="0.25">
      <c r="A3134" s="15">
        <v>2432</v>
      </c>
      <c r="B3134" s="7">
        <v>60259573</v>
      </c>
      <c r="C3134" s="11">
        <v>46049.579629629603</v>
      </c>
      <c r="D3134" s="17" t="s">
        <v>3222</v>
      </c>
      <c r="E3134" t="str">
        <f>IF(COUNTIF($B$2:B3134,B3134)&gt;1,"Duplicado","Único")</f>
        <v>Duplicado</v>
      </c>
    </row>
    <row r="3135" spans="1:5" x14ac:dyDescent="0.25">
      <c r="A3135" s="15">
        <v>49353</v>
      </c>
      <c r="B3135" s="7">
        <v>60287262</v>
      </c>
      <c r="C3135" s="11">
        <v>46050.639965277798</v>
      </c>
      <c r="D3135" s="17" t="s">
        <v>3348</v>
      </c>
      <c r="E3135" t="str">
        <f>IF(COUNTIF($B$2:B3135,B3135)&gt;1,"Duplicado","Único")</f>
        <v>Único</v>
      </c>
    </row>
    <row r="3136" spans="1:5" hidden="1" x14ac:dyDescent="0.25">
      <c r="A3136" s="15">
        <v>49353</v>
      </c>
      <c r="B3136" s="7">
        <v>60287262</v>
      </c>
      <c r="C3136" s="11">
        <v>45989.8988888889</v>
      </c>
      <c r="D3136" s="17" t="s">
        <v>2800</v>
      </c>
      <c r="E3136" t="str">
        <f>IF(COUNTIF($B$2:B3136,B3136)&gt;1,"Duplicado","Único")</f>
        <v>Duplicado</v>
      </c>
    </row>
    <row r="3137" spans="1:5" hidden="1" x14ac:dyDescent="0.25">
      <c r="A3137" s="15">
        <v>49353</v>
      </c>
      <c r="B3137" s="7">
        <v>60287262</v>
      </c>
      <c r="C3137" s="11">
        <v>45982.388680555603</v>
      </c>
      <c r="D3137" s="17" t="s">
        <v>2664</v>
      </c>
      <c r="E3137" t="str">
        <f>IF(COUNTIF($B$2:B3137,B3137)&gt;1,"Duplicado","Único")</f>
        <v>Duplicado</v>
      </c>
    </row>
    <row r="3138" spans="1:5" x14ac:dyDescent="0.25">
      <c r="A3138" s="15">
        <v>20504</v>
      </c>
      <c r="B3138" s="7">
        <v>60396369</v>
      </c>
      <c r="C3138" s="11">
        <v>45820.488402777803</v>
      </c>
      <c r="D3138" s="17" t="s">
        <v>888</v>
      </c>
      <c r="E3138" t="str">
        <f>IF(COUNTIF($B$2:B3138,B3138)&gt;1,"Duplicado","Único")</f>
        <v>Único</v>
      </c>
    </row>
    <row r="3139" spans="1:5" x14ac:dyDescent="0.25">
      <c r="A3139" s="15">
        <v>42922</v>
      </c>
      <c r="B3139" s="7">
        <v>60437695</v>
      </c>
      <c r="C3139" s="11">
        <v>45954.610486111102</v>
      </c>
      <c r="D3139" s="17" t="s">
        <v>2070</v>
      </c>
      <c r="E3139" t="str">
        <f>IF(COUNTIF($B$2:B3139,B3139)&gt;1,"Duplicado","Único")</f>
        <v>Único</v>
      </c>
    </row>
    <row r="3140" spans="1:5" x14ac:dyDescent="0.25">
      <c r="A3140" s="15">
        <v>23119</v>
      </c>
      <c r="B3140" s="7">
        <v>6070923</v>
      </c>
      <c r="C3140" s="11">
        <v>45842.4153703704</v>
      </c>
      <c r="D3140" s="17" t="s">
        <v>1038</v>
      </c>
      <c r="E3140" t="str">
        <f>IF(COUNTIF($B$2:B3140,B3140)&gt;1,"Duplicado","Único")</f>
        <v>Único</v>
      </c>
    </row>
    <row r="3141" spans="1:5" x14ac:dyDescent="0.25">
      <c r="A3141" s="15">
        <v>16083</v>
      </c>
      <c r="B3141" s="7">
        <v>6102742</v>
      </c>
      <c r="C3141" s="11">
        <v>46120.663495370398</v>
      </c>
      <c r="D3141" s="17" t="s">
        <v>4342</v>
      </c>
      <c r="E3141" t="str">
        <f>IF(COUNTIF($B$2:B3141,B3141)&gt;1,"Duplicado","Único")</f>
        <v>Único</v>
      </c>
    </row>
    <row r="3142" spans="1:5" hidden="1" x14ac:dyDescent="0.25">
      <c r="A3142" s="15">
        <v>16083</v>
      </c>
      <c r="B3142" s="7">
        <v>6102742</v>
      </c>
      <c r="C3142" s="11">
        <v>46101.773784722202</v>
      </c>
      <c r="D3142" s="17" t="s">
        <v>4129</v>
      </c>
      <c r="E3142" t="str">
        <f>IF(COUNTIF($B$2:B3142,B3142)&gt;1,"Duplicado","Único")</f>
        <v>Duplicado</v>
      </c>
    </row>
    <row r="3143" spans="1:5" x14ac:dyDescent="0.25">
      <c r="A3143" s="15">
        <v>41109</v>
      </c>
      <c r="B3143" s="7">
        <v>6108703</v>
      </c>
      <c r="C3143" s="11">
        <v>45937.298819444397</v>
      </c>
      <c r="D3143" s="17" t="s">
        <v>1957</v>
      </c>
      <c r="E3143" t="str">
        <f>IF(COUNTIF($B$2:B3143,B3143)&gt;1,"Duplicado","Único")</f>
        <v>Único</v>
      </c>
    </row>
    <row r="3144" spans="1:5" x14ac:dyDescent="0.25">
      <c r="A3144" s="15">
        <v>3992</v>
      </c>
      <c r="B3144" s="7">
        <v>6108756</v>
      </c>
      <c r="C3144" s="11">
        <v>46086.768599536997</v>
      </c>
      <c r="D3144" s="17" t="s">
        <v>3952</v>
      </c>
      <c r="E3144" t="str">
        <f>IF(COUNTIF($B$2:B3144,B3144)&gt;1,"Duplicado","Único")</f>
        <v>Único</v>
      </c>
    </row>
    <row r="3145" spans="1:5" hidden="1" x14ac:dyDescent="0.25">
      <c r="A3145" s="15">
        <v>3992</v>
      </c>
      <c r="B3145" s="7">
        <v>6108756</v>
      </c>
      <c r="C3145" s="11">
        <v>46055.477812500001</v>
      </c>
      <c r="D3145" s="17" t="s">
        <v>3608</v>
      </c>
      <c r="E3145" t="str">
        <f>IF(COUNTIF($B$2:B3145,B3145)&gt;1,"Duplicado","Único")</f>
        <v>Duplicado</v>
      </c>
    </row>
    <row r="3146" spans="1:5" x14ac:dyDescent="0.25">
      <c r="A3146" s="15">
        <v>52303</v>
      </c>
      <c r="B3146" s="7">
        <v>6324371</v>
      </c>
      <c r="C3146" s="11">
        <v>46052.266956018502</v>
      </c>
      <c r="D3146" s="17" t="s">
        <v>3557</v>
      </c>
      <c r="E3146" t="str">
        <f>IF(COUNTIF($B$2:B3146,B3146)&gt;1,"Duplicado","Único")</f>
        <v>Único</v>
      </c>
    </row>
    <row r="3147" spans="1:5" hidden="1" x14ac:dyDescent="0.25">
      <c r="A3147" s="15">
        <v>52303</v>
      </c>
      <c r="B3147" s="7">
        <v>6324371</v>
      </c>
      <c r="C3147" s="11">
        <v>46009.412696759297</v>
      </c>
      <c r="D3147" s="17" t="s">
        <v>2977</v>
      </c>
      <c r="E3147" t="str">
        <f>IF(COUNTIF($B$2:B3147,B3147)&gt;1,"Duplicado","Único")</f>
        <v>Duplicado</v>
      </c>
    </row>
    <row r="3148" spans="1:5" x14ac:dyDescent="0.25">
      <c r="A3148" s="15">
        <v>46385</v>
      </c>
      <c r="B3148" s="7">
        <v>63355070</v>
      </c>
      <c r="C3148" s="11">
        <v>45965.507754629602</v>
      </c>
      <c r="D3148" s="17" t="s">
        <v>2317</v>
      </c>
      <c r="E3148" t="str">
        <f>IF(COUNTIF($B$2:B3148,B3148)&gt;1,"Duplicado","Único")</f>
        <v>Único</v>
      </c>
    </row>
    <row r="3149" spans="1:5" x14ac:dyDescent="0.25">
      <c r="A3149" s="15">
        <v>20506</v>
      </c>
      <c r="B3149" s="7">
        <v>63484898</v>
      </c>
      <c r="C3149" s="11">
        <v>45846.623078703698</v>
      </c>
      <c r="D3149" s="17" t="s">
        <v>1060</v>
      </c>
      <c r="E3149" t="str">
        <f>IF(COUNTIF($B$2:B3149,B3149)&gt;1,"Duplicado","Único")</f>
        <v>Único</v>
      </c>
    </row>
    <row r="3150" spans="1:5" hidden="1" x14ac:dyDescent="0.25">
      <c r="A3150" s="15">
        <v>20506</v>
      </c>
      <c r="B3150" s="7">
        <v>63484898</v>
      </c>
      <c r="C3150" s="11">
        <v>45827.426828703698</v>
      </c>
      <c r="D3150" s="17" t="s">
        <v>958</v>
      </c>
      <c r="E3150" t="str">
        <f>IF(COUNTIF($B$2:B3150,B3150)&gt;1,"Duplicado","Único")</f>
        <v>Duplicado</v>
      </c>
    </row>
    <row r="3151" spans="1:5" hidden="1" x14ac:dyDescent="0.25">
      <c r="A3151" s="15">
        <v>20506</v>
      </c>
      <c r="B3151" s="7">
        <v>63484898</v>
      </c>
      <c r="C3151" s="11">
        <v>45820.492395833302</v>
      </c>
      <c r="D3151" s="17" t="s">
        <v>889</v>
      </c>
      <c r="E3151" t="str">
        <f>IF(COUNTIF($B$2:B3151,B3151)&gt;1,"Duplicado","Único")</f>
        <v>Duplicado</v>
      </c>
    </row>
    <row r="3152" spans="1:5" x14ac:dyDescent="0.25">
      <c r="A3152" s="15">
        <v>37608</v>
      </c>
      <c r="B3152" s="7">
        <v>63485633</v>
      </c>
      <c r="C3152" s="11">
        <v>45923.4194907407</v>
      </c>
      <c r="D3152" s="17" t="s">
        <v>1793</v>
      </c>
      <c r="E3152" t="str">
        <f>IF(COUNTIF($B$2:B3152,B3152)&gt;1,"Duplicado","Único")</f>
        <v>Único</v>
      </c>
    </row>
    <row r="3153" spans="1:5" x14ac:dyDescent="0.25">
      <c r="A3153" s="15">
        <v>48011</v>
      </c>
      <c r="B3153" s="7">
        <v>63549243</v>
      </c>
      <c r="C3153" s="11">
        <v>45974.375914351898</v>
      </c>
      <c r="D3153" s="17" t="s">
        <v>2488</v>
      </c>
      <c r="E3153" t="str">
        <f>IF(COUNTIF($B$2:B3153,B3153)&gt;1,"Duplicado","Único")</f>
        <v>Único</v>
      </c>
    </row>
    <row r="3154" spans="1:5" hidden="1" x14ac:dyDescent="0.25">
      <c r="A3154" s="15">
        <v>26261</v>
      </c>
      <c r="B3154" s="7">
        <v>63549243</v>
      </c>
      <c r="C3154" s="11">
        <v>45867.386342592603</v>
      </c>
      <c r="D3154" s="17" t="s">
        <v>1184</v>
      </c>
      <c r="E3154" t="str">
        <f>IF(COUNTIF($B$2:B3154,B3154)&gt;1,"Duplicado","Único")</f>
        <v>Duplicado</v>
      </c>
    </row>
    <row r="3155" spans="1:5" x14ac:dyDescent="0.25">
      <c r="A3155" s="15">
        <v>50997</v>
      </c>
      <c r="B3155" s="7">
        <v>63555560</v>
      </c>
      <c r="C3155" s="11">
        <v>46050.684594907398</v>
      </c>
      <c r="D3155" s="17" t="s">
        <v>3403</v>
      </c>
      <c r="E3155" t="str">
        <f>IF(COUNTIF($B$2:B3155,B3155)&gt;1,"Duplicado","Único")</f>
        <v>Único</v>
      </c>
    </row>
    <row r="3156" spans="1:5" hidden="1" x14ac:dyDescent="0.25">
      <c r="A3156" s="15">
        <v>50997</v>
      </c>
      <c r="B3156" s="7">
        <v>63555560</v>
      </c>
      <c r="C3156" s="11">
        <v>46000.621215277803</v>
      </c>
      <c r="D3156" s="17" t="s">
        <v>2837</v>
      </c>
      <c r="E3156" t="str">
        <f>IF(COUNTIF($B$2:B3156,B3156)&gt;1,"Duplicado","Único")</f>
        <v>Duplicado</v>
      </c>
    </row>
    <row r="3157" spans="1:5" x14ac:dyDescent="0.25">
      <c r="A3157" s="15">
        <v>50047</v>
      </c>
      <c r="B3157" s="7">
        <v>63557384</v>
      </c>
      <c r="C3157" s="11">
        <v>46050.478969907403</v>
      </c>
      <c r="D3157" s="17" t="s">
        <v>3263</v>
      </c>
      <c r="E3157" t="str">
        <f>IF(COUNTIF($B$2:B3157,B3157)&gt;1,"Duplicado","Único")</f>
        <v>Único</v>
      </c>
    </row>
    <row r="3158" spans="1:5" hidden="1" x14ac:dyDescent="0.25">
      <c r="A3158" s="15">
        <v>50047</v>
      </c>
      <c r="B3158" s="7">
        <v>63557384</v>
      </c>
      <c r="C3158" s="11">
        <v>45986.4069675926</v>
      </c>
      <c r="D3158" s="17" t="s">
        <v>2716</v>
      </c>
      <c r="E3158" t="str">
        <f>IF(COUNTIF($B$2:B3158,B3158)&gt;1,"Duplicado","Único")</f>
        <v>Duplicado</v>
      </c>
    </row>
    <row r="3159" spans="1:5" x14ac:dyDescent="0.25">
      <c r="A3159" s="15">
        <v>2902</v>
      </c>
      <c r="B3159" s="7">
        <v>63563131</v>
      </c>
      <c r="C3159" s="11">
        <v>46086.7328472222</v>
      </c>
      <c r="D3159" s="17" t="s">
        <v>3918</v>
      </c>
      <c r="E3159" t="str">
        <f>IF(COUNTIF($B$2:B3159,B3159)&gt;1,"Duplicado","Único")</f>
        <v>Único</v>
      </c>
    </row>
    <row r="3160" spans="1:5" hidden="1" x14ac:dyDescent="0.25">
      <c r="A3160" s="15">
        <v>2902</v>
      </c>
      <c r="B3160" s="7">
        <v>63563131</v>
      </c>
      <c r="C3160" s="11">
        <v>46050.604930555601</v>
      </c>
      <c r="D3160" s="17" t="s">
        <v>3305</v>
      </c>
      <c r="E3160" t="str">
        <f>IF(COUNTIF($B$2:B3160,B3160)&gt;1,"Duplicado","Único")</f>
        <v>Duplicado</v>
      </c>
    </row>
    <row r="3161" spans="1:5" x14ac:dyDescent="0.25">
      <c r="A3161" s="15">
        <v>17555</v>
      </c>
      <c r="B3161" s="7">
        <v>6405961</v>
      </c>
      <c r="C3161" s="11">
        <v>45797.589652777802</v>
      </c>
      <c r="D3161" s="17" t="s">
        <v>714</v>
      </c>
      <c r="E3161" t="str">
        <f>IF(COUNTIF($B$2:B3161,B3161)&gt;1,"Duplicado","Único")</f>
        <v>Único</v>
      </c>
    </row>
    <row r="3162" spans="1:5" x14ac:dyDescent="0.25">
      <c r="A3162" s="15">
        <v>19751</v>
      </c>
      <c r="B3162" s="7">
        <v>64568532</v>
      </c>
      <c r="C3162" s="11">
        <v>45814.326608796298</v>
      </c>
      <c r="D3162" s="17" t="s">
        <v>843</v>
      </c>
      <c r="E3162" t="str">
        <f>IF(COUNTIF($B$2:B3162,B3162)&gt;1,"Duplicado","Único")</f>
        <v>Único</v>
      </c>
    </row>
    <row r="3163" spans="1:5" x14ac:dyDescent="0.25">
      <c r="A3163" s="15">
        <v>50886</v>
      </c>
      <c r="B3163" s="7">
        <v>64742724</v>
      </c>
      <c r="C3163" s="11">
        <v>46050.678090277797</v>
      </c>
      <c r="D3163" s="17" t="s">
        <v>3395</v>
      </c>
      <c r="E3163" t="str">
        <f>IF(COUNTIF($B$2:B3163,B3163)&gt;1,"Duplicado","Único")</f>
        <v>Único</v>
      </c>
    </row>
    <row r="3164" spans="1:5" hidden="1" x14ac:dyDescent="0.25">
      <c r="A3164" s="15">
        <v>50886</v>
      </c>
      <c r="B3164" s="7">
        <v>64742724</v>
      </c>
      <c r="C3164" s="11">
        <v>45996.649907407402</v>
      </c>
      <c r="D3164" s="17" t="s">
        <v>2832</v>
      </c>
      <c r="E3164" t="str">
        <f>IF(COUNTIF($B$2:B3164,B3164)&gt;1,"Duplicado","Único")</f>
        <v>Duplicado</v>
      </c>
    </row>
    <row r="3165" spans="1:5" hidden="1" x14ac:dyDescent="0.25">
      <c r="A3165" s="15">
        <v>50886</v>
      </c>
      <c r="B3165" s="7">
        <v>64742724</v>
      </c>
      <c r="C3165" s="11">
        <v>45992.665787037004</v>
      </c>
      <c r="D3165" s="17" t="s">
        <v>2828</v>
      </c>
      <c r="E3165" t="str">
        <f>IF(COUNTIF($B$2:B3165,B3165)&gt;1,"Duplicado","Único")</f>
        <v>Duplicado</v>
      </c>
    </row>
    <row r="3166" spans="1:5" x14ac:dyDescent="0.25">
      <c r="A3166" s="15">
        <v>49213</v>
      </c>
      <c r="B3166" s="7">
        <v>64869335</v>
      </c>
      <c r="C3166" s="11">
        <v>45981.382696759298</v>
      </c>
      <c r="D3166" s="17" t="s">
        <v>2629</v>
      </c>
      <c r="E3166" t="str">
        <f>IF(COUNTIF($B$2:B3166,B3166)&gt;1,"Duplicado","Único")</f>
        <v>Único</v>
      </c>
    </row>
    <row r="3167" spans="1:5" x14ac:dyDescent="0.25">
      <c r="A3167" s="15">
        <v>51328</v>
      </c>
      <c r="B3167" s="7">
        <v>64872202</v>
      </c>
      <c r="C3167" s="11">
        <v>46051.341597222199</v>
      </c>
      <c r="D3167" s="17" t="s">
        <v>3434</v>
      </c>
      <c r="E3167" t="str">
        <f>IF(COUNTIF($B$2:B3167,B3167)&gt;1,"Duplicado","Único")</f>
        <v>Único</v>
      </c>
    </row>
    <row r="3168" spans="1:5" hidden="1" x14ac:dyDescent="0.25">
      <c r="A3168" s="15">
        <v>51328</v>
      </c>
      <c r="B3168" s="7">
        <v>64872202</v>
      </c>
      <c r="C3168" s="11">
        <v>46002.391736111102</v>
      </c>
      <c r="D3168" s="17" t="s">
        <v>2869</v>
      </c>
      <c r="E3168" t="str">
        <f>IF(COUNTIF($B$2:B3168,B3168)&gt;1,"Duplicado","Único")</f>
        <v>Duplicado</v>
      </c>
    </row>
    <row r="3169" spans="1:5" x14ac:dyDescent="0.25">
      <c r="A3169" s="15">
        <v>47294</v>
      </c>
      <c r="B3169" s="7">
        <v>65748734</v>
      </c>
      <c r="C3169" s="11">
        <v>45968.758923611102</v>
      </c>
      <c r="D3169" s="17" t="s">
        <v>2408</v>
      </c>
      <c r="E3169" t="str">
        <f>IF(COUNTIF($B$2:B3169,B3169)&gt;1,"Duplicado","Único")</f>
        <v>Único</v>
      </c>
    </row>
    <row r="3170" spans="1:5" x14ac:dyDescent="0.25">
      <c r="A3170" s="15">
        <v>50069</v>
      </c>
      <c r="B3170" s="7">
        <v>65773857</v>
      </c>
      <c r="C3170" s="11">
        <v>46050.5161226852</v>
      </c>
      <c r="D3170" s="17" t="s">
        <v>3286</v>
      </c>
      <c r="E3170" t="str">
        <f>IF(COUNTIF($B$2:B3170,B3170)&gt;1,"Duplicado","Único")</f>
        <v>Único</v>
      </c>
    </row>
    <row r="3171" spans="1:5" hidden="1" x14ac:dyDescent="0.25">
      <c r="A3171" s="15">
        <v>50069</v>
      </c>
      <c r="B3171" s="7">
        <v>65773857</v>
      </c>
      <c r="C3171" s="11">
        <v>45987.3846990741</v>
      </c>
      <c r="D3171" s="17" t="s">
        <v>2718</v>
      </c>
      <c r="E3171" t="str">
        <f>IF(COUNTIF($B$2:B3171,B3171)&gt;1,"Duplicado","Único")</f>
        <v>Duplicado</v>
      </c>
    </row>
    <row r="3172" spans="1:5" x14ac:dyDescent="0.25">
      <c r="A3172" s="15">
        <v>42837</v>
      </c>
      <c r="B3172" s="7">
        <v>65784699</v>
      </c>
      <c r="C3172" s="11">
        <v>45954.682615740698</v>
      </c>
      <c r="D3172" s="17" t="s">
        <v>2081</v>
      </c>
      <c r="E3172" t="str">
        <f>IF(COUNTIF($B$2:B3172,B3172)&gt;1,"Duplicado","Único")</f>
        <v>Único</v>
      </c>
    </row>
    <row r="3173" spans="1:5" x14ac:dyDescent="0.25">
      <c r="A3173" s="15">
        <v>17101</v>
      </c>
      <c r="B3173" s="7">
        <v>65820550</v>
      </c>
      <c r="C3173" s="11">
        <v>46149.439965277801</v>
      </c>
      <c r="D3173" s="17" t="s">
        <v>4483</v>
      </c>
      <c r="E3173" t="str">
        <f>IF(COUNTIF($B$2:B3173,B3173)&gt;1,"Duplicado","Único")</f>
        <v>Único</v>
      </c>
    </row>
    <row r="3174" spans="1:5" hidden="1" x14ac:dyDescent="0.25">
      <c r="A3174" s="15">
        <v>17101</v>
      </c>
      <c r="B3174" s="7">
        <v>65820550</v>
      </c>
      <c r="C3174" s="11">
        <v>46108.503738425898</v>
      </c>
      <c r="D3174" s="17" t="s">
        <v>4207</v>
      </c>
      <c r="E3174" t="str">
        <f>IF(COUNTIF($B$2:B3174,B3174)&gt;1,"Duplicado","Único")</f>
        <v>Duplicado</v>
      </c>
    </row>
    <row r="3175" spans="1:5" x14ac:dyDescent="0.25">
      <c r="A3175" s="15">
        <v>274</v>
      </c>
      <c r="B3175" s="7">
        <v>65829568</v>
      </c>
      <c r="C3175" s="11">
        <v>46086.478321759299</v>
      </c>
      <c r="D3175" s="17" t="s">
        <v>3808</v>
      </c>
      <c r="E3175" t="str">
        <f>IF(COUNTIF($B$2:B3175,B3175)&gt;1,"Duplicado","Único")</f>
        <v>Único</v>
      </c>
    </row>
    <row r="3176" spans="1:5" hidden="1" x14ac:dyDescent="0.25">
      <c r="A3176" s="15">
        <v>274</v>
      </c>
      <c r="B3176" s="7">
        <v>65829568</v>
      </c>
      <c r="C3176" s="11">
        <v>46031.631828703699</v>
      </c>
      <c r="D3176" s="17" t="s">
        <v>3123</v>
      </c>
      <c r="E3176" t="str">
        <f>IF(COUNTIF($B$2:B3176,B3176)&gt;1,"Duplicado","Único")</f>
        <v>Duplicado</v>
      </c>
    </row>
    <row r="3177" spans="1:5" x14ac:dyDescent="0.25">
      <c r="A3177" s="15">
        <v>18869</v>
      </c>
      <c r="B3177" s="7">
        <v>6625384</v>
      </c>
      <c r="C3177" s="11">
        <v>45805.655671296299</v>
      </c>
      <c r="D3177" s="17" t="s">
        <v>795</v>
      </c>
      <c r="E3177" t="str">
        <f>IF(COUNTIF($B$2:B3177,B3177)&gt;1,"Duplicado","Único")</f>
        <v>Único</v>
      </c>
    </row>
    <row r="3178" spans="1:5" x14ac:dyDescent="0.25">
      <c r="A3178" s="15">
        <v>47566</v>
      </c>
      <c r="B3178" s="7">
        <v>66661911</v>
      </c>
      <c r="C3178" s="11">
        <v>45972.427430555603</v>
      </c>
      <c r="D3178" s="17" t="s">
        <v>2426</v>
      </c>
      <c r="E3178" t="str">
        <f>IF(COUNTIF($B$2:B3178,B3178)&gt;1,"Duplicado","Único")</f>
        <v>Único</v>
      </c>
    </row>
    <row r="3179" spans="1:5" x14ac:dyDescent="0.25">
      <c r="A3179" s="15">
        <v>15105</v>
      </c>
      <c r="B3179" s="7">
        <v>66832939</v>
      </c>
      <c r="C3179" s="11">
        <v>46120.520914351902</v>
      </c>
      <c r="D3179" s="17" t="s">
        <v>4295</v>
      </c>
      <c r="E3179" t="str">
        <f>IF(COUNTIF($B$2:B3179,B3179)&gt;1,"Duplicado","Único")</f>
        <v>Único</v>
      </c>
    </row>
    <row r="3180" spans="1:5" hidden="1" x14ac:dyDescent="0.25">
      <c r="A3180" s="15">
        <v>15105</v>
      </c>
      <c r="B3180" s="7">
        <v>66832939</v>
      </c>
      <c r="C3180" s="11">
        <v>46094.502766203703</v>
      </c>
      <c r="D3180" s="17" t="s">
        <v>4065</v>
      </c>
      <c r="E3180" t="str">
        <f>IF(COUNTIF($B$2:B3180,B3180)&gt;1,"Duplicado","Único")</f>
        <v>Duplicado</v>
      </c>
    </row>
    <row r="3181" spans="1:5" x14ac:dyDescent="0.25">
      <c r="A3181" s="15">
        <v>53491</v>
      </c>
      <c r="B3181" s="7">
        <v>66837812</v>
      </c>
      <c r="C3181" s="11">
        <v>46057.403761574104</v>
      </c>
      <c r="D3181" s="17" t="s">
        <v>3681</v>
      </c>
      <c r="E3181" t="str">
        <f>IF(COUNTIF($B$2:B3181,B3181)&gt;1,"Duplicado","Único")</f>
        <v>Único</v>
      </c>
    </row>
    <row r="3182" spans="1:5" hidden="1" x14ac:dyDescent="0.25">
      <c r="A3182" s="15">
        <v>53491</v>
      </c>
      <c r="B3182" s="7">
        <v>66837812</v>
      </c>
      <c r="C3182" s="11">
        <v>46013.4903009259</v>
      </c>
      <c r="D3182" s="17" t="s">
        <v>3026</v>
      </c>
      <c r="E3182" t="str">
        <f>IF(COUNTIF($B$2:B3182,B3182)&gt;1,"Duplicado","Único")</f>
        <v>Duplicado</v>
      </c>
    </row>
    <row r="3183" spans="1:5" x14ac:dyDescent="0.25">
      <c r="A3183" s="15">
        <v>16264</v>
      </c>
      <c r="B3183" s="7">
        <v>66855547</v>
      </c>
      <c r="C3183" s="11">
        <v>46121.427094907398</v>
      </c>
      <c r="D3183" s="17" t="s">
        <v>4368</v>
      </c>
      <c r="E3183" t="str">
        <f>IF(COUNTIF($B$2:B3183,B3183)&gt;1,"Duplicado","Único")</f>
        <v>Único</v>
      </c>
    </row>
    <row r="3184" spans="1:5" hidden="1" x14ac:dyDescent="0.25">
      <c r="A3184" s="15">
        <v>16264</v>
      </c>
      <c r="B3184" s="7">
        <v>66855547</v>
      </c>
      <c r="C3184" s="11">
        <v>46101.808923611097</v>
      </c>
      <c r="D3184" s="17" t="s">
        <v>4139</v>
      </c>
      <c r="E3184" t="str">
        <f>IF(COUNTIF($B$2:B3184,B3184)&gt;1,"Duplicado","Único")</f>
        <v>Duplicado</v>
      </c>
    </row>
    <row r="3185" spans="1:5" x14ac:dyDescent="0.25">
      <c r="A3185" s="15">
        <v>46566</v>
      </c>
      <c r="B3185" s="7">
        <v>66919715</v>
      </c>
      <c r="C3185" s="11">
        <v>45975.482141203698</v>
      </c>
      <c r="D3185" s="17" t="s">
        <v>2516</v>
      </c>
      <c r="E3185" t="str">
        <f>IF(COUNTIF($B$2:B3185,B3185)&gt;1,"Duplicado","Único")</f>
        <v>Único</v>
      </c>
    </row>
    <row r="3186" spans="1:5" hidden="1" x14ac:dyDescent="0.25">
      <c r="A3186" s="15">
        <v>46566</v>
      </c>
      <c r="B3186" s="7">
        <v>66919715</v>
      </c>
      <c r="C3186" s="11">
        <v>45966.665034722202</v>
      </c>
      <c r="D3186" s="17" t="s">
        <v>2337</v>
      </c>
      <c r="E3186" t="str">
        <f>IF(COUNTIF($B$2:B3186,B3186)&gt;1,"Duplicado","Único")</f>
        <v>Duplicado</v>
      </c>
    </row>
    <row r="3187" spans="1:5" x14ac:dyDescent="0.25">
      <c r="A3187" s="15">
        <v>41579</v>
      </c>
      <c r="B3187" s="7">
        <v>66925691</v>
      </c>
      <c r="C3187" s="11">
        <v>45938.440879629597</v>
      </c>
      <c r="D3187" s="17" t="s">
        <v>1990</v>
      </c>
      <c r="E3187" t="str">
        <f>IF(COUNTIF($B$2:B3187,B3187)&gt;1,"Duplicado","Único")</f>
        <v>Único</v>
      </c>
    </row>
    <row r="3188" spans="1:5" x14ac:dyDescent="0.25">
      <c r="A3188" s="15">
        <v>36752</v>
      </c>
      <c r="B3188" s="7">
        <v>67039376</v>
      </c>
      <c r="C3188" s="11">
        <v>45919.389247685198</v>
      </c>
      <c r="D3188" s="17" t="s">
        <v>1760</v>
      </c>
      <c r="E3188" t="str">
        <f>IF(COUNTIF($B$2:B3188,B3188)&gt;1,"Duplicado","Único")</f>
        <v>Único</v>
      </c>
    </row>
    <row r="3189" spans="1:5" x14ac:dyDescent="0.25">
      <c r="A3189" s="15">
        <v>47046</v>
      </c>
      <c r="B3189" s="7">
        <v>67045692</v>
      </c>
      <c r="C3189" s="11">
        <v>45968.450162036999</v>
      </c>
      <c r="D3189" s="17" t="s">
        <v>2394</v>
      </c>
      <c r="E3189" t="str">
        <f>IF(COUNTIF($B$2:B3189,B3189)&gt;1,"Duplicado","Único")</f>
        <v>Único</v>
      </c>
    </row>
    <row r="3190" spans="1:5" x14ac:dyDescent="0.25">
      <c r="A3190" s="15">
        <v>36866</v>
      </c>
      <c r="B3190" s="7">
        <v>6873054</v>
      </c>
      <c r="C3190" s="11">
        <v>45922.402187500003</v>
      </c>
      <c r="D3190" s="17" t="s">
        <v>1778</v>
      </c>
      <c r="E3190" t="str">
        <f>IF(COUNTIF($B$2:B3190,B3190)&gt;1,"Duplicado","Único")</f>
        <v>Único</v>
      </c>
    </row>
    <row r="3191" spans="1:5" x14ac:dyDescent="0.25">
      <c r="A3191" s="15">
        <v>17598</v>
      </c>
      <c r="B3191" s="7">
        <v>6884121</v>
      </c>
      <c r="C3191" s="11">
        <v>45797.599606481497</v>
      </c>
      <c r="D3191" s="17" t="s">
        <v>718</v>
      </c>
      <c r="E3191" t="str">
        <f>IF(COUNTIF($B$2:B3191,B3191)&gt;1,"Duplicado","Único")</f>
        <v>Único</v>
      </c>
    </row>
    <row r="3192" spans="1:5" x14ac:dyDescent="0.25">
      <c r="A3192" s="15">
        <v>17349</v>
      </c>
      <c r="B3192" s="7">
        <v>70041851</v>
      </c>
      <c r="C3192" s="11">
        <v>46149.441064814797</v>
      </c>
      <c r="D3192" s="17" t="s">
        <v>1386</v>
      </c>
      <c r="E3192" t="str">
        <f>IF(COUNTIF($B$2:B3192,B3192)&gt;1,"Duplicado","Único")</f>
        <v>Único</v>
      </c>
    </row>
    <row r="3193" spans="1:5" hidden="1" x14ac:dyDescent="0.25">
      <c r="A3193" s="15">
        <v>17349</v>
      </c>
      <c r="B3193" s="7">
        <v>70041851</v>
      </c>
      <c r="C3193" s="11">
        <v>46108.5551851852</v>
      </c>
      <c r="D3193" s="17" t="s">
        <v>4217</v>
      </c>
      <c r="E3193" t="str">
        <f>IF(COUNTIF($B$2:B3193,B3193)&gt;1,"Duplicado","Único")</f>
        <v>Duplicado</v>
      </c>
    </row>
    <row r="3194" spans="1:5" x14ac:dyDescent="0.25">
      <c r="A3194" s="15">
        <v>40599</v>
      </c>
      <c r="B3194" s="7">
        <v>70055567</v>
      </c>
      <c r="C3194" s="11">
        <v>45936.358217592599</v>
      </c>
      <c r="D3194" s="17" t="s">
        <v>1931</v>
      </c>
      <c r="E3194" t="str">
        <f>IF(COUNTIF($B$2:B3194,B3194)&gt;1,"Duplicado","Único")</f>
        <v>Único</v>
      </c>
    </row>
    <row r="3195" spans="1:5" x14ac:dyDescent="0.25">
      <c r="A3195" s="15">
        <v>41632</v>
      </c>
      <c r="B3195" s="7">
        <v>70088677</v>
      </c>
      <c r="C3195" s="11">
        <v>45950.388946759304</v>
      </c>
      <c r="D3195" s="17" t="s">
        <v>1999</v>
      </c>
      <c r="E3195" t="str">
        <f>IF(COUNTIF($B$2:B3195,B3195)&gt;1,"Duplicado","Único")</f>
        <v>Único</v>
      </c>
    </row>
    <row r="3196" spans="1:5" x14ac:dyDescent="0.25">
      <c r="A3196" s="15">
        <v>28689</v>
      </c>
      <c r="B3196" s="7">
        <v>70119459</v>
      </c>
      <c r="C3196" s="11">
        <v>45888.632557870398</v>
      </c>
      <c r="D3196" s="17" t="s">
        <v>1353</v>
      </c>
      <c r="E3196" t="str">
        <f>IF(COUNTIF($B$2:B3196,B3196)&gt;1,"Duplicado","Único")</f>
        <v>Único</v>
      </c>
    </row>
    <row r="3197" spans="1:5" x14ac:dyDescent="0.25">
      <c r="A3197" s="15">
        <v>14095</v>
      </c>
      <c r="B3197" s="7">
        <v>70253086</v>
      </c>
      <c r="C3197" s="11">
        <v>46149.517650463</v>
      </c>
      <c r="D3197" s="17" t="s">
        <v>4526</v>
      </c>
      <c r="E3197" t="str">
        <f>IF(COUNTIF($B$2:B3197,B3197)&gt;1,"Duplicado","Único")</f>
        <v>Único</v>
      </c>
    </row>
    <row r="3198" spans="1:5" hidden="1" x14ac:dyDescent="0.25">
      <c r="A3198" s="15">
        <v>14095</v>
      </c>
      <c r="B3198" s="7">
        <v>70253086</v>
      </c>
      <c r="C3198" s="11">
        <v>46086.646111111098</v>
      </c>
      <c r="D3198" s="17" t="s">
        <v>3855</v>
      </c>
      <c r="E3198" t="str">
        <f>IF(COUNTIF($B$2:B3198,B3198)&gt;1,"Duplicado","Único")</f>
        <v>Duplicado</v>
      </c>
    </row>
    <row r="3199" spans="1:5" x14ac:dyDescent="0.25">
      <c r="A3199" s="15">
        <v>53589</v>
      </c>
      <c r="B3199" s="7">
        <v>70432537</v>
      </c>
      <c r="C3199" s="11">
        <v>46057.363333333298</v>
      </c>
      <c r="D3199" s="17" t="s">
        <v>3648</v>
      </c>
      <c r="E3199" t="str">
        <f>IF(COUNTIF($B$2:B3199,B3199)&gt;1,"Duplicado","Único")</f>
        <v>Único</v>
      </c>
    </row>
    <row r="3200" spans="1:5" hidden="1" x14ac:dyDescent="0.25">
      <c r="A3200" s="15">
        <v>53589</v>
      </c>
      <c r="B3200" s="7">
        <v>70432537</v>
      </c>
      <c r="C3200" s="11">
        <v>46013.489062499997</v>
      </c>
      <c r="D3200" s="17" t="s">
        <v>3024</v>
      </c>
      <c r="E3200" t="str">
        <f>IF(COUNTIF($B$2:B3200,B3200)&gt;1,"Duplicado","Único")</f>
        <v>Duplicado</v>
      </c>
    </row>
    <row r="3201" spans="1:5" x14ac:dyDescent="0.25">
      <c r="A3201" s="15">
        <v>27957</v>
      </c>
      <c r="B3201" s="7">
        <v>70434409</v>
      </c>
      <c r="C3201" s="11">
        <v>45884.475925925901</v>
      </c>
      <c r="D3201" s="17" t="s">
        <v>1307</v>
      </c>
      <c r="E3201" t="str">
        <f>IF(COUNTIF($B$2:B3201,B3201)&gt;1,"Duplicado","Único")</f>
        <v>Único</v>
      </c>
    </row>
    <row r="3202" spans="1:5" x14ac:dyDescent="0.25">
      <c r="A3202" s="15">
        <v>48835</v>
      </c>
      <c r="B3202" s="7">
        <v>70557171</v>
      </c>
      <c r="C3202" s="11">
        <v>45980.414861111101</v>
      </c>
      <c r="D3202" s="17" t="s">
        <v>2602</v>
      </c>
      <c r="E3202" t="str">
        <f>IF(COUNTIF($B$2:B3202,B3202)&gt;1,"Duplicado","Único")</f>
        <v>Único</v>
      </c>
    </row>
    <row r="3203" spans="1:5" x14ac:dyDescent="0.25">
      <c r="A3203" s="15">
        <v>21967</v>
      </c>
      <c r="B3203" s="7">
        <v>70853219</v>
      </c>
      <c r="C3203" s="11">
        <v>45834.601747685199</v>
      </c>
      <c r="D3203" s="17" t="s">
        <v>980</v>
      </c>
      <c r="E3203" t="str">
        <f>IF(COUNTIF($B$2:B3203,B3203)&gt;1,"Duplicado","Único")</f>
        <v>Único</v>
      </c>
    </row>
    <row r="3204" spans="1:5" x14ac:dyDescent="0.25">
      <c r="A3204" s="15">
        <v>19146</v>
      </c>
      <c r="B3204" s="7">
        <v>70879288</v>
      </c>
      <c r="C3204" s="11">
        <v>45813.725868055597</v>
      </c>
      <c r="D3204" s="17" t="s">
        <v>813</v>
      </c>
      <c r="E3204" t="str">
        <f>IF(COUNTIF($B$2:B3204,B3204)&gt;1,"Duplicado","Único")</f>
        <v>Único</v>
      </c>
    </row>
    <row r="3205" spans="1:5" x14ac:dyDescent="0.25">
      <c r="A3205" s="15">
        <v>3062</v>
      </c>
      <c r="B3205" s="7">
        <v>70955024</v>
      </c>
      <c r="C3205" s="11">
        <v>46086.744340277801</v>
      </c>
      <c r="D3205" s="17" t="s">
        <v>3933</v>
      </c>
      <c r="E3205" t="str">
        <f>IF(COUNTIF($B$2:B3205,B3205)&gt;1,"Duplicado","Único")</f>
        <v>Único</v>
      </c>
    </row>
    <row r="3206" spans="1:5" hidden="1" x14ac:dyDescent="0.25">
      <c r="A3206" s="15">
        <v>3062</v>
      </c>
      <c r="B3206" s="7">
        <v>70955024</v>
      </c>
      <c r="C3206" s="11">
        <v>46051.416701388902</v>
      </c>
      <c r="D3206" s="17" t="s">
        <v>3446</v>
      </c>
      <c r="E3206" t="str">
        <f>IF(COUNTIF($B$2:B3206,B3206)&gt;1,"Duplicado","Único")</f>
        <v>Duplicado</v>
      </c>
    </row>
    <row r="3207" spans="1:5" x14ac:dyDescent="0.25">
      <c r="A3207" s="15">
        <v>27915</v>
      </c>
      <c r="B3207" s="7">
        <v>71218760</v>
      </c>
      <c r="C3207" s="11">
        <v>45884.449513888903</v>
      </c>
      <c r="D3207" s="17" t="s">
        <v>1304</v>
      </c>
      <c r="E3207" t="str">
        <f>IF(COUNTIF($B$2:B3207,B3207)&gt;1,"Duplicado","Único")</f>
        <v>Único</v>
      </c>
    </row>
    <row r="3208" spans="1:5" x14ac:dyDescent="0.25">
      <c r="A3208" s="15">
        <v>50579</v>
      </c>
      <c r="B3208" s="7">
        <v>71240479</v>
      </c>
      <c r="C3208" s="11">
        <v>46050.640601851897</v>
      </c>
      <c r="D3208" s="17" t="s">
        <v>3349</v>
      </c>
      <c r="E3208" t="str">
        <f>IF(COUNTIF($B$2:B3208,B3208)&gt;1,"Duplicado","Único")</f>
        <v>Único</v>
      </c>
    </row>
    <row r="3209" spans="1:5" hidden="1" x14ac:dyDescent="0.25">
      <c r="A3209" s="15">
        <v>50579</v>
      </c>
      <c r="B3209" s="7">
        <v>71240479</v>
      </c>
      <c r="C3209" s="11">
        <v>45989.411597222199</v>
      </c>
      <c r="D3209" s="17" t="s">
        <v>2783</v>
      </c>
      <c r="E3209" t="str">
        <f>IF(COUNTIF($B$2:B3209,B3209)&gt;1,"Duplicado","Único")</f>
        <v>Duplicado</v>
      </c>
    </row>
    <row r="3210" spans="1:5" x14ac:dyDescent="0.25">
      <c r="A3210" s="15">
        <v>34113</v>
      </c>
      <c r="B3210" s="7">
        <v>71253071</v>
      </c>
      <c r="C3210" s="11">
        <v>45916.490439814799</v>
      </c>
      <c r="D3210" s="17" t="s">
        <v>1720</v>
      </c>
      <c r="E3210" t="str">
        <f>IF(COUNTIF($B$2:B3210,B3210)&gt;1,"Duplicado","Único")</f>
        <v>Único</v>
      </c>
    </row>
    <row r="3211" spans="1:5" x14ac:dyDescent="0.25">
      <c r="A3211" s="15">
        <v>25981</v>
      </c>
      <c r="B3211" s="7">
        <v>71261316</v>
      </c>
      <c r="C3211" s="11">
        <v>45866.630370370403</v>
      </c>
      <c r="D3211" s="17" t="s">
        <v>1162</v>
      </c>
      <c r="E3211" t="str">
        <f>IF(COUNTIF($B$2:B3211,B3211)&gt;1,"Duplicado","Único")</f>
        <v>Único</v>
      </c>
    </row>
    <row r="3212" spans="1:5" x14ac:dyDescent="0.25">
      <c r="A3212" s="15">
        <v>14161</v>
      </c>
      <c r="B3212" s="7">
        <v>71261876</v>
      </c>
      <c r="C3212" s="11">
        <v>46149.518182870401</v>
      </c>
      <c r="D3212" s="17" t="s">
        <v>4527</v>
      </c>
      <c r="E3212" t="str">
        <f>IF(COUNTIF($B$2:B3212,B3212)&gt;1,"Duplicado","Único")</f>
        <v>Único</v>
      </c>
    </row>
    <row r="3213" spans="1:5" hidden="1" x14ac:dyDescent="0.25">
      <c r="A3213" s="15">
        <v>14161</v>
      </c>
      <c r="B3213" s="7">
        <v>71261876</v>
      </c>
      <c r="C3213" s="11">
        <v>46086.6488425926</v>
      </c>
      <c r="D3213" s="17" t="s">
        <v>965</v>
      </c>
      <c r="E3213" t="str">
        <f>IF(COUNTIF($B$2:B3213,B3213)&gt;1,"Duplicado","Único")</f>
        <v>Duplicado</v>
      </c>
    </row>
    <row r="3214" spans="1:5" x14ac:dyDescent="0.25">
      <c r="A3214" s="15">
        <v>31440</v>
      </c>
      <c r="B3214" s="7">
        <v>71262256</v>
      </c>
      <c r="C3214" s="11">
        <v>45904.651875000003</v>
      </c>
      <c r="D3214" s="17" t="s">
        <v>1533</v>
      </c>
      <c r="E3214" t="str">
        <f>IF(COUNTIF($B$2:B3214,B3214)&gt;1,"Duplicado","Único")</f>
        <v>Único</v>
      </c>
    </row>
    <row r="3215" spans="1:5" x14ac:dyDescent="0.25">
      <c r="A3215" s="15">
        <v>38051</v>
      </c>
      <c r="B3215" s="7">
        <v>71265986</v>
      </c>
      <c r="C3215" s="11">
        <v>45924.425983796304</v>
      </c>
      <c r="D3215" s="17" t="s">
        <v>1807</v>
      </c>
      <c r="E3215" t="str">
        <f>IF(COUNTIF($B$2:B3215,B3215)&gt;1,"Duplicado","Único")</f>
        <v>Único</v>
      </c>
    </row>
    <row r="3216" spans="1:5" x14ac:dyDescent="0.25">
      <c r="A3216" s="15">
        <v>28560</v>
      </c>
      <c r="B3216" s="7">
        <v>71266765</v>
      </c>
      <c r="C3216" s="11">
        <v>45888.590821759302</v>
      </c>
      <c r="D3216" s="17" t="s">
        <v>1345</v>
      </c>
      <c r="E3216" t="str">
        <f>IF(COUNTIF($B$2:B3216,B3216)&gt;1,"Duplicado","Único")</f>
        <v>Único</v>
      </c>
    </row>
    <row r="3217" spans="1:5" x14ac:dyDescent="0.25">
      <c r="A3217" s="15">
        <v>52495</v>
      </c>
      <c r="B3217" s="7">
        <v>71290482</v>
      </c>
      <c r="C3217" s="11">
        <v>46051.5291782407</v>
      </c>
      <c r="D3217" s="17" t="s">
        <v>3528</v>
      </c>
      <c r="E3217" t="str">
        <f>IF(COUNTIF($B$2:B3217,B3217)&gt;1,"Duplicado","Único")</f>
        <v>Único</v>
      </c>
    </row>
    <row r="3218" spans="1:5" hidden="1" x14ac:dyDescent="0.25">
      <c r="A3218" s="15">
        <v>52495</v>
      </c>
      <c r="B3218" s="7">
        <v>71290482</v>
      </c>
      <c r="C3218" s="11">
        <v>46007.4585532407</v>
      </c>
      <c r="D3218" s="17" t="s">
        <v>2938</v>
      </c>
      <c r="E3218" t="str">
        <f>IF(COUNTIF($B$2:B3218,B3218)&gt;1,"Duplicado","Único")</f>
        <v>Duplicado</v>
      </c>
    </row>
    <row r="3219" spans="1:5" x14ac:dyDescent="0.25">
      <c r="A3219" s="15">
        <v>51956</v>
      </c>
      <c r="B3219" s="7">
        <v>71360543</v>
      </c>
      <c r="C3219" s="11">
        <v>46057.353379629603</v>
      </c>
      <c r="D3219" s="17" t="s">
        <v>3637</v>
      </c>
      <c r="E3219" t="str">
        <f>IF(COUNTIF($B$2:B3219,B3219)&gt;1,"Duplicado","Único")</f>
        <v>Único</v>
      </c>
    </row>
    <row r="3220" spans="1:5" hidden="1" x14ac:dyDescent="0.25">
      <c r="A3220" s="15">
        <v>51956</v>
      </c>
      <c r="B3220" s="7">
        <v>71360543</v>
      </c>
      <c r="C3220" s="11">
        <v>46010.487314814804</v>
      </c>
      <c r="D3220" s="17" t="s">
        <v>2994</v>
      </c>
      <c r="E3220" t="str">
        <f>IF(COUNTIF($B$2:B3220,B3220)&gt;1,"Duplicado","Único")</f>
        <v>Duplicado</v>
      </c>
    </row>
    <row r="3221" spans="1:5" hidden="1" x14ac:dyDescent="0.25">
      <c r="A3221" s="15">
        <v>51956</v>
      </c>
      <c r="B3221" s="7">
        <v>71360543</v>
      </c>
      <c r="C3221" s="11">
        <v>46003.673414351899</v>
      </c>
      <c r="D3221" s="17" t="s">
        <v>2920</v>
      </c>
      <c r="E3221" t="str">
        <f>IF(COUNTIF($B$2:B3221,B3221)&gt;1,"Duplicado","Único")</f>
        <v>Duplicado</v>
      </c>
    </row>
    <row r="3222" spans="1:5" x14ac:dyDescent="0.25">
      <c r="A3222" s="15">
        <v>1746</v>
      </c>
      <c r="B3222" s="7">
        <v>71361262</v>
      </c>
      <c r="C3222" s="11">
        <v>46086.685752314799</v>
      </c>
      <c r="D3222" s="17" t="s">
        <v>3874</v>
      </c>
      <c r="E3222" t="str">
        <f>IF(COUNTIF($B$2:B3222,B3222)&gt;1,"Duplicado","Único")</f>
        <v>Único</v>
      </c>
    </row>
    <row r="3223" spans="1:5" hidden="1" x14ac:dyDescent="0.25">
      <c r="A3223" s="15">
        <v>1746</v>
      </c>
      <c r="B3223" s="7">
        <v>71361262</v>
      </c>
      <c r="C3223" s="11">
        <v>46037.3999652778</v>
      </c>
      <c r="D3223" s="17" t="s">
        <v>3189</v>
      </c>
      <c r="E3223" t="str">
        <f>IF(COUNTIF($B$2:B3223,B3223)&gt;1,"Duplicado","Único")</f>
        <v>Duplicado</v>
      </c>
    </row>
    <row r="3224" spans="1:5" x14ac:dyDescent="0.25">
      <c r="A3224" s="15">
        <v>22434</v>
      </c>
      <c r="B3224" s="7">
        <v>71367337</v>
      </c>
      <c r="C3224" s="11">
        <v>45841.526076388902</v>
      </c>
      <c r="D3224" s="17" t="s">
        <v>1010</v>
      </c>
      <c r="E3224" t="str">
        <f>IF(COUNTIF($B$2:B3224,B3224)&gt;1,"Duplicado","Único")</f>
        <v>Único</v>
      </c>
    </row>
    <row r="3225" spans="1:5" x14ac:dyDescent="0.25">
      <c r="A3225" s="15">
        <v>19155</v>
      </c>
      <c r="B3225" s="7">
        <v>71372741</v>
      </c>
      <c r="C3225" s="11">
        <v>45813.736539351798</v>
      </c>
      <c r="D3225" s="17" t="s">
        <v>814</v>
      </c>
      <c r="E3225" t="str">
        <f>IF(COUNTIF($B$2:B3225,B3225)&gt;1,"Duplicado","Único")</f>
        <v>Único</v>
      </c>
    </row>
    <row r="3226" spans="1:5" x14ac:dyDescent="0.25">
      <c r="A3226" s="15">
        <v>55546</v>
      </c>
      <c r="B3226" s="7">
        <v>71377554</v>
      </c>
      <c r="C3226" s="11">
        <v>46086.462222222202</v>
      </c>
      <c r="D3226" s="17" t="s">
        <v>3799</v>
      </c>
      <c r="E3226" t="str">
        <f>IF(COUNTIF($B$2:B3226,B3226)&gt;1,"Duplicado","Único")</f>
        <v>Único</v>
      </c>
    </row>
    <row r="3227" spans="1:5" hidden="1" x14ac:dyDescent="0.25">
      <c r="A3227" s="15">
        <v>55546</v>
      </c>
      <c r="B3227" s="7">
        <v>71377554</v>
      </c>
      <c r="C3227" s="11">
        <v>46022.405069444401</v>
      </c>
      <c r="D3227" s="17" t="s">
        <v>3114</v>
      </c>
      <c r="E3227" t="str">
        <f>IF(COUNTIF($B$2:B3227,B3227)&gt;1,"Duplicado","Único")</f>
        <v>Duplicado</v>
      </c>
    </row>
    <row r="3228" spans="1:5" x14ac:dyDescent="0.25">
      <c r="A3228" s="15">
        <v>3903</v>
      </c>
      <c r="B3228" s="7">
        <v>71378524</v>
      </c>
      <c r="C3228" s="11">
        <v>46059.506805555597</v>
      </c>
      <c r="D3228" s="17" t="s">
        <v>3745</v>
      </c>
      <c r="E3228" t="str">
        <f>IF(COUNTIF($B$2:B3228,B3228)&gt;1,"Duplicado","Único")</f>
        <v>Único</v>
      </c>
    </row>
    <row r="3229" spans="1:5" hidden="1" x14ac:dyDescent="0.25">
      <c r="A3229" s="15">
        <v>3903</v>
      </c>
      <c r="B3229" s="7">
        <v>71378524</v>
      </c>
      <c r="C3229" s="11">
        <v>46055.653900463003</v>
      </c>
      <c r="D3229" s="17" t="s">
        <v>3617</v>
      </c>
      <c r="E3229" t="str">
        <f>IF(COUNTIF($B$2:B3229,B3229)&gt;1,"Duplicado","Único")</f>
        <v>Duplicado</v>
      </c>
    </row>
    <row r="3230" spans="1:5" x14ac:dyDescent="0.25">
      <c r="A3230" s="15">
        <v>42043</v>
      </c>
      <c r="B3230" s="7">
        <v>71387327</v>
      </c>
      <c r="C3230" s="11">
        <v>45951.639178240701</v>
      </c>
      <c r="D3230" s="17" t="s">
        <v>2031</v>
      </c>
      <c r="E3230" t="str">
        <f>IF(COUNTIF($B$2:B3230,B3230)&gt;1,"Duplicado","Único")</f>
        <v>Único</v>
      </c>
    </row>
    <row r="3231" spans="1:5" x14ac:dyDescent="0.25">
      <c r="A3231" s="15">
        <v>14445</v>
      </c>
      <c r="B3231" s="7">
        <v>71394549</v>
      </c>
      <c r="C3231" s="11">
        <v>46120.465231481503</v>
      </c>
      <c r="D3231" s="17" t="s">
        <v>4257</v>
      </c>
      <c r="E3231" t="str">
        <f>IF(COUNTIF($B$2:B3231,B3231)&gt;1,"Duplicado","Único")</f>
        <v>Único</v>
      </c>
    </row>
    <row r="3232" spans="1:5" hidden="1" x14ac:dyDescent="0.25">
      <c r="A3232" s="15">
        <v>14445</v>
      </c>
      <c r="B3232" s="7">
        <v>71394549</v>
      </c>
      <c r="C3232" s="11">
        <v>46090.668321759302</v>
      </c>
      <c r="D3232" s="17" t="s">
        <v>4021</v>
      </c>
      <c r="E3232" t="str">
        <f>IF(COUNTIF($B$2:B3232,B3232)&gt;1,"Duplicado","Único")</f>
        <v>Duplicado</v>
      </c>
    </row>
    <row r="3233" spans="1:5" x14ac:dyDescent="0.25">
      <c r="A3233" s="15">
        <v>17377</v>
      </c>
      <c r="B3233" s="7">
        <v>71420752</v>
      </c>
      <c r="C3233" s="11">
        <v>45797.464293981502</v>
      </c>
      <c r="D3233" s="17" t="s">
        <v>709</v>
      </c>
      <c r="E3233" t="str">
        <f>IF(COUNTIF($B$2:B3233,B3233)&gt;1,"Duplicado","Único")</f>
        <v>Único</v>
      </c>
    </row>
    <row r="3234" spans="1:5" x14ac:dyDescent="0.25">
      <c r="A3234" s="15">
        <v>49401</v>
      </c>
      <c r="B3234" s="7">
        <v>7143749</v>
      </c>
      <c r="C3234" s="11">
        <v>45982.423194444404</v>
      </c>
      <c r="D3234" s="17" t="s">
        <v>2666</v>
      </c>
      <c r="E3234" t="str">
        <f>IF(COUNTIF($B$2:B3234,B3234)&gt;1,"Duplicado","Único")</f>
        <v>Único</v>
      </c>
    </row>
    <row r="3235" spans="1:5" x14ac:dyDescent="0.25">
      <c r="A3235" s="15">
        <v>46334</v>
      </c>
      <c r="B3235" s="7">
        <v>7152073</v>
      </c>
      <c r="C3235" s="11">
        <v>45965.503206018497</v>
      </c>
      <c r="D3235" s="17" t="s">
        <v>2312</v>
      </c>
      <c r="E3235" t="str">
        <f>IF(COUNTIF($B$2:B3235,B3235)&gt;1,"Duplicado","Único")</f>
        <v>Único</v>
      </c>
    </row>
    <row r="3236" spans="1:5" x14ac:dyDescent="0.25">
      <c r="A3236" s="15">
        <v>41340</v>
      </c>
      <c r="B3236" s="7">
        <v>71594117</v>
      </c>
      <c r="C3236" s="11">
        <v>45937.373645833301</v>
      </c>
      <c r="D3236" s="17" t="s">
        <v>1965</v>
      </c>
      <c r="E3236" t="str">
        <f>IF(COUNTIF($B$2:B3236,B3236)&gt;1,"Duplicado","Único")</f>
        <v>Único</v>
      </c>
    </row>
    <row r="3237" spans="1:5" x14ac:dyDescent="0.25">
      <c r="A3237" s="15">
        <v>28253</v>
      </c>
      <c r="B3237" s="7">
        <v>71594740</v>
      </c>
      <c r="C3237" s="11">
        <v>45884.6950462963</v>
      </c>
      <c r="D3237" s="17" t="s">
        <v>1322</v>
      </c>
      <c r="E3237" t="str">
        <f>IF(COUNTIF($B$2:B3237,B3237)&gt;1,"Duplicado","Único")</f>
        <v>Único</v>
      </c>
    </row>
    <row r="3238" spans="1:5" x14ac:dyDescent="0.25">
      <c r="A3238" s="15">
        <v>15733</v>
      </c>
      <c r="B3238" s="7">
        <v>71608951</v>
      </c>
      <c r="C3238" s="11">
        <v>46121.434641203698</v>
      </c>
      <c r="D3238" s="17" t="s">
        <v>4369</v>
      </c>
      <c r="E3238" t="str">
        <f>IF(COUNTIF($B$2:B3238,B3238)&gt;1,"Duplicado","Único")</f>
        <v>Único</v>
      </c>
    </row>
    <row r="3239" spans="1:5" hidden="1" x14ac:dyDescent="0.25">
      <c r="A3239" s="15">
        <v>15733</v>
      </c>
      <c r="B3239" s="7">
        <v>71608951</v>
      </c>
      <c r="C3239" s="11">
        <v>46101.679155092599</v>
      </c>
      <c r="D3239" s="17" t="s">
        <v>4112</v>
      </c>
      <c r="E3239" t="str">
        <f>IF(COUNTIF($B$2:B3239,B3239)&gt;1,"Duplicado","Único")</f>
        <v>Duplicado</v>
      </c>
    </row>
    <row r="3240" spans="1:5" x14ac:dyDescent="0.25">
      <c r="A3240" s="15">
        <v>21717</v>
      </c>
      <c r="B3240" s="7">
        <v>71617591</v>
      </c>
      <c r="C3240" s="11">
        <v>45825.485416666699</v>
      </c>
      <c r="D3240" s="17" t="s">
        <v>953</v>
      </c>
      <c r="E3240" t="str">
        <f>IF(COUNTIF($B$2:B3240,B3240)&gt;1,"Duplicado","Único")</f>
        <v>Único</v>
      </c>
    </row>
    <row r="3241" spans="1:5" x14ac:dyDescent="0.25">
      <c r="A3241" s="15">
        <v>38106</v>
      </c>
      <c r="B3241" s="7">
        <v>71647317</v>
      </c>
      <c r="C3241" s="11">
        <v>45924.434259259302</v>
      </c>
      <c r="D3241" s="17" t="s">
        <v>1810</v>
      </c>
      <c r="E3241" t="str">
        <f>IF(COUNTIF($B$2:B3241,B3241)&gt;1,"Duplicado","Único")</f>
        <v>Único</v>
      </c>
    </row>
    <row r="3242" spans="1:5" x14ac:dyDescent="0.25">
      <c r="A3242" s="15">
        <v>42782</v>
      </c>
      <c r="B3242" s="7">
        <v>7166312</v>
      </c>
      <c r="C3242" s="11">
        <v>45954.541620370401</v>
      </c>
      <c r="D3242" s="17" t="s">
        <v>2065</v>
      </c>
      <c r="E3242" t="str">
        <f>IF(COUNTIF($B$2:B3242,B3242)&gt;1,"Duplicado","Único")</f>
        <v>Único</v>
      </c>
    </row>
    <row r="3243" spans="1:5" x14ac:dyDescent="0.25">
      <c r="A3243" s="15">
        <v>51681</v>
      </c>
      <c r="B3243" s="7">
        <v>71675742</v>
      </c>
      <c r="C3243" s="11">
        <v>46059.5647453704</v>
      </c>
      <c r="D3243" s="17" t="s">
        <v>3751</v>
      </c>
      <c r="E3243" t="str">
        <f>IF(COUNTIF($B$2:B3243,B3243)&gt;1,"Duplicado","Único")</f>
        <v>Único</v>
      </c>
    </row>
    <row r="3244" spans="1:5" hidden="1" x14ac:dyDescent="0.25">
      <c r="A3244" s="15">
        <v>51681</v>
      </c>
      <c r="B3244" s="7">
        <v>71675742</v>
      </c>
      <c r="C3244" s="11">
        <v>46051.342418981498</v>
      </c>
      <c r="D3244" s="17" t="s">
        <v>3435</v>
      </c>
      <c r="E3244" t="str">
        <f>IF(COUNTIF($B$2:B3244,B3244)&gt;1,"Duplicado","Único")</f>
        <v>Duplicado</v>
      </c>
    </row>
    <row r="3245" spans="1:5" hidden="1" x14ac:dyDescent="0.25">
      <c r="A3245" s="15">
        <v>51681</v>
      </c>
      <c r="B3245" s="7">
        <v>71675742</v>
      </c>
      <c r="C3245" s="11">
        <v>46002.6794212963</v>
      </c>
      <c r="D3245" s="17" t="s">
        <v>2901</v>
      </c>
      <c r="E3245" t="str">
        <f>IF(COUNTIF($B$2:B3245,B3245)&gt;1,"Duplicado","Único")</f>
        <v>Duplicado</v>
      </c>
    </row>
    <row r="3246" spans="1:5" x14ac:dyDescent="0.25">
      <c r="A3246" s="15">
        <v>2096</v>
      </c>
      <c r="B3246" s="7">
        <v>71728543</v>
      </c>
      <c r="C3246" s="11">
        <v>46086.696458333303</v>
      </c>
      <c r="D3246" s="17" t="s">
        <v>3884</v>
      </c>
      <c r="E3246" t="str">
        <f>IF(COUNTIF($B$2:B3246,B3246)&gt;1,"Duplicado","Único")</f>
        <v>Único</v>
      </c>
    </row>
    <row r="3247" spans="1:5" hidden="1" x14ac:dyDescent="0.25">
      <c r="A3247" s="15">
        <v>2096</v>
      </c>
      <c r="B3247" s="7">
        <v>71728543</v>
      </c>
      <c r="C3247" s="11">
        <v>46048.708275463003</v>
      </c>
      <c r="D3247" s="17" t="s">
        <v>3214</v>
      </c>
      <c r="E3247" t="str">
        <f>IF(COUNTIF($B$2:B3247,B3247)&gt;1,"Duplicado","Único")</f>
        <v>Duplicado</v>
      </c>
    </row>
    <row r="3248" spans="1:5" x14ac:dyDescent="0.25">
      <c r="A3248" s="15">
        <v>39738</v>
      </c>
      <c r="B3248" s="7">
        <v>71737767</v>
      </c>
      <c r="C3248" s="11">
        <v>45931.3620717593</v>
      </c>
      <c r="D3248" s="17" t="s">
        <v>1897</v>
      </c>
      <c r="E3248" t="str">
        <f>IF(COUNTIF($B$2:B3248,B3248)&gt;1,"Duplicado","Único")</f>
        <v>Único</v>
      </c>
    </row>
    <row r="3249" spans="1:5" x14ac:dyDescent="0.25">
      <c r="A3249" s="15">
        <v>47264</v>
      </c>
      <c r="B3249" s="7">
        <v>71741114</v>
      </c>
      <c r="C3249" s="11">
        <v>45975.632280092599</v>
      </c>
      <c r="D3249" s="17" t="s">
        <v>2519</v>
      </c>
      <c r="E3249" t="str">
        <f>IF(COUNTIF($B$2:B3249,B3249)&gt;1,"Duplicado","Único")</f>
        <v>Único</v>
      </c>
    </row>
    <row r="3250" spans="1:5" hidden="1" x14ac:dyDescent="0.25">
      <c r="A3250" s="15">
        <v>47264</v>
      </c>
      <c r="B3250" s="7">
        <v>71741114</v>
      </c>
      <c r="C3250" s="11">
        <v>45968.756898148102</v>
      </c>
      <c r="D3250" s="17" t="s">
        <v>2405</v>
      </c>
      <c r="E3250" t="str">
        <f>IF(COUNTIF($B$2:B3250,B3250)&gt;1,"Duplicado","Único")</f>
        <v>Duplicado</v>
      </c>
    </row>
    <row r="3251" spans="1:5" x14ac:dyDescent="0.25">
      <c r="A3251" s="15">
        <v>51708</v>
      </c>
      <c r="B3251" s="7">
        <v>7174648</v>
      </c>
      <c r="C3251" s="11">
        <v>46051.338194444397</v>
      </c>
      <c r="D3251" s="17" t="s">
        <v>3428</v>
      </c>
      <c r="E3251" t="str">
        <f>IF(COUNTIF($B$2:B3251,B3251)&gt;1,"Duplicado","Único")</f>
        <v>Único</v>
      </c>
    </row>
    <row r="3252" spans="1:5" hidden="1" x14ac:dyDescent="0.25">
      <c r="A3252" s="15">
        <v>51708</v>
      </c>
      <c r="B3252" s="7">
        <v>7174648</v>
      </c>
      <c r="C3252" s="11">
        <v>46002.688564814802</v>
      </c>
      <c r="D3252" s="17" t="s">
        <v>2903</v>
      </c>
      <c r="E3252" t="str">
        <f>IF(COUNTIF($B$2:B3252,B3252)&gt;1,"Duplicado","Único")</f>
        <v>Duplicado</v>
      </c>
    </row>
    <row r="3253" spans="1:5" x14ac:dyDescent="0.25">
      <c r="A3253" s="15">
        <v>53722</v>
      </c>
      <c r="B3253" s="7">
        <v>71749839</v>
      </c>
      <c r="C3253" s="11">
        <v>46057.404398148101</v>
      </c>
      <c r="D3253" s="17" t="s">
        <v>3682</v>
      </c>
      <c r="E3253" t="str">
        <f>IF(COUNTIF($B$2:B3253,B3253)&gt;1,"Duplicado","Único")</f>
        <v>Único</v>
      </c>
    </row>
    <row r="3254" spans="1:5" hidden="1" x14ac:dyDescent="0.25">
      <c r="A3254" s="15">
        <v>53722</v>
      </c>
      <c r="B3254" s="7">
        <v>71749839</v>
      </c>
      <c r="C3254" s="11">
        <v>46013.508969907401</v>
      </c>
      <c r="D3254" s="17" t="s">
        <v>3034</v>
      </c>
      <c r="E3254" t="str">
        <f>IF(COUNTIF($B$2:B3254,B3254)&gt;1,"Duplicado","Único")</f>
        <v>Duplicado</v>
      </c>
    </row>
    <row r="3255" spans="1:5" x14ac:dyDescent="0.25">
      <c r="A3255" s="15">
        <v>50225</v>
      </c>
      <c r="B3255" s="7">
        <v>7175280</v>
      </c>
      <c r="C3255" s="11">
        <v>46050.512280092596</v>
      </c>
      <c r="D3255" s="17" t="s">
        <v>3279</v>
      </c>
      <c r="E3255" t="str">
        <f>IF(COUNTIF($B$2:B3255,B3255)&gt;1,"Duplicado","Único")</f>
        <v>Único</v>
      </c>
    </row>
    <row r="3256" spans="1:5" hidden="1" x14ac:dyDescent="0.25">
      <c r="A3256" s="15">
        <v>50225</v>
      </c>
      <c r="B3256" s="7">
        <v>7175280</v>
      </c>
      <c r="C3256" s="11">
        <v>45987.4440972222</v>
      </c>
      <c r="D3256" s="17" t="s">
        <v>2733</v>
      </c>
      <c r="E3256" t="str">
        <f>IF(COUNTIF($B$2:B3256,B3256)&gt;1,"Duplicado","Único")</f>
        <v>Duplicado</v>
      </c>
    </row>
    <row r="3257" spans="1:5" x14ac:dyDescent="0.25">
      <c r="A3257" s="15">
        <v>22117</v>
      </c>
      <c r="B3257" s="7">
        <v>71756591</v>
      </c>
      <c r="C3257" s="11">
        <v>45835.672488425902</v>
      </c>
      <c r="D3257" s="17" t="s">
        <v>989</v>
      </c>
      <c r="E3257" t="str">
        <f>IF(COUNTIF($B$2:B3257,B3257)&gt;1,"Duplicado","Único")</f>
        <v>Único</v>
      </c>
    </row>
    <row r="3258" spans="1:5" x14ac:dyDescent="0.25">
      <c r="A3258" s="15">
        <v>37560</v>
      </c>
      <c r="B3258" s="7">
        <v>71757668</v>
      </c>
      <c r="C3258" s="11">
        <v>45923.400648148097</v>
      </c>
      <c r="D3258" s="17" t="s">
        <v>1791</v>
      </c>
      <c r="E3258" t="str">
        <f>IF(COUNTIF($B$2:B3258,B3258)&gt;1,"Duplicado","Único")</f>
        <v>Único</v>
      </c>
    </row>
    <row r="3259" spans="1:5" x14ac:dyDescent="0.25">
      <c r="A3259" s="15">
        <v>54908</v>
      </c>
      <c r="B3259" s="7">
        <v>71774392</v>
      </c>
      <c r="C3259" s="11">
        <v>46086.529837962997</v>
      </c>
      <c r="D3259" s="17" t="s">
        <v>3836</v>
      </c>
      <c r="E3259" t="str">
        <f>IF(COUNTIF($B$2:B3259,B3259)&gt;1,"Duplicado","Único")</f>
        <v>Único</v>
      </c>
    </row>
    <row r="3260" spans="1:5" hidden="1" x14ac:dyDescent="0.25">
      <c r="A3260" s="15">
        <v>54908</v>
      </c>
      <c r="B3260" s="7">
        <v>71774392</v>
      </c>
      <c r="C3260" s="11">
        <v>46086.3592361111</v>
      </c>
      <c r="D3260" s="17" t="s">
        <v>3790</v>
      </c>
      <c r="E3260" t="str">
        <f>IF(COUNTIF($B$2:B3260,B3260)&gt;1,"Duplicado","Único")</f>
        <v>Duplicado</v>
      </c>
    </row>
    <row r="3261" spans="1:5" hidden="1" x14ac:dyDescent="0.25">
      <c r="A3261" s="15">
        <v>54908</v>
      </c>
      <c r="B3261" s="7">
        <v>71774392</v>
      </c>
      <c r="C3261" s="11">
        <v>46020.606157407397</v>
      </c>
      <c r="D3261" s="17" t="s">
        <v>3100</v>
      </c>
      <c r="E3261" t="str">
        <f>IF(COUNTIF($B$2:B3261,B3261)&gt;1,"Duplicado","Único")</f>
        <v>Duplicado</v>
      </c>
    </row>
    <row r="3262" spans="1:5" x14ac:dyDescent="0.25">
      <c r="A3262" s="15">
        <v>53886</v>
      </c>
      <c r="B3262" s="7">
        <v>71776215</v>
      </c>
      <c r="C3262" s="11">
        <v>46057.405254629601</v>
      </c>
      <c r="D3262" s="17" t="s">
        <v>3683</v>
      </c>
      <c r="E3262" t="str">
        <f>IF(COUNTIF($B$2:B3262,B3262)&gt;1,"Duplicado","Único")</f>
        <v>Único</v>
      </c>
    </row>
    <row r="3263" spans="1:5" hidden="1" x14ac:dyDescent="0.25">
      <c r="A3263" s="15">
        <v>53886</v>
      </c>
      <c r="B3263" s="7">
        <v>71776215</v>
      </c>
      <c r="C3263" s="11">
        <v>46013.644224536998</v>
      </c>
      <c r="D3263" s="17" t="s">
        <v>3058</v>
      </c>
      <c r="E3263" t="str">
        <f>IF(COUNTIF($B$2:B3263,B3263)&gt;1,"Duplicado","Único")</f>
        <v>Duplicado</v>
      </c>
    </row>
    <row r="3264" spans="1:5" x14ac:dyDescent="0.25">
      <c r="A3264" s="15">
        <v>1405</v>
      </c>
      <c r="B3264" s="7">
        <v>71784660</v>
      </c>
      <c r="C3264" s="11">
        <v>46086.631851851896</v>
      </c>
      <c r="D3264" s="17" t="s">
        <v>3848</v>
      </c>
      <c r="E3264" t="str">
        <f>IF(COUNTIF($B$2:B3264,B3264)&gt;1,"Duplicado","Único")</f>
        <v>Único</v>
      </c>
    </row>
    <row r="3265" spans="1:5" hidden="1" x14ac:dyDescent="0.25">
      <c r="A3265" s="15">
        <v>1405</v>
      </c>
      <c r="B3265" s="7">
        <v>71784660</v>
      </c>
      <c r="C3265" s="11">
        <v>46036.595810185201</v>
      </c>
      <c r="D3265" s="17" t="s">
        <v>3177</v>
      </c>
      <c r="E3265" t="str">
        <f>IF(COUNTIF($B$2:B3265,B3265)&gt;1,"Duplicado","Único")</f>
        <v>Duplicado</v>
      </c>
    </row>
    <row r="3266" spans="1:5" x14ac:dyDescent="0.25">
      <c r="A3266" s="15">
        <v>47875</v>
      </c>
      <c r="B3266" s="7">
        <v>71786769</v>
      </c>
      <c r="C3266" s="11">
        <v>45973.667870370402</v>
      </c>
      <c r="D3266" s="17" t="s">
        <v>2472</v>
      </c>
      <c r="E3266" t="str">
        <f>IF(COUNTIF($B$2:B3266,B3266)&gt;1,"Duplicado","Único")</f>
        <v>Único</v>
      </c>
    </row>
    <row r="3267" spans="1:5" x14ac:dyDescent="0.25">
      <c r="A3267" s="15">
        <v>52727</v>
      </c>
      <c r="B3267" s="7">
        <v>71787418</v>
      </c>
      <c r="C3267" s="11">
        <v>46051.612824074102</v>
      </c>
      <c r="D3267" s="17" t="s">
        <v>3539</v>
      </c>
      <c r="E3267" t="str">
        <f>IF(COUNTIF($B$2:B3267,B3267)&gt;1,"Duplicado","Único")</f>
        <v>Único</v>
      </c>
    </row>
    <row r="3268" spans="1:5" hidden="1" x14ac:dyDescent="0.25">
      <c r="A3268" s="15">
        <v>52727</v>
      </c>
      <c r="B3268" s="7">
        <v>71787418</v>
      </c>
      <c r="C3268" s="11">
        <v>46009.375393518501</v>
      </c>
      <c r="D3268" s="17" t="s">
        <v>2961</v>
      </c>
      <c r="E3268" t="str">
        <f>IF(COUNTIF($B$2:B3268,B3268)&gt;1,"Duplicado","Único")</f>
        <v>Duplicado</v>
      </c>
    </row>
    <row r="3269" spans="1:5" x14ac:dyDescent="0.25">
      <c r="A3269" s="15">
        <v>15076</v>
      </c>
      <c r="B3269" s="7">
        <v>7179039</v>
      </c>
      <c r="C3269" s="11">
        <v>46120.500578703701</v>
      </c>
      <c r="D3269" s="17" t="s">
        <v>4279</v>
      </c>
      <c r="E3269" t="str">
        <f>IF(COUNTIF($B$2:B3269,B3269)&gt;1,"Duplicado","Único")</f>
        <v>Único</v>
      </c>
    </row>
    <row r="3270" spans="1:5" hidden="1" x14ac:dyDescent="0.25">
      <c r="A3270" s="15">
        <v>15076</v>
      </c>
      <c r="B3270" s="7">
        <v>7179039</v>
      </c>
      <c r="C3270" s="11">
        <v>46094.501134259299</v>
      </c>
      <c r="D3270" s="17" t="s">
        <v>4063</v>
      </c>
      <c r="E3270" t="str">
        <f>IF(COUNTIF($B$2:B3270,B3270)&gt;1,"Duplicado","Único")</f>
        <v>Duplicado</v>
      </c>
    </row>
    <row r="3271" spans="1:5" x14ac:dyDescent="0.25">
      <c r="A3271" s="15">
        <v>30214</v>
      </c>
      <c r="B3271" s="7">
        <v>71794948</v>
      </c>
      <c r="C3271" s="11">
        <v>45898.608449074098</v>
      </c>
      <c r="D3271" s="17" t="s">
        <v>1468</v>
      </c>
      <c r="E3271" t="str">
        <f>IF(COUNTIF($B$2:B3271,B3271)&gt;1,"Duplicado","Único")</f>
        <v>Único</v>
      </c>
    </row>
    <row r="3272" spans="1:5" x14ac:dyDescent="0.25">
      <c r="A3272" s="15">
        <v>26419</v>
      </c>
      <c r="B3272" s="7">
        <v>71797192</v>
      </c>
      <c r="C3272" s="11">
        <v>45867.442951388897</v>
      </c>
      <c r="D3272" s="17" t="s">
        <v>1201</v>
      </c>
      <c r="E3272" t="str">
        <f>IF(COUNTIF($B$2:B3272,B3272)&gt;1,"Duplicado","Único")</f>
        <v>Único</v>
      </c>
    </row>
    <row r="3273" spans="1:5" x14ac:dyDescent="0.25">
      <c r="A3273" s="15">
        <v>31579</v>
      </c>
      <c r="B3273" s="7">
        <v>7180178</v>
      </c>
      <c r="C3273" s="11">
        <v>45904.646388888897</v>
      </c>
      <c r="D3273" s="17" t="s">
        <v>1530</v>
      </c>
      <c r="E3273" t="str">
        <f>IF(COUNTIF($B$2:B3273,B3273)&gt;1,"Duplicado","Único")</f>
        <v>Único</v>
      </c>
    </row>
    <row r="3274" spans="1:5" x14ac:dyDescent="0.25">
      <c r="A3274" s="15">
        <v>46662</v>
      </c>
      <c r="B3274" s="7">
        <v>7182310</v>
      </c>
      <c r="C3274" s="11">
        <v>45966.673576388901</v>
      </c>
      <c r="D3274" s="17" t="s">
        <v>2345</v>
      </c>
      <c r="E3274" t="str">
        <f>IF(COUNTIF($B$2:B3274,B3274)&gt;1,"Duplicado","Único")</f>
        <v>Único</v>
      </c>
    </row>
    <row r="3275" spans="1:5" x14ac:dyDescent="0.25">
      <c r="A3275" s="15">
        <v>17734</v>
      </c>
      <c r="B3275" s="7">
        <v>7182978</v>
      </c>
      <c r="C3275" s="11">
        <v>46149.426828703698</v>
      </c>
      <c r="D3275" s="17" t="s">
        <v>4465</v>
      </c>
      <c r="E3275" t="str">
        <f>IF(COUNTIF($B$2:B3275,B3275)&gt;1,"Duplicado","Único")</f>
        <v>Único</v>
      </c>
    </row>
    <row r="3276" spans="1:5" hidden="1" x14ac:dyDescent="0.25">
      <c r="A3276" s="15">
        <v>17734</v>
      </c>
      <c r="B3276" s="7">
        <v>7182978</v>
      </c>
      <c r="C3276" s="11">
        <v>46108.828495370399</v>
      </c>
      <c r="D3276" s="17" t="s">
        <v>4232</v>
      </c>
      <c r="E3276" t="str">
        <f>IF(COUNTIF($B$2:B3276,B3276)&gt;1,"Duplicado","Único")</f>
        <v>Duplicado</v>
      </c>
    </row>
    <row r="3277" spans="1:5" x14ac:dyDescent="0.25">
      <c r="A3277" s="15">
        <v>53706</v>
      </c>
      <c r="B3277" s="7">
        <v>7183096</v>
      </c>
      <c r="C3277" s="11">
        <v>46057.355798611097</v>
      </c>
      <c r="D3277" s="17" t="s">
        <v>3639</v>
      </c>
      <c r="E3277" t="str">
        <f>IF(COUNTIF($B$2:B3277,B3277)&gt;1,"Duplicado","Único")</f>
        <v>Único</v>
      </c>
    </row>
    <row r="3278" spans="1:5" hidden="1" x14ac:dyDescent="0.25">
      <c r="A3278" s="15">
        <v>53706</v>
      </c>
      <c r="B3278" s="7">
        <v>7183096</v>
      </c>
      <c r="C3278" s="11">
        <v>46013.507557870398</v>
      </c>
      <c r="D3278" s="17" t="s">
        <v>3033</v>
      </c>
      <c r="E3278" t="str">
        <f>IF(COUNTIF($B$2:B3278,B3278)&gt;1,"Duplicado","Único")</f>
        <v>Duplicado</v>
      </c>
    </row>
    <row r="3279" spans="1:5" x14ac:dyDescent="0.25">
      <c r="A3279" s="15">
        <v>49147</v>
      </c>
      <c r="B3279" s="7">
        <v>7183835</v>
      </c>
      <c r="C3279" s="11">
        <v>45981.351192129601</v>
      </c>
      <c r="D3279" s="17" t="s">
        <v>2623</v>
      </c>
      <c r="E3279" t="str">
        <f>IF(COUNTIF($B$2:B3279,B3279)&gt;1,"Duplicado","Único")</f>
        <v>Único</v>
      </c>
    </row>
    <row r="3280" spans="1:5" x14ac:dyDescent="0.25">
      <c r="A3280" s="15">
        <v>26473</v>
      </c>
      <c r="B3280" s="7">
        <v>71945231</v>
      </c>
      <c r="C3280" s="11">
        <v>45867.460763888899</v>
      </c>
      <c r="D3280" s="17" t="s">
        <v>1205</v>
      </c>
      <c r="E3280" t="str">
        <f>IF(COUNTIF($B$2:B3280,B3280)&gt;1,"Duplicado","Único")</f>
        <v>Único</v>
      </c>
    </row>
    <row r="3281" spans="1:5" x14ac:dyDescent="0.25">
      <c r="A3281" s="15">
        <v>48899</v>
      </c>
      <c r="B3281" s="7">
        <v>72000954</v>
      </c>
      <c r="C3281" s="11">
        <v>45980.377372685201</v>
      </c>
      <c r="D3281" s="17" t="s">
        <v>2588</v>
      </c>
      <c r="E3281" t="str">
        <f>IF(COUNTIF($B$2:B3281,B3281)&gt;1,"Duplicado","Único")</f>
        <v>Único</v>
      </c>
    </row>
    <row r="3282" spans="1:5" x14ac:dyDescent="0.25">
      <c r="A3282" s="15">
        <v>49111</v>
      </c>
      <c r="B3282" s="7">
        <v>72004530</v>
      </c>
      <c r="C3282" s="11">
        <v>45981.341701388897</v>
      </c>
      <c r="D3282" s="17" t="s">
        <v>2618</v>
      </c>
      <c r="E3282" t="str">
        <f>IF(COUNTIF($B$2:B3282,B3282)&gt;1,"Duplicado","Único")</f>
        <v>Único</v>
      </c>
    </row>
    <row r="3283" spans="1:5" x14ac:dyDescent="0.25">
      <c r="A3283" s="15">
        <v>3059</v>
      </c>
      <c r="B3283" s="7">
        <v>72004745</v>
      </c>
      <c r="C3283" s="11">
        <v>46086.746076388903</v>
      </c>
      <c r="D3283" s="17" t="s">
        <v>3934</v>
      </c>
      <c r="E3283" t="str">
        <f>IF(COUNTIF($B$2:B3283,B3283)&gt;1,"Duplicado","Único")</f>
        <v>Único</v>
      </c>
    </row>
    <row r="3284" spans="1:5" hidden="1" x14ac:dyDescent="0.25">
      <c r="A3284" s="15">
        <v>3059</v>
      </c>
      <c r="B3284" s="7">
        <v>72004745</v>
      </c>
      <c r="C3284" s="11">
        <v>46051.414236111101</v>
      </c>
      <c r="D3284" s="17" t="s">
        <v>3445</v>
      </c>
      <c r="E3284" t="str">
        <f>IF(COUNTIF($B$2:B3284,B3284)&gt;1,"Duplicado","Único")</f>
        <v>Duplicado</v>
      </c>
    </row>
    <row r="3285" spans="1:5" x14ac:dyDescent="0.25">
      <c r="A3285" s="15">
        <v>16419</v>
      </c>
      <c r="B3285" s="7">
        <v>72009647</v>
      </c>
      <c r="C3285" s="11">
        <v>46121.435173611098</v>
      </c>
      <c r="D3285" s="17" t="s">
        <v>4370</v>
      </c>
      <c r="E3285" t="str">
        <f>IF(COUNTIF($B$2:B3285,B3285)&gt;1,"Duplicado","Único")</f>
        <v>Único</v>
      </c>
    </row>
    <row r="3286" spans="1:5" hidden="1" x14ac:dyDescent="0.25">
      <c r="A3286" s="15">
        <v>16419</v>
      </c>
      <c r="B3286" s="7">
        <v>72009647</v>
      </c>
      <c r="C3286" s="11">
        <v>46101.815347222197</v>
      </c>
      <c r="D3286" s="17" t="s">
        <v>4144</v>
      </c>
      <c r="E3286" t="str">
        <f>IF(COUNTIF($B$2:B3286,B3286)&gt;1,"Duplicado","Único")</f>
        <v>Duplicado</v>
      </c>
    </row>
    <row r="3287" spans="1:5" x14ac:dyDescent="0.25">
      <c r="A3287" s="15">
        <v>36599</v>
      </c>
      <c r="B3287" s="7">
        <v>72012677</v>
      </c>
      <c r="C3287" s="11">
        <v>45919.403437499997</v>
      </c>
      <c r="D3287" s="17" t="s">
        <v>1762</v>
      </c>
      <c r="E3287" t="str">
        <f>IF(COUNTIF($B$2:B3287,B3287)&gt;1,"Duplicado","Único")</f>
        <v>Único</v>
      </c>
    </row>
    <row r="3288" spans="1:5" x14ac:dyDescent="0.25">
      <c r="A3288" s="15">
        <v>15403</v>
      </c>
      <c r="B3288" s="7">
        <v>72043549</v>
      </c>
      <c r="C3288" s="11">
        <v>46120.521388888897</v>
      </c>
      <c r="D3288" s="17" t="s">
        <v>4296</v>
      </c>
      <c r="E3288" t="str">
        <f>IF(COUNTIF($B$2:B3288,B3288)&gt;1,"Duplicado","Único")</f>
        <v>Único</v>
      </c>
    </row>
    <row r="3289" spans="1:5" hidden="1" x14ac:dyDescent="0.25">
      <c r="A3289" s="15">
        <v>15403</v>
      </c>
      <c r="B3289" s="7">
        <v>72043549</v>
      </c>
      <c r="C3289" s="11">
        <v>46094.523368055598</v>
      </c>
      <c r="D3289" s="17" t="s">
        <v>4086</v>
      </c>
      <c r="E3289" t="str">
        <f>IF(COUNTIF($B$2:B3289,B3289)&gt;1,"Duplicado","Único")</f>
        <v>Duplicado</v>
      </c>
    </row>
    <row r="3290" spans="1:5" x14ac:dyDescent="0.25">
      <c r="A3290" s="15">
        <v>32435</v>
      </c>
      <c r="B3290" s="7">
        <v>72125158</v>
      </c>
      <c r="C3290" s="11">
        <v>45908.531331018501</v>
      </c>
      <c r="D3290" s="17" t="s">
        <v>1613</v>
      </c>
      <c r="E3290" t="str">
        <f>IF(COUNTIF($B$2:B3290,B3290)&gt;1,"Duplicado","Único")</f>
        <v>Único</v>
      </c>
    </row>
    <row r="3291" spans="1:5" x14ac:dyDescent="0.25">
      <c r="A3291" s="15">
        <v>29831</v>
      </c>
      <c r="B3291" s="7">
        <v>72127296</v>
      </c>
      <c r="C3291" s="11">
        <v>45895.545046296298</v>
      </c>
      <c r="D3291" s="17" t="s">
        <v>1431</v>
      </c>
      <c r="E3291" t="str">
        <f>IF(COUNTIF($B$2:B3291,B3291)&gt;1,"Duplicado","Único")</f>
        <v>Único</v>
      </c>
    </row>
    <row r="3292" spans="1:5" x14ac:dyDescent="0.25">
      <c r="A3292" s="15">
        <v>29449</v>
      </c>
      <c r="B3292" s="7">
        <v>72131648</v>
      </c>
      <c r="C3292" s="11">
        <v>45894.614722222199</v>
      </c>
      <c r="D3292" s="17" t="s">
        <v>1409</v>
      </c>
      <c r="E3292" t="str">
        <f>IF(COUNTIF($B$2:B3292,B3292)&gt;1,"Duplicado","Único")</f>
        <v>Único</v>
      </c>
    </row>
    <row r="3293" spans="1:5" x14ac:dyDescent="0.25">
      <c r="A3293" s="15">
        <v>48298</v>
      </c>
      <c r="B3293" s="7">
        <v>72142209</v>
      </c>
      <c r="C3293" s="11">
        <v>45982.6646064815</v>
      </c>
      <c r="D3293" s="17" t="s">
        <v>2670</v>
      </c>
      <c r="E3293" t="str">
        <f>IF(COUNTIF($B$2:B3293,B3293)&gt;1,"Duplicado","Único")</f>
        <v>Único</v>
      </c>
    </row>
    <row r="3294" spans="1:5" hidden="1" x14ac:dyDescent="0.25">
      <c r="A3294" s="15">
        <v>48298</v>
      </c>
      <c r="B3294" s="7">
        <v>72142209</v>
      </c>
      <c r="C3294" s="11">
        <v>45979.361851851798</v>
      </c>
      <c r="D3294" s="17" t="s">
        <v>2542</v>
      </c>
      <c r="E3294" t="str">
        <f>IF(COUNTIF($B$2:B3294,B3294)&gt;1,"Duplicado","Único")</f>
        <v>Duplicado</v>
      </c>
    </row>
    <row r="3295" spans="1:5" x14ac:dyDescent="0.25">
      <c r="A3295" s="15">
        <v>27696</v>
      </c>
      <c r="B3295" s="7">
        <v>72165233</v>
      </c>
      <c r="C3295" s="11">
        <v>45877.479143518503</v>
      </c>
      <c r="D3295" s="17" t="s">
        <v>1291</v>
      </c>
      <c r="E3295" t="str">
        <f>IF(COUNTIF($B$2:B3295,B3295)&gt;1,"Duplicado","Único")</f>
        <v>Único</v>
      </c>
    </row>
    <row r="3296" spans="1:5" x14ac:dyDescent="0.25">
      <c r="A3296" s="15">
        <v>710</v>
      </c>
      <c r="B3296" s="7">
        <v>72173273</v>
      </c>
      <c r="C3296" s="11">
        <v>46086.503067129597</v>
      </c>
      <c r="D3296" s="17" t="s">
        <v>3822</v>
      </c>
      <c r="E3296" t="str">
        <f>IF(COUNTIF($B$2:B3296,B3296)&gt;1,"Duplicado","Único")</f>
        <v>Único</v>
      </c>
    </row>
    <row r="3297" spans="1:5" hidden="1" x14ac:dyDescent="0.25">
      <c r="A3297" s="15">
        <v>710</v>
      </c>
      <c r="B3297" s="7">
        <v>72173273</v>
      </c>
      <c r="C3297" s="11">
        <v>46035.493726851899</v>
      </c>
      <c r="D3297" s="17" t="s">
        <v>3140</v>
      </c>
      <c r="E3297" t="str">
        <f>IF(COUNTIF($B$2:B3297,B3297)&gt;1,"Duplicado","Único")</f>
        <v>Duplicado</v>
      </c>
    </row>
    <row r="3298" spans="1:5" x14ac:dyDescent="0.25">
      <c r="A3298" s="15">
        <v>17068</v>
      </c>
      <c r="B3298" s="7">
        <v>72184935</v>
      </c>
      <c r="C3298" s="11">
        <v>46149.441516203697</v>
      </c>
      <c r="D3298" s="17" t="s">
        <v>4484</v>
      </c>
      <c r="E3298" t="str">
        <f>IF(COUNTIF($B$2:B3298,B3298)&gt;1,"Duplicado","Único")</f>
        <v>Único</v>
      </c>
    </row>
    <row r="3299" spans="1:5" hidden="1" x14ac:dyDescent="0.25">
      <c r="A3299" s="15">
        <v>17068</v>
      </c>
      <c r="B3299" s="7">
        <v>72184935</v>
      </c>
      <c r="C3299" s="11">
        <v>46108.503310185202</v>
      </c>
      <c r="D3299" s="17" t="s">
        <v>4206</v>
      </c>
      <c r="E3299" t="str">
        <f>IF(COUNTIF($B$2:B3299,B3299)&gt;1,"Duplicado","Único")</f>
        <v>Duplicado</v>
      </c>
    </row>
    <row r="3300" spans="1:5" x14ac:dyDescent="0.25">
      <c r="A3300" s="15">
        <v>44646</v>
      </c>
      <c r="B3300" s="7">
        <v>72190110</v>
      </c>
      <c r="C3300" s="11">
        <v>45958.539837962999</v>
      </c>
      <c r="D3300" s="17" t="s">
        <v>2152</v>
      </c>
      <c r="E3300" t="str">
        <f>IF(COUNTIF($B$2:B3300,B3300)&gt;1,"Duplicado","Único")</f>
        <v>Único</v>
      </c>
    </row>
    <row r="3301" spans="1:5" x14ac:dyDescent="0.25">
      <c r="A3301" s="15">
        <v>3138</v>
      </c>
      <c r="B3301" s="7">
        <v>72192486</v>
      </c>
      <c r="C3301" s="11">
        <v>46087.613437499997</v>
      </c>
      <c r="D3301" s="17" t="s">
        <v>4000</v>
      </c>
      <c r="E3301" t="str">
        <f>IF(COUNTIF($B$2:B3301,B3301)&gt;1,"Duplicado","Único")</f>
        <v>Único</v>
      </c>
    </row>
    <row r="3302" spans="1:5" hidden="1" x14ac:dyDescent="0.25">
      <c r="A3302" s="15">
        <v>3138</v>
      </c>
      <c r="B3302" s="7">
        <v>72192486</v>
      </c>
      <c r="C3302" s="11">
        <v>46080.429467592599</v>
      </c>
      <c r="D3302" s="17" t="s">
        <v>3769</v>
      </c>
      <c r="E3302" t="str">
        <f>IF(COUNTIF($B$2:B3302,B3302)&gt;1,"Duplicado","Único")</f>
        <v>Duplicado</v>
      </c>
    </row>
    <row r="3303" spans="1:5" hidden="1" x14ac:dyDescent="0.25">
      <c r="A3303" s="15">
        <v>3138</v>
      </c>
      <c r="B3303" s="7">
        <v>72192486</v>
      </c>
      <c r="C3303" s="11">
        <v>46051.4532638889</v>
      </c>
      <c r="D3303" s="17" t="s">
        <v>3473</v>
      </c>
      <c r="E3303" t="str">
        <f>IF(COUNTIF($B$2:B3303,B3303)&gt;1,"Duplicado","Único")</f>
        <v>Duplicado</v>
      </c>
    </row>
    <row r="3304" spans="1:5" x14ac:dyDescent="0.25">
      <c r="A3304" s="15">
        <v>41510</v>
      </c>
      <c r="B3304" s="7">
        <v>72202147</v>
      </c>
      <c r="C3304" s="11">
        <v>45938.424189814803</v>
      </c>
      <c r="D3304" s="17" t="s">
        <v>1983</v>
      </c>
      <c r="E3304" t="str">
        <f>IF(COUNTIF($B$2:B3304,B3304)&gt;1,"Duplicado","Único")</f>
        <v>Único</v>
      </c>
    </row>
    <row r="3305" spans="1:5" x14ac:dyDescent="0.25">
      <c r="A3305" s="15">
        <v>1776</v>
      </c>
      <c r="B3305" s="7">
        <v>72203563</v>
      </c>
      <c r="C3305" s="11">
        <v>46086.697037037004</v>
      </c>
      <c r="D3305" s="17" t="s">
        <v>3885</v>
      </c>
      <c r="E3305" t="str">
        <f>IF(COUNTIF($B$2:B3305,B3305)&gt;1,"Duplicado","Único")</f>
        <v>Único</v>
      </c>
    </row>
    <row r="3306" spans="1:5" hidden="1" x14ac:dyDescent="0.25">
      <c r="A3306" s="15">
        <v>1776</v>
      </c>
      <c r="B3306" s="7">
        <v>72203563</v>
      </c>
      <c r="C3306" s="11">
        <v>46048.451585648101</v>
      </c>
      <c r="D3306" s="17" t="s">
        <v>3193</v>
      </c>
      <c r="E3306" t="str">
        <f>IF(COUNTIF($B$2:B3306,B3306)&gt;1,"Duplicado","Único")</f>
        <v>Duplicado</v>
      </c>
    </row>
    <row r="3307" spans="1:5" x14ac:dyDescent="0.25">
      <c r="A3307" s="15">
        <v>47248</v>
      </c>
      <c r="B3307" s="7">
        <v>72205557</v>
      </c>
      <c r="C3307" s="11">
        <v>45968.755474537</v>
      </c>
      <c r="D3307" s="17" t="s">
        <v>2403</v>
      </c>
      <c r="E3307" t="str">
        <f>IF(COUNTIF($B$2:B3307,B3307)&gt;1,"Duplicado","Único")</f>
        <v>Único</v>
      </c>
    </row>
    <row r="3308" spans="1:5" x14ac:dyDescent="0.25">
      <c r="A3308" s="15">
        <v>40377</v>
      </c>
      <c r="B3308" s="7">
        <v>72207467</v>
      </c>
      <c r="C3308" s="11">
        <v>45933.662291666697</v>
      </c>
      <c r="D3308" s="17" t="s">
        <v>1921</v>
      </c>
      <c r="E3308" t="str">
        <f>IF(COUNTIF($B$2:B3308,B3308)&gt;1,"Duplicado","Único")</f>
        <v>Único</v>
      </c>
    </row>
    <row r="3309" spans="1:5" x14ac:dyDescent="0.25">
      <c r="A3309" s="15">
        <v>44649</v>
      </c>
      <c r="B3309" s="7">
        <v>72208182</v>
      </c>
      <c r="C3309" s="11">
        <v>45958.541319444397</v>
      </c>
      <c r="D3309" s="17" t="s">
        <v>2153</v>
      </c>
      <c r="E3309" t="str">
        <f>IF(COUNTIF($B$2:B3309,B3309)&gt;1,"Duplicado","Único")</f>
        <v>Único</v>
      </c>
    </row>
    <row r="3310" spans="1:5" x14ac:dyDescent="0.25">
      <c r="A3310" s="15">
        <v>28536</v>
      </c>
      <c r="B3310" s="7">
        <v>72211725</v>
      </c>
      <c r="C3310" s="11">
        <v>45888.577499999999</v>
      </c>
      <c r="D3310" s="17" t="s">
        <v>1340</v>
      </c>
      <c r="E3310" t="str">
        <f>IF(COUNTIF($B$2:B3310,B3310)&gt;1,"Duplicado","Único")</f>
        <v>Único</v>
      </c>
    </row>
    <row r="3311" spans="1:5" x14ac:dyDescent="0.25">
      <c r="A3311" s="15">
        <v>6385</v>
      </c>
      <c r="B3311" s="7">
        <v>72219063</v>
      </c>
      <c r="C3311" s="11">
        <v>46080.401759259301</v>
      </c>
      <c r="D3311" s="17" t="s">
        <v>3768</v>
      </c>
      <c r="E3311" t="str">
        <f>IF(COUNTIF($B$2:B3311,B3311)&gt;1,"Duplicado","Único")</f>
        <v>Único</v>
      </c>
    </row>
    <row r="3312" spans="1:5" hidden="1" x14ac:dyDescent="0.25">
      <c r="A3312" s="15">
        <v>6385</v>
      </c>
      <c r="B3312" s="7">
        <v>72219063</v>
      </c>
      <c r="C3312" s="11">
        <v>46064.540011574099</v>
      </c>
      <c r="D3312" s="17" t="s">
        <v>3756</v>
      </c>
      <c r="E3312" t="str">
        <f>IF(COUNTIF($B$2:B3312,B3312)&gt;1,"Duplicado","Único")</f>
        <v>Duplicado</v>
      </c>
    </row>
    <row r="3313" spans="1:5" x14ac:dyDescent="0.25">
      <c r="A3313" s="15">
        <v>15063</v>
      </c>
      <c r="B3313" s="7">
        <v>72221615</v>
      </c>
      <c r="C3313" s="11">
        <v>46120.609456018501</v>
      </c>
      <c r="D3313" s="17" t="s">
        <v>4297</v>
      </c>
      <c r="E3313" t="str">
        <f>IF(COUNTIF($B$2:B3313,B3313)&gt;1,"Duplicado","Único")</f>
        <v>Único</v>
      </c>
    </row>
    <row r="3314" spans="1:5" hidden="1" x14ac:dyDescent="0.25">
      <c r="A3314" s="15">
        <v>15063</v>
      </c>
      <c r="B3314" s="7">
        <v>72221615</v>
      </c>
      <c r="C3314" s="11">
        <v>46094.500150462998</v>
      </c>
      <c r="D3314" s="17" t="s">
        <v>4062</v>
      </c>
      <c r="E3314" t="str">
        <f>IF(COUNTIF($B$2:B3314,B3314)&gt;1,"Duplicado","Único")</f>
        <v>Duplicado</v>
      </c>
    </row>
    <row r="3315" spans="1:5" hidden="1" x14ac:dyDescent="0.25">
      <c r="A3315" s="15">
        <v>47601</v>
      </c>
      <c r="B3315" s="7">
        <v>72221615</v>
      </c>
      <c r="C3315" s="11">
        <v>45972.448703703703</v>
      </c>
      <c r="D3315" s="17" t="s">
        <v>2433</v>
      </c>
      <c r="E3315" t="str">
        <f>IF(COUNTIF($B$2:B3315,B3315)&gt;1,"Duplicado","Único")</f>
        <v>Duplicado</v>
      </c>
    </row>
    <row r="3316" spans="1:5" x14ac:dyDescent="0.25">
      <c r="A3316" s="15">
        <v>38690</v>
      </c>
      <c r="B3316" s="7">
        <v>72226800</v>
      </c>
      <c r="C3316" s="11">
        <v>45926.417962963002</v>
      </c>
      <c r="D3316" s="17" t="s">
        <v>1842</v>
      </c>
      <c r="E3316" t="str">
        <f>IF(COUNTIF($B$2:B3316,B3316)&gt;1,"Duplicado","Único")</f>
        <v>Único</v>
      </c>
    </row>
    <row r="3317" spans="1:5" x14ac:dyDescent="0.25">
      <c r="A3317" s="15">
        <v>52045</v>
      </c>
      <c r="B3317" s="7">
        <v>72270862</v>
      </c>
      <c r="C3317" s="11">
        <v>46051.510185185201</v>
      </c>
      <c r="D3317" s="17" t="s">
        <v>3510</v>
      </c>
      <c r="E3317" t="str">
        <f>IF(COUNTIF($B$2:B3317,B3317)&gt;1,"Duplicado","Único")</f>
        <v>Único</v>
      </c>
    </row>
    <row r="3318" spans="1:5" hidden="1" x14ac:dyDescent="0.25">
      <c r="A3318" s="15">
        <v>52045</v>
      </c>
      <c r="B3318" s="7">
        <v>72270862</v>
      </c>
      <c r="C3318" s="11">
        <v>46007.395439814798</v>
      </c>
      <c r="D3318" s="17" t="s">
        <v>2933</v>
      </c>
      <c r="E3318" t="str">
        <f>IF(COUNTIF($B$2:B3318,B3318)&gt;1,"Duplicado","Único")</f>
        <v>Duplicado</v>
      </c>
    </row>
    <row r="3319" spans="1:5" x14ac:dyDescent="0.25">
      <c r="A3319" s="15">
        <v>52958</v>
      </c>
      <c r="B3319" s="7">
        <v>72279214</v>
      </c>
      <c r="C3319" s="11">
        <v>46057.405833333301</v>
      </c>
      <c r="D3319" s="17" t="s">
        <v>3684</v>
      </c>
      <c r="E3319" t="str">
        <f>IF(COUNTIF($B$2:B3319,B3319)&gt;1,"Duplicado","Único")</f>
        <v>Único</v>
      </c>
    </row>
    <row r="3320" spans="1:5" hidden="1" x14ac:dyDescent="0.25">
      <c r="A3320" s="15">
        <v>52958</v>
      </c>
      <c r="B3320" s="7">
        <v>72279214</v>
      </c>
      <c r="C3320" s="11">
        <v>46013.430335648103</v>
      </c>
      <c r="D3320" s="17" t="s">
        <v>3006</v>
      </c>
      <c r="E3320" t="str">
        <f>IF(COUNTIF($B$2:B3320,B3320)&gt;1,"Duplicado","Único")</f>
        <v>Duplicado</v>
      </c>
    </row>
    <row r="3321" spans="1:5" x14ac:dyDescent="0.25">
      <c r="A3321" s="15">
        <v>21178</v>
      </c>
      <c r="B3321" s="7">
        <v>72286233</v>
      </c>
      <c r="C3321" s="11">
        <v>45824.378043981502</v>
      </c>
      <c r="D3321" s="17" t="s">
        <v>927</v>
      </c>
      <c r="E3321" t="str">
        <f>IF(COUNTIF($B$2:B3321,B3321)&gt;1,"Duplicado","Único")</f>
        <v>Único</v>
      </c>
    </row>
    <row r="3322" spans="1:5" x14ac:dyDescent="0.25">
      <c r="A3322" s="15">
        <v>44679</v>
      </c>
      <c r="B3322" s="7">
        <v>72289607</v>
      </c>
      <c r="C3322" s="11">
        <v>45958.680578703701</v>
      </c>
      <c r="D3322" s="17" t="s">
        <v>2183</v>
      </c>
      <c r="E3322" t="str">
        <f>IF(COUNTIF($B$2:B3322,B3322)&gt;1,"Duplicado","Único")</f>
        <v>Único</v>
      </c>
    </row>
    <row r="3323" spans="1:5" x14ac:dyDescent="0.25">
      <c r="A3323" s="15">
        <v>44434</v>
      </c>
      <c r="B3323" s="7">
        <v>72290665</v>
      </c>
      <c r="C3323" s="11">
        <v>45958.460069444402</v>
      </c>
      <c r="D3323" s="17" t="s">
        <v>2128</v>
      </c>
      <c r="E3323" t="str">
        <f>IF(COUNTIF($B$2:B3323,B3323)&gt;1,"Duplicado","Único")</f>
        <v>Único</v>
      </c>
    </row>
    <row r="3324" spans="1:5" x14ac:dyDescent="0.25">
      <c r="A3324" s="15">
        <v>49411</v>
      </c>
      <c r="B3324" s="7">
        <v>72292065</v>
      </c>
      <c r="C3324" s="11">
        <v>45981.678622685198</v>
      </c>
      <c r="D3324" s="17" t="s">
        <v>2651</v>
      </c>
      <c r="E3324" t="str">
        <f>IF(COUNTIF($B$2:B3324,B3324)&gt;1,"Duplicado","Único")</f>
        <v>Único</v>
      </c>
    </row>
    <row r="3325" spans="1:5" x14ac:dyDescent="0.25">
      <c r="A3325" s="15">
        <v>30292</v>
      </c>
      <c r="B3325" s="7">
        <v>72293246</v>
      </c>
      <c r="C3325" s="11">
        <v>45901.654409722199</v>
      </c>
      <c r="D3325" s="17" t="s">
        <v>1490</v>
      </c>
      <c r="E3325" t="str">
        <f>IF(COUNTIF($B$2:B3325,B3325)&gt;1,"Duplicado","Único")</f>
        <v>Único</v>
      </c>
    </row>
    <row r="3326" spans="1:5" x14ac:dyDescent="0.25">
      <c r="A3326" s="15">
        <v>18120</v>
      </c>
      <c r="B3326" s="7">
        <v>72297823</v>
      </c>
      <c r="C3326" s="11">
        <v>46149.410868055602</v>
      </c>
      <c r="D3326" s="17" t="s">
        <v>4438</v>
      </c>
      <c r="E3326" t="str">
        <f>IF(COUNTIF($B$2:B3326,B3326)&gt;1,"Duplicado","Único")</f>
        <v>Único</v>
      </c>
    </row>
    <row r="3327" spans="1:5" hidden="1" x14ac:dyDescent="0.25">
      <c r="A3327" s="15">
        <v>18120</v>
      </c>
      <c r="B3327" s="7">
        <v>72297823</v>
      </c>
      <c r="C3327" s="11">
        <v>46118.342557870397</v>
      </c>
      <c r="D3327" s="17" t="s">
        <v>4244</v>
      </c>
      <c r="E3327" t="str">
        <f>IF(COUNTIF($B$2:B3327,B3327)&gt;1,"Duplicado","Único")</f>
        <v>Duplicado</v>
      </c>
    </row>
    <row r="3328" spans="1:5" x14ac:dyDescent="0.25">
      <c r="A3328" s="15">
        <v>51285</v>
      </c>
      <c r="B3328" s="7">
        <v>72308345</v>
      </c>
      <c r="C3328" s="11">
        <v>46086.358414351896</v>
      </c>
      <c r="D3328" s="17" t="s">
        <v>3789</v>
      </c>
      <c r="E3328" t="str">
        <f>IF(COUNTIF($B$2:B3328,B3328)&gt;1,"Duplicado","Único")</f>
        <v>Único</v>
      </c>
    </row>
    <row r="3329" spans="1:5" hidden="1" x14ac:dyDescent="0.25">
      <c r="A3329" s="15">
        <v>51285</v>
      </c>
      <c r="B3329" s="7">
        <v>72308345</v>
      </c>
      <c r="C3329" s="11">
        <v>46002.3812847222</v>
      </c>
      <c r="D3329" s="17" t="s">
        <v>2864</v>
      </c>
      <c r="E3329" t="str">
        <f>IF(COUNTIF($B$2:B3329,B3329)&gt;1,"Duplicado","Único")</f>
        <v>Duplicado</v>
      </c>
    </row>
    <row r="3330" spans="1:5" x14ac:dyDescent="0.25">
      <c r="A3330" s="15">
        <v>21533</v>
      </c>
      <c r="B3330" s="7">
        <v>72334643</v>
      </c>
      <c r="C3330" s="11">
        <v>45825.355682870402</v>
      </c>
      <c r="D3330" s="17" t="s">
        <v>943</v>
      </c>
      <c r="E3330" t="str">
        <f>IF(COUNTIF($B$2:B3330,B3330)&gt;1,"Duplicado","Único")</f>
        <v>Único</v>
      </c>
    </row>
    <row r="3331" spans="1:5" x14ac:dyDescent="0.25">
      <c r="A3331" s="15">
        <v>53827</v>
      </c>
      <c r="B3331" s="7">
        <v>72346570</v>
      </c>
      <c r="C3331" s="11">
        <v>46057.4066550926</v>
      </c>
      <c r="D3331" s="17" t="s">
        <v>3685</v>
      </c>
      <c r="E3331" t="str">
        <f>IF(COUNTIF($B$2:B3331,B3331)&gt;1,"Duplicado","Único")</f>
        <v>Único</v>
      </c>
    </row>
    <row r="3332" spans="1:5" hidden="1" x14ac:dyDescent="0.25">
      <c r="A3332" s="15">
        <v>53827</v>
      </c>
      <c r="B3332" s="7">
        <v>72346570</v>
      </c>
      <c r="C3332" s="11">
        <v>46013.635949074102</v>
      </c>
      <c r="D3332" s="17" t="s">
        <v>3053</v>
      </c>
      <c r="E3332" t="str">
        <f>IF(COUNTIF($B$2:B3332,B3332)&gt;1,"Duplicado","Único")</f>
        <v>Duplicado</v>
      </c>
    </row>
    <row r="3333" spans="1:5" x14ac:dyDescent="0.25">
      <c r="A3333" s="15">
        <v>3054</v>
      </c>
      <c r="B3333" s="7">
        <v>72346905</v>
      </c>
      <c r="C3333" s="11">
        <v>46086.746516203697</v>
      </c>
      <c r="D3333" s="17" t="s">
        <v>3935</v>
      </c>
      <c r="E3333" t="str">
        <f>IF(COUNTIF($B$2:B3333,B3333)&gt;1,"Duplicado","Único")</f>
        <v>Único</v>
      </c>
    </row>
    <row r="3334" spans="1:5" hidden="1" x14ac:dyDescent="0.25">
      <c r="A3334" s="15">
        <v>3054</v>
      </c>
      <c r="B3334" s="7">
        <v>72346905</v>
      </c>
      <c r="C3334" s="11">
        <v>46051.406284722201</v>
      </c>
      <c r="D3334" s="17" t="s">
        <v>3443</v>
      </c>
      <c r="E3334" t="str">
        <f>IF(COUNTIF($B$2:B3334,B3334)&gt;1,"Duplicado","Único")</f>
        <v>Duplicado</v>
      </c>
    </row>
    <row r="3335" spans="1:5" x14ac:dyDescent="0.25">
      <c r="A3335" s="15">
        <v>25270</v>
      </c>
      <c r="B3335" s="7">
        <v>73079686</v>
      </c>
      <c r="C3335" s="11">
        <v>45860.417534722197</v>
      </c>
      <c r="D3335" s="17" t="s">
        <v>1119</v>
      </c>
      <c r="E3335" t="str">
        <f>IF(COUNTIF($B$2:B3335,B3335)&gt;1,"Duplicado","Único")</f>
        <v>Único</v>
      </c>
    </row>
    <row r="3336" spans="1:5" x14ac:dyDescent="0.25">
      <c r="A3336" s="15">
        <v>1842</v>
      </c>
      <c r="B3336" s="7">
        <v>73092761</v>
      </c>
      <c r="C3336" s="11">
        <v>46086.697731481501</v>
      </c>
      <c r="D3336" s="17" t="s">
        <v>3886</v>
      </c>
      <c r="E3336" t="str">
        <f>IF(COUNTIF($B$2:B3336,B3336)&gt;1,"Duplicado","Único")</f>
        <v>Único</v>
      </c>
    </row>
    <row r="3337" spans="1:5" hidden="1" x14ac:dyDescent="0.25">
      <c r="A3337" s="15">
        <v>1842</v>
      </c>
      <c r="B3337" s="7">
        <v>73092761</v>
      </c>
      <c r="C3337" s="11">
        <v>46048.4839236111</v>
      </c>
      <c r="D3337" s="17" t="s">
        <v>3197</v>
      </c>
      <c r="E3337" t="str">
        <f>IF(COUNTIF($B$2:B3337,B3337)&gt;1,"Duplicado","Único")</f>
        <v>Duplicado</v>
      </c>
    </row>
    <row r="3338" spans="1:5" x14ac:dyDescent="0.25">
      <c r="A3338" s="15">
        <v>39115</v>
      </c>
      <c r="B3338" s="7">
        <v>73133976</v>
      </c>
      <c r="C3338" s="11">
        <v>45929.594837962999</v>
      </c>
      <c r="D3338" s="17" t="s">
        <v>1865</v>
      </c>
      <c r="E3338" t="str">
        <f>IF(COUNTIF($B$2:B3338,B3338)&gt;1,"Duplicado","Único")</f>
        <v>Único</v>
      </c>
    </row>
    <row r="3339" spans="1:5" x14ac:dyDescent="0.25">
      <c r="A3339" s="15">
        <v>13495</v>
      </c>
      <c r="B3339" s="7">
        <v>7315122</v>
      </c>
      <c r="C3339" s="11">
        <v>46087.606817129599</v>
      </c>
      <c r="D3339" s="17" t="s">
        <v>3999</v>
      </c>
      <c r="E3339" t="str">
        <f>IF(COUNTIF($B$2:B3339,B3339)&gt;1,"Duplicado","Único")</f>
        <v>Único</v>
      </c>
    </row>
    <row r="3340" spans="1:5" hidden="1" x14ac:dyDescent="0.25">
      <c r="A3340" s="15">
        <v>13495</v>
      </c>
      <c r="B3340" s="7">
        <v>7315122</v>
      </c>
      <c r="C3340" s="11">
        <v>46084.439525463</v>
      </c>
      <c r="D3340" s="17" t="s">
        <v>929</v>
      </c>
      <c r="E3340" t="str">
        <f>IF(COUNTIF($B$2:B3340,B3340)&gt;1,"Duplicado","Único")</f>
        <v>Duplicado</v>
      </c>
    </row>
    <row r="3341" spans="1:5" x14ac:dyDescent="0.25">
      <c r="A3341" s="15">
        <v>15036</v>
      </c>
      <c r="B3341" s="7">
        <v>73155325</v>
      </c>
      <c r="C3341" s="11">
        <v>46120.610173611101</v>
      </c>
      <c r="D3341" s="17" t="s">
        <v>4298</v>
      </c>
      <c r="E3341" t="str">
        <f>IF(COUNTIF($B$2:B3341,B3341)&gt;1,"Duplicado","Único")</f>
        <v>Único</v>
      </c>
    </row>
    <row r="3342" spans="1:5" hidden="1" x14ac:dyDescent="0.25">
      <c r="A3342" s="15">
        <v>15036</v>
      </c>
      <c r="B3342" s="7">
        <v>73155325</v>
      </c>
      <c r="C3342" s="11">
        <v>46094.4987384259</v>
      </c>
      <c r="D3342" s="17" t="s">
        <v>4060</v>
      </c>
      <c r="E3342" t="str">
        <f>IF(COUNTIF($B$2:B3342,B3342)&gt;1,"Duplicado","Único")</f>
        <v>Duplicado</v>
      </c>
    </row>
    <row r="3343" spans="1:5" x14ac:dyDescent="0.25">
      <c r="A3343" s="15">
        <v>21958</v>
      </c>
      <c r="B3343" s="7">
        <v>73160051</v>
      </c>
      <c r="C3343" s="11">
        <v>45834.599849537</v>
      </c>
      <c r="D3343" s="17" t="s">
        <v>979</v>
      </c>
      <c r="E3343" t="str">
        <f>IF(COUNTIF($B$2:B3343,B3343)&gt;1,"Duplicado","Único")</f>
        <v>Único</v>
      </c>
    </row>
    <row r="3344" spans="1:5" x14ac:dyDescent="0.25">
      <c r="A3344" s="15">
        <v>14963</v>
      </c>
      <c r="B3344" s="7">
        <v>73161974</v>
      </c>
      <c r="C3344" s="11">
        <v>46120.610648148097</v>
      </c>
      <c r="D3344" s="17" t="s">
        <v>4299</v>
      </c>
      <c r="E3344" t="str">
        <f>IF(COUNTIF($B$2:B3344,B3344)&gt;1,"Duplicado","Único")</f>
        <v>Único</v>
      </c>
    </row>
    <row r="3345" spans="1:5" hidden="1" x14ac:dyDescent="0.25">
      <c r="A3345" s="15">
        <v>14963</v>
      </c>
      <c r="B3345" s="7">
        <v>73161974</v>
      </c>
      <c r="C3345" s="11">
        <v>46094.491134259297</v>
      </c>
      <c r="D3345" s="17" t="s">
        <v>4050</v>
      </c>
      <c r="E3345" t="str">
        <f>IF(COUNTIF($B$2:B3345,B3345)&gt;1,"Duplicado","Único")</f>
        <v>Duplicado</v>
      </c>
    </row>
    <row r="3346" spans="1:5" x14ac:dyDescent="0.25">
      <c r="A3346" s="15">
        <v>52895</v>
      </c>
      <c r="B3346" s="7">
        <v>73183596</v>
      </c>
      <c r="C3346" s="11">
        <v>46051.613912036999</v>
      </c>
      <c r="D3346" s="17" t="s">
        <v>3540</v>
      </c>
      <c r="E3346" t="str">
        <f>IF(COUNTIF($B$2:B3346,B3346)&gt;1,"Duplicado","Único")</f>
        <v>Único</v>
      </c>
    </row>
    <row r="3347" spans="1:5" hidden="1" x14ac:dyDescent="0.25">
      <c r="A3347" s="15">
        <v>52895</v>
      </c>
      <c r="B3347" s="7">
        <v>73183596</v>
      </c>
      <c r="C3347" s="11">
        <v>46009.392812500002</v>
      </c>
      <c r="D3347" s="17" t="s">
        <v>2975</v>
      </c>
      <c r="E3347" t="str">
        <f>IF(COUNTIF($B$2:B3347,B3347)&gt;1,"Duplicado","Único")</f>
        <v>Duplicado</v>
      </c>
    </row>
    <row r="3348" spans="1:5" x14ac:dyDescent="0.25">
      <c r="A3348" s="15">
        <v>53613</v>
      </c>
      <c r="B3348" s="7">
        <v>73186028</v>
      </c>
      <c r="C3348" s="11">
        <v>46057.364965277797</v>
      </c>
      <c r="D3348" s="17" t="s">
        <v>3649</v>
      </c>
      <c r="E3348" t="str">
        <f>IF(COUNTIF($B$2:B3348,B3348)&gt;1,"Duplicado","Único")</f>
        <v>Único</v>
      </c>
    </row>
    <row r="3349" spans="1:5" hidden="1" x14ac:dyDescent="0.25">
      <c r="A3349" s="15">
        <v>53613</v>
      </c>
      <c r="B3349" s="7">
        <v>73186028</v>
      </c>
      <c r="C3349" s="11">
        <v>46013.490196759303</v>
      </c>
      <c r="D3349" s="17" t="s">
        <v>3025</v>
      </c>
      <c r="E3349" t="str">
        <f>IF(COUNTIF($B$2:B3349,B3349)&gt;1,"Duplicado","Único")</f>
        <v>Duplicado</v>
      </c>
    </row>
    <row r="3350" spans="1:5" x14ac:dyDescent="0.25">
      <c r="A3350" s="15">
        <v>46109</v>
      </c>
      <c r="B3350" s="7">
        <v>73189636</v>
      </c>
      <c r="C3350" s="11">
        <v>45965.511597222197</v>
      </c>
      <c r="D3350" s="17" t="s">
        <v>2319</v>
      </c>
      <c r="E3350" t="str">
        <f>IF(COUNTIF($B$2:B3350,B3350)&gt;1,"Duplicado","Único")</f>
        <v>Único</v>
      </c>
    </row>
    <row r="3351" spans="1:5" x14ac:dyDescent="0.25">
      <c r="A3351" s="15">
        <v>32061</v>
      </c>
      <c r="B3351" s="7">
        <v>73192565</v>
      </c>
      <c r="C3351" s="11">
        <v>45908.3663773148</v>
      </c>
      <c r="D3351" s="17" t="s">
        <v>1587</v>
      </c>
      <c r="E3351" t="str">
        <f>IF(COUNTIF($B$2:B3351,B3351)&gt;1,"Duplicado","Único")</f>
        <v>Único</v>
      </c>
    </row>
    <row r="3352" spans="1:5" x14ac:dyDescent="0.25">
      <c r="A3352" s="15">
        <v>53818</v>
      </c>
      <c r="B3352" s="7">
        <v>73208308</v>
      </c>
      <c r="C3352" s="11">
        <v>46057.4075578704</v>
      </c>
      <c r="D3352" s="17" t="s">
        <v>3686</v>
      </c>
      <c r="E3352" t="str">
        <f>IF(COUNTIF($B$2:B3352,B3352)&gt;1,"Duplicado","Único")</f>
        <v>Único</v>
      </c>
    </row>
    <row r="3353" spans="1:5" hidden="1" x14ac:dyDescent="0.25">
      <c r="A3353" s="15">
        <v>53818</v>
      </c>
      <c r="B3353" s="7">
        <v>73208308</v>
      </c>
      <c r="C3353" s="11">
        <v>46013.615509259304</v>
      </c>
      <c r="D3353" s="17" t="s">
        <v>3047</v>
      </c>
      <c r="E3353" t="str">
        <f>IF(COUNTIF($B$2:B3353,B3353)&gt;1,"Duplicado","Único")</f>
        <v>Duplicado</v>
      </c>
    </row>
    <row r="3354" spans="1:5" x14ac:dyDescent="0.25">
      <c r="A3354" s="15">
        <v>26423</v>
      </c>
      <c r="B3354" s="7">
        <v>73208548</v>
      </c>
      <c r="C3354" s="11">
        <v>45867.444039351903</v>
      </c>
      <c r="D3354" s="17" t="s">
        <v>1202</v>
      </c>
      <c r="E3354" t="str">
        <f>IF(COUNTIF($B$2:B3354,B3354)&gt;1,"Duplicado","Único")</f>
        <v>Único</v>
      </c>
    </row>
    <row r="3355" spans="1:5" x14ac:dyDescent="0.25">
      <c r="A3355" s="15">
        <v>31439</v>
      </c>
      <c r="B3355" s="7">
        <v>73211760</v>
      </c>
      <c r="C3355" s="11">
        <v>45904.648194444402</v>
      </c>
      <c r="D3355" s="17" t="s">
        <v>1532</v>
      </c>
      <c r="E3355" t="str">
        <f>IF(COUNTIF($B$2:B3355,B3355)&gt;1,"Duplicado","Único")</f>
        <v>Único</v>
      </c>
    </row>
    <row r="3356" spans="1:5" x14ac:dyDescent="0.25">
      <c r="A3356" s="15">
        <v>21583</v>
      </c>
      <c r="B3356" s="7">
        <v>73215391</v>
      </c>
      <c r="C3356" s="11">
        <v>45825.371736111098</v>
      </c>
      <c r="D3356" s="17" t="s">
        <v>947</v>
      </c>
      <c r="E3356" t="str">
        <f>IF(COUNTIF($B$2:B3356,B3356)&gt;1,"Duplicado","Único")</f>
        <v>Único</v>
      </c>
    </row>
    <row r="3357" spans="1:5" x14ac:dyDescent="0.25">
      <c r="A3357" s="15">
        <v>52251</v>
      </c>
      <c r="B3357" s="7">
        <v>73230553</v>
      </c>
      <c r="C3357" s="11">
        <v>46051.510706018496</v>
      </c>
      <c r="D3357" s="17" t="s">
        <v>3511</v>
      </c>
      <c r="E3357" t="str">
        <f>IF(COUNTIF($B$2:B3357,B3357)&gt;1,"Duplicado","Único")</f>
        <v>Único</v>
      </c>
    </row>
    <row r="3358" spans="1:5" hidden="1" x14ac:dyDescent="0.25">
      <c r="A3358" s="15">
        <v>52251</v>
      </c>
      <c r="B3358" s="7">
        <v>73230553</v>
      </c>
      <c r="C3358" s="11">
        <v>46007.4969444444</v>
      </c>
      <c r="D3358" s="17" t="s">
        <v>2953</v>
      </c>
      <c r="E3358" t="str">
        <f>IF(COUNTIF($B$2:B3358,B3358)&gt;1,"Duplicado","Único")</f>
        <v>Duplicado</v>
      </c>
    </row>
    <row r="3359" spans="1:5" x14ac:dyDescent="0.25">
      <c r="A3359" s="15">
        <v>50250</v>
      </c>
      <c r="B3359" s="7">
        <v>73240758</v>
      </c>
      <c r="C3359" s="11">
        <v>46050.516770833303</v>
      </c>
      <c r="D3359" s="17" t="s">
        <v>3287</v>
      </c>
      <c r="E3359" t="str">
        <f>IF(COUNTIF($B$2:B3359,B3359)&gt;1,"Duplicado","Único")</f>
        <v>Único</v>
      </c>
    </row>
    <row r="3360" spans="1:5" hidden="1" x14ac:dyDescent="0.25">
      <c r="A3360" s="15">
        <v>50250</v>
      </c>
      <c r="B3360" s="7">
        <v>73240758</v>
      </c>
      <c r="C3360" s="11">
        <v>45987.452291666697</v>
      </c>
      <c r="D3360" s="17" t="s">
        <v>2738</v>
      </c>
      <c r="E3360" t="str">
        <f>IF(COUNTIF($B$2:B3360,B3360)&gt;1,"Duplicado","Único")</f>
        <v>Duplicado</v>
      </c>
    </row>
    <row r="3361" spans="1:5" x14ac:dyDescent="0.25">
      <c r="A3361" s="15">
        <v>20399</v>
      </c>
      <c r="B3361" s="7">
        <v>7332188</v>
      </c>
      <c r="C3361" s="11">
        <v>45820.463287036997</v>
      </c>
      <c r="D3361" s="17" t="s">
        <v>883</v>
      </c>
      <c r="E3361" t="str">
        <f>IF(COUNTIF($B$2:B3361,B3361)&gt;1,"Duplicado","Único")</f>
        <v>Único</v>
      </c>
    </row>
    <row r="3362" spans="1:5" x14ac:dyDescent="0.25">
      <c r="A3362" s="15">
        <v>54994</v>
      </c>
      <c r="B3362" s="7">
        <v>73375805</v>
      </c>
      <c r="C3362" s="11">
        <v>46086.454259259299</v>
      </c>
      <c r="D3362" s="17" t="s">
        <v>3791</v>
      </c>
      <c r="E3362" t="str">
        <f>IF(COUNTIF($B$2:B3362,B3362)&gt;1,"Duplicado","Único")</f>
        <v>Único</v>
      </c>
    </row>
    <row r="3363" spans="1:5" hidden="1" x14ac:dyDescent="0.25">
      <c r="A3363" s="15">
        <v>54994</v>
      </c>
      <c r="B3363" s="7">
        <v>73375805</v>
      </c>
      <c r="C3363" s="11">
        <v>46020.613229166702</v>
      </c>
      <c r="D3363" s="17" t="s">
        <v>3101</v>
      </c>
      <c r="E3363" t="str">
        <f>IF(COUNTIF($B$2:B3363,B3363)&gt;1,"Duplicado","Único")</f>
        <v>Duplicado</v>
      </c>
    </row>
    <row r="3364" spans="1:5" x14ac:dyDescent="0.25">
      <c r="A3364" s="15">
        <v>28890</v>
      </c>
      <c r="B3364" s="7">
        <v>73429037</v>
      </c>
      <c r="C3364" s="11">
        <v>45890.597592592603</v>
      </c>
      <c r="D3364" s="17" t="s">
        <v>1367</v>
      </c>
      <c r="E3364" t="str">
        <f>IF(COUNTIF($B$2:B3364,B3364)&gt;1,"Duplicado","Único")</f>
        <v>Único</v>
      </c>
    </row>
    <row r="3365" spans="1:5" x14ac:dyDescent="0.25">
      <c r="A3365" s="15">
        <v>18683</v>
      </c>
      <c r="B3365" s="7">
        <v>73550366</v>
      </c>
      <c r="C3365" s="11">
        <v>45803.663090277798</v>
      </c>
      <c r="D3365" s="17" t="s">
        <v>778</v>
      </c>
      <c r="E3365" t="str">
        <f>IF(COUNTIF($B$2:B3365,B3365)&gt;1,"Duplicado","Único")</f>
        <v>Único</v>
      </c>
    </row>
    <row r="3366" spans="1:5" x14ac:dyDescent="0.25">
      <c r="A3366" s="15">
        <v>18504</v>
      </c>
      <c r="B3366" s="7">
        <v>73558940</v>
      </c>
      <c r="C3366" s="11">
        <v>45813.523553240702</v>
      </c>
      <c r="D3366" s="17" t="s">
        <v>803</v>
      </c>
      <c r="E3366" t="str">
        <f>IF(COUNTIF($B$2:B3366,B3366)&gt;1,"Duplicado","Único")</f>
        <v>Único</v>
      </c>
    </row>
    <row r="3367" spans="1:5" hidden="1" x14ac:dyDescent="0.25">
      <c r="A3367" s="15">
        <v>18504</v>
      </c>
      <c r="B3367" s="7">
        <v>73558940</v>
      </c>
      <c r="C3367" s="11">
        <v>45803.438680555599</v>
      </c>
      <c r="D3367" s="17" t="s">
        <v>771</v>
      </c>
      <c r="E3367" t="str">
        <f>IF(COUNTIF($B$2:B3367,B3367)&gt;1,"Duplicado","Único")</f>
        <v>Duplicado</v>
      </c>
    </row>
    <row r="3368" spans="1:5" x14ac:dyDescent="0.25">
      <c r="A3368" s="15">
        <v>49242</v>
      </c>
      <c r="B3368" s="7">
        <v>73572605</v>
      </c>
      <c r="C3368" s="11">
        <v>45981.407743055599</v>
      </c>
      <c r="D3368" s="17" t="s">
        <v>2634</v>
      </c>
      <c r="E3368" t="str">
        <f>IF(COUNTIF($B$2:B3368,B3368)&gt;1,"Duplicado","Único")</f>
        <v>Único</v>
      </c>
    </row>
    <row r="3369" spans="1:5" x14ac:dyDescent="0.25">
      <c r="A3369" s="15">
        <v>55451</v>
      </c>
      <c r="B3369" s="7">
        <v>73580419</v>
      </c>
      <c r="C3369" s="11">
        <v>46139.424085648097</v>
      </c>
      <c r="D3369" s="17" t="s">
        <v>4432</v>
      </c>
      <c r="E3369" t="str">
        <f>IF(COUNTIF($B$2:B3369,B3369)&gt;1,"Duplicado","Único")</f>
        <v>Único</v>
      </c>
    </row>
    <row r="3370" spans="1:5" hidden="1" x14ac:dyDescent="0.25">
      <c r="A3370" s="15">
        <v>55451</v>
      </c>
      <c r="B3370" s="7">
        <v>73580419</v>
      </c>
      <c r="C3370" s="11">
        <v>46022.381666666697</v>
      </c>
      <c r="D3370" s="17" t="s">
        <v>3111</v>
      </c>
      <c r="E3370" t="str">
        <f>IF(COUNTIF($B$2:B3370,B3370)&gt;1,"Duplicado","Único")</f>
        <v>Duplicado</v>
      </c>
    </row>
    <row r="3371" spans="1:5" x14ac:dyDescent="0.25">
      <c r="A3371" s="15">
        <v>39223</v>
      </c>
      <c r="B3371" s="7">
        <v>74084818</v>
      </c>
      <c r="C3371" s="11">
        <v>45930.503078703703</v>
      </c>
      <c r="D3371" s="17" t="s">
        <v>1892</v>
      </c>
      <c r="E3371" t="str">
        <f>IF(COUNTIF($B$2:B3371,B3371)&gt;1,"Duplicado","Único")</f>
        <v>Único</v>
      </c>
    </row>
    <row r="3372" spans="1:5" x14ac:dyDescent="0.25">
      <c r="A3372" s="15">
        <v>46685</v>
      </c>
      <c r="B3372" s="7">
        <v>74181797</v>
      </c>
      <c r="C3372" s="11">
        <v>45967.626990740697</v>
      </c>
      <c r="D3372" s="17" t="s">
        <v>2348</v>
      </c>
      <c r="E3372" t="str">
        <f>IF(COUNTIF($B$2:B3372,B3372)&gt;1,"Duplicado","Único")</f>
        <v>Único</v>
      </c>
    </row>
    <row r="3373" spans="1:5" x14ac:dyDescent="0.25">
      <c r="A3373" s="15">
        <v>26712</v>
      </c>
      <c r="B3373" s="7">
        <v>74181969</v>
      </c>
      <c r="C3373" s="11">
        <v>45867.623506944401</v>
      </c>
      <c r="D3373" s="17" t="s">
        <v>1218</v>
      </c>
      <c r="E3373" t="str">
        <f>IF(COUNTIF($B$2:B3373,B3373)&gt;1,"Duplicado","Único")</f>
        <v>Único</v>
      </c>
    </row>
    <row r="3374" spans="1:5" x14ac:dyDescent="0.25">
      <c r="A3374" s="15">
        <v>15198</v>
      </c>
      <c r="B3374" s="7">
        <v>74186873</v>
      </c>
      <c r="C3374" s="11">
        <v>46120.611168981501</v>
      </c>
      <c r="D3374" s="17" t="s">
        <v>4300</v>
      </c>
      <c r="E3374" t="str">
        <f>IF(COUNTIF($B$2:B3374,B3374)&gt;1,"Duplicado","Único")</f>
        <v>Único</v>
      </c>
    </row>
    <row r="3375" spans="1:5" hidden="1" x14ac:dyDescent="0.25">
      <c r="A3375" s="15">
        <v>15198</v>
      </c>
      <c r="B3375" s="7">
        <v>74186873</v>
      </c>
      <c r="C3375" s="11">
        <v>46094.505937499998</v>
      </c>
      <c r="D3375" s="17" t="s">
        <v>4069</v>
      </c>
      <c r="E3375" t="str">
        <f>IF(COUNTIF($B$2:B3375,B3375)&gt;1,"Duplicado","Único")</f>
        <v>Duplicado</v>
      </c>
    </row>
    <row r="3376" spans="1:5" x14ac:dyDescent="0.25">
      <c r="A3376" s="15">
        <v>39251</v>
      </c>
      <c r="B3376" s="7">
        <v>74187094</v>
      </c>
      <c r="C3376" s="11">
        <v>45930.375601851898</v>
      </c>
      <c r="D3376" s="17" t="s">
        <v>1873</v>
      </c>
      <c r="E3376" t="str">
        <f>IF(COUNTIF($B$2:B3376,B3376)&gt;1,"Duplicado","Único")</f>
        <v>Único</v>
      </c>
    </row>
    <row r="3377" spans="1:5" x14ac:dyDescent="0.25">
      <c r="A3377" s="15">
        <v>54451</v>
      </c>
      <c r="B3377" s="7">
        <v>74338924</v>
      </c>
      <c r="C3377" s="11">
        <v>46057.442129629599</v>
      </c>
      <c r="D3377" s="17" t="s">
        <v>3714</v>
      </c>
      <c r="E3377" t="str">
        <f>IF(COUNTIF($B$2:B3377,B3377)&gt;1,"Duplicado","Único")</f>
        <v>Único</v>
      </c>
    </row>
    <row r="3378" spans="1:5" hidden="1" x14ac:dyDescent="0.25">
      <c r="A3378" s="15">
        <v>54451</v>
      </c>
      <c r="B3378" s="7">
        <v>74338924</v>
      </c>
      <c r="C3378" s="11">
        <v>46015.433356481502</v>
      </c>
      <c r="D3378" s="17" t="s">
        <v>3079</v>
      </c>
      <c r="E3378" t="str">
        <f>IF(COUNTIF($B$2:B3378,B3378)&gt;1,"Duplicado","Único")</f>
        <v>Duplicado</v>
      </c>
    </row>
    <row r="3379" spans="1:5" x14ac:dyDescent="0.25">
      <c r="A3379" s="15">
        <v>51427</v>
      </c>
      <c r="B3379" s="7">
        <v>74371295</v>
      </c>
      <c r="C3379" s="11">
        <v>46051.457372685203</v>
      </c>
      <c r="D3379" s="17" t="s">
        <v>3477</v>
      </c>
      <c r="E3379" t="str">
        <f>IF(COUNTIF($B$2:B3379,B3379)&gt;1,"Duplicado","Único")</f>
        <v>Único</v>
      </c>
    </row>
    <row r="3380" spans="1:5" hidden="1" x14ac:dyDescent="0.25">
      <c r="A3380" s="15">
        <v>51427</v>
      </c>
      <c r="B3380" s="7">
        <v>74371295</v>
      </c>
      <c r="C3380" s="11">
        <v>46002.619386574101</v>
      </c>
      <c r="D3380" s="17" t="s">
        <v>2888</v>
      </c>
      <c r="E3380" t="str">
        <f>IF(COUNTIF($B$2:B3380,B3380)&gt;1,"Duplicado","Único")</f>
        <v>Duplicado</v>
      </c>
    </row>
    <row r="3381" spans="1:5" x14ac:dyDescent="0.25">
      <c r="A3381" s="15">
        <v>42920</v>
      </c>
      <c r="B3381" s="7">
        <v>74375952</v>
      </c>
      <c r="C3381" s="11">
        <v>45954.6093287037</v>
      </c>
      <c r="D3381" s="17" t="s">
        <v>2069</v>
      </c>
      <c r="E3381" t="str">
        <f>IF(COUNTIF($B$2:B3381,B3381)&gt;1,"Duplicado","Único")</f>
        <v>Único</v>
      </c>
    </row>
    <row r="3382" spans="1:5" x14ac:dyDescent="0.25">
      <c r="A3382" s="15">
        <v>44642</v>
      </c>
      <c r="B3382" s="7">
        <v>7450245</v>
      </c>
      <c r="C3382" s="11">
        <v>45958.537731481498</v>
      </c>
      <c r="D3382" s="17" t="s">
        <v>2151</v>
      </c>
      <c r="E3382" t="str">
        <f>IF(COUNTIF($B$2:B3382,B3382)&gt;1,"Duplicado","Único")</f>
        <v>Único</v>
      </c>
    </row>
    <row r="3383" spans="1:5" x14ac:dyDescent="0.25">
      <c r="A3383" s="15">
        <v>42709</v>
      </c>
      <c r="B3383" s="7">
        <v>74755405</v>
      </c>
      <c r="C3383" s="11">
        <v>45953.523090277798</v>
      </c>
      <c r="D3383" s="17" t="s">
        <v>2052</v>
      </c>
      <c r="E3383" t="str">
        <f>IF(COUNTIF($B$2:B3383,B3383)&gt;1,"Duplicado","Único")</f>
        <v>Único</v>
      </c>
    </row>
    <row r="3384" spans="1:5" x14ac:dyDescent="0.25">
      <c r="A3384" s="15">
        <v>16806</v>
      </c>
      <c r="B3384" s="7">
        <v>75065982</v>
      </c>
      <c r="C3384" s="11">
        <v>46149.441898148201</v>
      </c>
      <c r="D3384" s="17" t="s">
        <v>4485</v>
      </c>
      <c r="E3384" t="str">
        <f>IF(COUNTIF($B$2:B3384,B3384)&gt;1,"Duplicado","Único")</f>
        <v>Único</v>
      </c>
    </row>
    <row r="3385" spans="1:5" hidden="1" x14ac:dyDescent="0.25">
      <c r="A3385" s="15">
        <v>16806</v>
      </c>
      <c r="B3385" s="7">
        <v>75065982</v>
      </c>
      <c r="C3385" s="11">
        <v>46108.4924537037</v>
      </c>
      <c r="D3385" s="17" t="s">
        <v>4193</v>
      </c>
      <c r="E3385" t="str">
        <f>IF(COUNTIF($B$2:B3385,B3385)&gt;1,"Duplicado","Único")</f>
        <v>Duplicado</v>
      </c>
    </row>
    <row r="3386" spans="1:5" x14ac:dyDescent="0.25">
      <c r="A3386" s="15">
        <v>16502</v>
      </c>
      <c r="B3386" s="7">
        <v>75074526</v>
      </c>
      <c r="C3386" s="11">
        <v>46121.436504629601</v>
      </c>
      <c r="D3386" s="17" t="s">
        <v>4371</v>
      </c>
      <c r="E3386" t="str">
        <f>IF(COUNTIF($B$2:B3386,B3386)&gt;1,"Duplicado","Único")</f>
        <v>Único</v>
      </c>
    </row>
    <row r="3387" spans="1:5" hidden="1" x14ac:dyDescent="0.25">
      <c r="A3387" s="15">
        <v>16502</v>
      </c>
      <c r="B3387" s="7">
        <v>75074526</v>
      </c>
      <c r="C3387" s="11">
        <v>46101.825567129599</v>
      </c>
      <c r="D3387" s="17" t="s">
        <v>4158</v>
      </c>
      <c r="E3387" t="str">
        <f>IF(COUNTIF($B$2:B3387,B3387)&gt;1,"Duplicado","Único")</f>
        <v>Duplicado</v>
      </c>
    </row>
    <row r="3388" spans="1:5" x14ac:dyDescent="0.25">
      <c r="A3388" s="15">
        <v>41451</v>
      </c>
      <c r="B3388" s="7">
        <v>75081637</v>
      </c>
      <c r="C3388" s="11">
        <v>45938.413449074098</v>
      </c>
      <c r="D3388" s="17" t="s">
        <v>1978</v>
      </c>
      <c r="E3388" t="str">
        <f>IF(COUNTIF($B$2:B3388,B3388)&gt;1,"Duplicado","Único")</f>
        <v>Único</v>
      </c>
    </row>
    <row r="3389" spans="1:5" x14ac:dyDescent="0.25">
      <c r="A3389" s="15">
        <v>15661</v>
      </c>
      <c r="B3389" s="7">
        <v>75090362</v>
      </c>
      <c r="C3389" s="11">
        <v>46121.437465277799</v>
      </c>
      <c r="D3389" s="17" t="s">
        <v>4372</v>
      </c>
      <c r="E3389" t="str">
        <f>IF(COUNTIF($B$2:B3389,B3389)&gt;1,"Duplicado","Único")</f>
        <v>Único</v>
      </c>
    </row>
    <row r="3390" spans="1:5" hidden="1" x14ac:dyDescent="0.25">
      <c r="A3390" s="15">
        <v>15661</v>
      </c>
      <c r="B3390" s="7">
        <v>75090362</v>
      </c>
      <c r="C3390" s="11">
        <v>46101.671307870398</v>
      </c>
      <c r="D3390" s="17" t="s">
        <v>4105</v>
      </c>
      <c r="E3390" t="str">
        <f>IF(COUNTIF($B$2:B3390,B3390)&gt;1,"Duplicado","Único")</f>
        <v>Duplicado</v>
      </c>
    </row>
    <row r="3391" spans="1:5" x14ac:dyDescent="0.25">
      <c r="A3391" s="15">
        <v>16037</v>
      </c>
      <c r="B3391" s="7">
        <v>75090762</v>
      </c>
      <c r="C3391" s="11">
        <v>46121.438344907401</v>
      </c>
      <c r="D3391" s="17" t="s">
        <v>4373</v>
      </c>
      <c r="E3391" t="str">
        <f>IF(COUNTIF($B$2:B3391,B3391)&gt;1,"Duplicado","Único")</f>
        <v>Único</v>
      </c>
    </row>
    <row r="3392" spans="1:5" hidden="1" x14ac:dyDescent="0.25">
      <c r="A3392" s="15">
        <v>16037</v>
      </c>
      <c r="B3392" s="7">
        <v>75090762</v>
      </c>
      <c r="C3392" s="11">
        <v>46101.633240740703</v>
      </c>
      <c r="D3392" s="17" t="s">
        <v>4095</v>
      </c>
      <c r="E3392" t="str">
        <f>IF(COUNTIF($B$2:B3392,B3392)&gt;1,"Duplicado","Único")</f>
        <v>Duplicado</v>
      </c>
    </row>
    <row r="3393" spans="1:5" x14ac:dyDescent="0.25">
      <c r="A3393" s="15">
        <v>44762</v>
      </c>
      <c r="B3393" s="7">
        <v>75094097</v>
      </c>
      <c r="C3393" s="11">
        <v>45958.612037036997</v>
      </c>
      <c r="D3393" s="17" t="s">
        <v>2163</v>
      </c>
      <c r="E3393" t="str">
        <f>IF(COUNTIF($B$2:B3393,B3393)&gt;1,"Duplicado","Único")</f>
        <v>Único</v>
      </c>
    </row>
    <row r="3394" spans="1:5" x14ac:dyDescent="0.25">
      <c r="A3394" s="15">
        <v>31425</v>
      </c>
      <c r="B3394" s="7">
        <v>75099496</v>
      </c>
      <c r="C3394" s="11">
        <v>45904.6261689815</v>
      </c>
      <c r="D3394" s="17" t="s">
        <v>1524</v>
      </c>
      <c r="E3394" t="str">
        <f>IF(COUNTIF($B$2:B3394,B3394)&gt;1,"Duplicado","Único")</f>
        <v>Único</v>
      </c>
    </row>
    <row r="3395" spans="1:5" x14ac:dyDescent="0.25">
      <c r="A3395" s="15">
        <v>50673</v>
      </c>
      <c r="B3395" s="7">
        <v>75099517</v>
      </c>
      <c r="C3395" s="11">
        <v>46050.657939814802</v>
      </c>
      <c r="D3395" s="17" t="s">
        <v>3371</v>
      </c>
      <c r="E3395" t="str">
        <f>IF(COUNTIF($B$2:B3395,B3395)&gt;1,"Duplicado","Único")</f>
        <v>Único</v>
      </c>
    </row>
    <row r="3396" spans="1:5" hidden="1" x14ac:dyDescent="0.25">
      <c r="A3396" s="15">
        <v>50673</v>
      </c>
      <c r="B3396" s="7">
        <v>75099517</v>
      </c>
      <c r="C3396" s="11">
        <v>45992.340798611098</v>
      </c>
      <c r="D3396" s="17" t="s">
        <v>2802</v>
      </c>
      <c r="E3396" t="str">
        <f>IF(COUNTIF($B$2:B3396,B3396)&gt;1,"Duplicado","Único")</f>
        <v>Duplicado</v>
      </c>
    </row>
    <row r="3397" spans="1:5" x14ac:dyDescent="0.25">
      <c r="A3397" s="15">
        <v>33209</v>
      </c>
      <c r="B3397" s="7">
        <v>75143587</v>
      </c>
      <c r="C3397" s="11">
        <v>45912.669421296298</v>
      </c>
      <c r="D3397" s="17" t="s">
        <v>1685</v>
      </c>
      <c r="E3397" t="str">
        <f>IF(COUNTIF($B$2:B3397,B3397)&gt;1,"Duplicado","Único")</f>
        <v>Único</v>
      </c>
    </row>
    <row r="3398" spans="1:5" x14ac:dyDescent="0.25">
      <c r="A3398" s="15">
        <v>38282</v>
      </c>
      <c r="B3398" s="7">
        <v>75144872</v>
      </c>
      <c r="C3398" s="11">
        <v>45925.4836111111</v>
      </c>
      <c r="D3398" s="17" t="s">
        <v>1830</v>
      </c>
      <c r="E3398" t="str">
        <f>IF(COUNTIF($B$2:B3398,B3398)&gt;1,"Duplicado","Único")</f>
        <v>Único</v>
      </c>
    </row>
    <row r="3399" spans="1:5" x14ac:dyDescent="0.25">
      <c r="A3399" s="15">
        <v>14535</v>
      </c>
      <c r="B3399" s="7">
        <v>7552886</v>
      </c>
      <c r="C3399" s="11">
        <v>46101.852997685201</v>
      </c>
      <c r="D3399" s="17" t="s">
        <v>4176</v>
      </c>
      <c r="E3399" t="str">
        <f>IF(COUNTIF($B$2:B3399,B3399)&gt;1,"Duplicado","Único")</f>
        <v>Único</v>
      </c>
    </row>
    <row r="3400" spans="1:5" hidden="1" x14ac:dyDescent="0.25">
      <c r="A3400" s="15">
        <v>14535</v>
      </c>
      <c r="B3400" s="7">
        <v>7552886</v>
      </c>
      <c r="C3400" s="11">
        <v>46090.474710648101</v>
      </c>
      <c r="D3400" s="17" t="s">
        <v>4007</v>
      </c>
      <c r="E3400" t="str">
        <f>IF(COUNTIF($B$2:B3400,B3400)&gt;1,"Duplicado","Único")</f>
        <v>Duplicado</v>
      </c>
    </row>
    <row r="3401" spans="1:5" x14ac:dyDescent="0.25">
      <c r="A3401" s="15">
        <v>43600</v>
      </c>
      <c r="B3401" s="7">
        <v>7570411</v>
      </c>
      <c r="C3401" s="11">
        <v>45957.409872685203</v>
      </c>
      <c r="D3401" s="17" t="s">
        <v>2086</v>
      </c>
      <c r="E3401" t="str">
        <f>IF(COUNTIF($B$2:B3401,B3401)&gt;1,"Duplicado","Único")</f>
        <v>Único</v>
      </c>
    </row>
    <row r="3402" spans="1:5" x14ac:dyDescent="0.25">
      <c r="A3402" s="15">
        <v>50311</v>
      </c>
      <c r="B3402" s="7">
        <v>7604341</v>
      </c>
      <c r="C3402" s="11">
        <v>46050.6089236111</v>
      </c>
      <c r="D3402" s="17" t="s">
        <v>3313</v>
      </c>
      <c r="E3402" t="str">
        <f>IF(COUNTIF($B$2:B3402,B3402)&gt;1,"Duplicado","Único")</f>
        <v>Único</v>
      </c>
    </row>
    <row r="3403" spans="1:5" hidden="1" x14ac:dyDescent="0.25">
      <c r="A3403" s="15">
        <v>50311</v>
      </c>
      <c r="B3403" s="7">
        <v>7604341</v>
      </c>
      <c r="C3403" s="11">
        <v>45988.354108796302</v>
      </c>
      <c r="D3403" s="17" t="s">
        <v>2749</v>
      </c>
      <c r="E3403" t="str">
        <f>IF(COUNTIF($B$2:B3403,B3403)&gt;1,"Duplicado","Único")</f>
        <v>Duplicado</v>
      </c>
    </row>
    <row r="3404" spans="1:5" x14ac:dyDescent="0.25">
      <c r="A3404" s="15">
        <v>44066</v>
      </c>
      <c r="B3404" s="7">
        <v>76047016</v>
      </c>
      <c r="C3404" s="11">
        <v>45958.388611111099</v>
      </c>
      <c r="D3404" s="17" t="s">
        <v>2107</v>
      </c>
      <c r="E3404" t="str">
        <f>IF(COUNTIF($B$2:B3404,B3404)&gt;1,"Duplicado","Único")</f>
        <v>Único</v>
      </c>
    </row>
    <row r="3405" spans="1:5" x14ac:dyDescent="0.25">
      <c r="A3405" s="15">
        <v>27202</v>
      </c>
      <c r="B3405" s="7">
        <v>76311169</v>
      </c>
      <c r="C3405" s="11">
        <v>45874.471365740697</v>
      </c>
      <c r="D3405" s="17" t="s">
        <v>1254</v>
      </c>
      <c r="E3405" t="str">
        <f>IF(COUNTIF($B$2:B3405,B3405)&gt;1,"Duplicado","Único")</f>
        <v>Único</v>
      </c>
    </row>
    <row r="3406" spans="1:5" x14ac:dyDescent="0.25">
      <c r="A3406" s="15">
        <v>17297</v>
      </c>
      <c r="B3406" s="7">
        <v>76317803</v>
      </c>
      <c r="C3406" s="11">
        <v>46149.442442129599</v>
      </c>
      <c r="D3406" s="17" t="s">
        <v>4486</v>
      </c>
      <c r="E3406" t="str">
        <f>IF(COUNTIF($B$2:B3406,B3406)&gt;1,"Duplicado","Único")</f>
        <v>Único</v>
      </c>
    </row>
    <row r="3407" spans="1:5" hidden="1" x14ac:dyDescent="0.25">
      <c r="A3407" s="15">
        <v>17297</v>
      </c>
      <c r="B3407" s="7">
        <v>76317803</v>
      </c>
      <c r="C3407" s="11">
        <v>46108.5534722222</v>
      </c>
      <c r="D3407" s="17" t="s">
        <v>4215</v>
      </c>
      <c r="E3407" t="str">
        <f>IF(COUNTIF($B$2:B3407,B3407)&gt;1,"Duplicado","Único")</f>
        <v>Duplicado</v>
      </c>
    </row>
    <row r="3408" spans="1:5" x14ac:dyDescent="0.25">
      <c r="A3408" s="15">
        <v>46786</v>
      </c>
      <c r="B3408" s="7">
        <v>76319209</v>
      </c>
      <c r="C3408" s="11">
        <v>45967.701689814799</v>
      </c>
      <c r="D3408" s="17" t="s">
        <v>2362</v>
      </c>
      <c r="E3408" t="str">
        <f>IF(COUNTIF($B$2:B3408,B3408)&gt;1,"Duplicado","Único")</f>
        <v>Único</v>
      </c>
    </row>
    <row r="3409" spans="1:5" x14ac:dyDescent="0.25">
      <c r="A3409" s="15">
        <v>37776</v>
      </c>
      <c r="B3409" s="7">
        <v>76328728</v>
      </c>
      <c r="C3409" s="11">
        <v>45923.426840277803</v>
      </c>
      <c r="D3409" s="17" t="s">
        <v>1796</v>
      </c>
      <c r="E3409" t="str">
        <f>IF(COUNTIF($B$2:B3409,B3409)&gt;1,"Duplicado","Único")</f>
        <v>Único</v>
      </c>
    </row>
    <row r="3410" spans="1:5" x14ac:dyDescent="0.25">
      <c r="A3410" s="15">
        <v>17291</v>
      </c>
      <c r="B3410" s="7">
        <v>7634160</v>
      </c>
      <c r="C3410" s="11">
        <v>45790.667129629597</v>
      </c>
      <c r="D3410" s="17" t="s">
        <v>695</v>
      </c>
      <c r="E3410" t="str">
        <f>IF(COUNTIF($B$2:B3410,B3410)&gt;1,"Duplicado","Único")</f>
        <v>Único</v>
      </c>
    </row>
    <row r="3411" spans="1:5" x14ac:dyDescent="0.25">
      <c r="A3411" s="15">
        <v>44495</v>
      </c>
      <c r="B3411" s="7">
        <v>7701222</v>
      </c>
      <c r="C3411" s="11">
        <v>45958.480150463001</v>
      </c>
      <c r="D3411" s="17" t="s">
        <v>2130</v>
      </c>
      <c r="E3411" t="str">
        <f>IF(COUNTIF($B$2:B3411,B3411)&gt;1,"Duplicado","Único")</f>
        <v>Único</v>
      </c>
    </row>
    <row r="3412" spans="1:5" x14ac:dyDescent="0.25">
      <c r="A3412" s="15">
        <v>50525</v>
      </c>
      <c r="B3412" s="7">
        <v>77096335</v>
      </c>
      <c r="C3412" s="11">
        <v>46050.641226851898</v>
      </c>
      <c r="D3412" s="17" t="s">
        <v>3350</v>
      </c>
      <c r="E3412" t="str">
        <f>IF(COUNTIF($B$2:B3412,B3412)&gt;1,"Duplicado","Único")</f>
        <v>Único</v>
      </c>
    </row>
    <row r="3413" spans="1:5" hidden="1" x14ac:dyDescent="0.25">
      <c r="A3413" s="15">
        <v>50525</v>
      </c>
      <c r="B3413" s="7">
        <v>77096335</v>
      </c>
      <c r="C3413" s="11">
        <v>45989.340775463003</v>
      </c>
      <c r="D3413" s="17" t="s">
        <v>2773</v>
      </c>
      <c r="E3413" t="str">
        <f>IF(COUNTIF($B$2:B3413,B3413)&gt;1,"Duplicado","Único")</f>
        <v>Duplicado</v>
      </c>
    </row>
    <row r="3414" spans="1:5" x14ac:dyDescent="0.25">
      <c r="A3414" s="15">
        <v>3018</v>
      </c>
      <c r="B3414" s="7">
        <v>7711993</v>
      </c>
      <c r="C3414" s="11">
        <v>46086.741435185198</v>
      </c>
      <c r="D3414" s="17" t="s">
        <v>3928</v>
      </c>
      <c r="E3414" t="str">
        <f>IF(COUNTIF($B$2:B3414,B3414)&gt;1,"Duplicado","Único")</f>
        <v>Único</v>
      </c>
    </row>
    <row r="3415" spans="1:5" hidden="1" x14ac:dyDescent="0.25">
      <c r="A3415" s="15">
        <v>3018</v>
      </c>
      <c r="B3415" s="7">
        <v>7711993</v>
      </c>
      <c r="C3415" s="11">
        <v>46051.404756944401</v>
      </c>
      <c r="D3415" s="17" t="s">
        <v>3441</v>
      </c>
      <c r="E3415" t="str">
        <f>IF(COUNTIF($B$2:B3415,B3415)&gt;1,"Duplicado","Único")</f>
        <v>Duplicado</v>
      </c>
    </row>
    <row r="3416" spans="1:5" x14ac:dyDescent="0.25">
      <c r="A3416" s="15">
        <v>42345</v>
      </c>
      <c r="B3416" s="7">
        <v>7714664</v>
      </c>
      <c r="C3416" s="11">
        <v>45951.608993055597</v>
      </c>
      <c r="D3416" s="17" t="s">
        <v>2023</v>
      </c>
      <c r="E3416" t="str">
        <f>IF(COUNTIF($B$2:B3416,B3416)&gt;1,"Duplicado","Único")</f>
        <v>Único</v>
      </c>
    </row>
    <row r="3417" spans="1:5" x14ac:dyDescent="0.25">
      <c r="A3417" s="15">
        <v>28277</v>
      </c>
      <c r="B3417" s="7">
        <v>77154481</v>
      </c>
      <c r="C3417" s="11">
        <v>45884.701759259297</v>
      </c>
      <c r="D3417" s="17" t="s">
        <v>1324</v>
      </c>
      <c r="E3417" t="str">
        <f>IF(COUNTIF($B$2:B3417,B3417)&gt;1,"Duplicado","Único")</f>
        <v>Único</v>
      </c>
    </row>
    <row r="3418" spans="1:5" x14ac:dyDescent="0.25">
      <c r="A3418" s="15">
        <v>18209</v>
      </c>
      <c r="B3418" s="7">
        <v>7715904</v>
      </c>
      <c r="C3418" s="11">
        <v>45800.512187499997</v>
      </c>
      <c r="D3418" s="17" t="s">
        <v>752</v>
      </c>
      <c r="E3418" t="str">
        <f>IF(COUNTIF($B$2:B3418,B3418)&gt;1,"Duplicado","Único")</f>
        <v>Único</v>
      </c>
    </row>
    <row r="3419" spans="1:5" x14ac:dyDescent="0.25">
      <c r="A3419" s="15">
        <v>16580</v>
      </c>
      <c r="B3419" s="7">
        <v>77176617</v>
      </c>
      <c r="C3419" s="11">
        <v>46121.438773148097</v>
      </c>
      <c r="D3419" s="17" t="s">
        <v>4374</v>
      </c>
      <c r="E3419" t="str">
        <f>IF(COUNTIF($B$2:B3419,B3419)&gt;1,"Duplicado","Único")</f>
        <v>Único</v>
      </c>
    </row>
    <row r="3420" spans="1:5" hidden="1" x14ac:dyDescent="0.25">
      <c r="A3420" s="15">
        <v>16580</v>
      </c>
      <c r="B3420" s="7">
        <v>77176617</v>
      </c>
      <c r="C3420" s="11">
        <v>46101.830300925903</v>
      </c>
      <c r="D3420" s="17" t="s">
        <v>4164</v>
      </c>
      <c r="E3420" t="str">
        <f>IF(COUNTIF($B$2:B3420,B3420)&gt;1,"Duplicado","Único")</f>
        <v>Duplicado</v>
      </c>
    </row>
    <row r="3421" spans="1:5" x14ac:dyDescent="0.25">
      <c r="A3421" s="15">
        <v>37643</v>
      </c>
      <c r="B3421" s="7">
        <v>77181797</v>
      </c>
      <c r="C3421" s="11">
        <v>45923.421238425901</v>
      </c>
      <c r="D3421" s="17" t="s">
        <v>1794</v>
      </c>
      <c r="E3421" t="str">
        <f>IF(COUNTIF($B$2:B3421,B3421)&gt;1,"Duplicado","Único")</f>
        <v>Único</v>
      </c>
    </row>
    <row r="3422" spans="1:5" x14ac:dyDescent="0.25">
      <c r="A3422" s="15">
        <v>36804</v>
      </c>
      <c r="B3422" s="7">
        <v>77189717</v>
      </c>
      <c r="C3422" s="11">
        <v>45922.367812500001</v>
      </c>
      <c r="D3422" s="17" t="s">
        <v>1770</v>
      </c>
      <c r="E3422" t="str">
        <f>IF(COUNTIF($B$2:B3422,B3422)&gt;1,"Duplicado","Único")</f>
        <v>Único</v>
      </c>
    </row>
    <row r="3423" spans="1:5" x14ac:dyDescent="0.25">
      <c r="A3423" s="15">
        <v>42780</v>
      </c>
      <c r="B3423" s="7">
        <v>77190413</v>
      </c>
      <c r="C3423" s="11">
        <v>45968.449699074103</v>
      </c>
      <c r="D3423" s="17" t="s">
        <v>2393</v>
      </c>
      <c r="E3423" t="str">
        <f>IF(COUNTIF($B$2:B3423,B3423)&gt;1,"Duplicado","Único")</f>
        <v>Único</v>
      </c>
    </row>
    <row r="3424" spans="1:5" hidden="1" x14ac:dyDescent="0.25">
      <c r="A3424" s="15">
        <v>42780</v>
      </c>
      <c r="B3424" s="7">
        <v>77190413</v>
      </c>
      <c r="C3424" s="11">
        <v>45954.531736111101</v>
      </c>
      <c r="D3424" s="17" t="s">
        <v>2064</v>
      </c>
      <c r="E3424" t="str">
        <f>IF(COUNTIF($B$2:B3424,B3424)&gt;1,"Duplicado","Único")</f>
        <v>Duplicado</v>
      </c>
    </row>
    <row r="3425" spans="1:5" x14ac:dyDescent="0.25">
      <c r="A3425" s="15">
        <v>54461</v>
      </c>
      <c r="B3425" s="7">
        <v>77192991</v>
      </c>
      <c r="C3425" s="11">
        <v>46057.444525462997</v>
      </c>
      <c r="D3425" s="17" t="s">
        <v>3715</v>
      </c>
      <c r="E3425" t="str">
        <f>IF(COUNTIF($B$2:B3425,B3425)&gt;1,"Duplicado","Único")</f>
        <v>Único</v>
      </c>
    </row>
    <row r="3426" spans="1:5" hidden="1" x14ac:dyDescent="0.25">
      <c r="A3426" s="15">
        <v>54461</v>
      </c>
      <c r="B3426" s="7">
        <v>77192991</v>
      </c>
      <c r="C3426" s="11">
        <v>46015.434374999997</v>
      </c>
      <c r="D3426" s="17" t="s">
        <v>3080</v>
      </c>
      <c r="E3426" t="str">
        <f>IF(COUNTIF($B$2:B3426,B3426)&gt;1,"Duplicado","Único")</f>
        <v>Duplicado</v>
      </c>
    </row>
    <row r="3427" spans="1:5" x14ac:dyDescent="0.25">
      <c r="A3427" s="15">
        <v>41925</v>
      </c>
      <c r="B3427" s="7">
        <v>78021600</v>
      </c>
      <c r="C3427" s="11">
        <v>45952.519699074102</v>
      </c>
      <c r="D3427" s="17" t="s">
        <v>2033</v>
      </c>
      <c r="E3427" t="str">
        <f>IF(COUNTIF($B$2:B3427,B3427)&gt;1,"Duplicado","Único")</f>
        <v>Único</v>
      </c>
    </row>
    <row r="3428" spans="1:5" x14ac:dyDescent="0.25">
      <c r="A3428" s="15">
        <v>48180</v>
      </c>
      <c r="B3428" s="7">
        <v>78034639</v>
      </c>
      <c r="C3428" s="11">
        <v>45974.636759259301</v>
      </c>
      <c r="D3428" s="17" t="s">
        <v>2512</v>
      </c>
      <c r="E3428" t="str">
        <f>IF(COUNTIF($B$2:B3428,B3428)&gt;1,"Duplicado","Único")</f>
        <v>Único</v>
      </c>
    </row>
    <row r="3429" spans="1:5" x14ac:dyDescent="0.25">
      <c r="A3429" s="15">
        <v>52302</v>
      </c>
      <c r="B3429" s="7">
        <v>78302927</v>
      </c>
      <c r="C3429" s="11">
        <v>46057.342141203699</v>
      </c>
      <c r="D3429" s="17" t="s">
        <v>3623</v>
      </c>
      <c r="E3429" t="str">
        <f>IF(COUNTIF($B$2:B3429,B3429)&gt;1,"Duplicado","Único")</f>
        <v>Único</v>
      </c>
    </row>
    <row r="3430" spans="1:5" hidden="1" x14ac:dyDescent="0.25">
      <c r="A3430" s="15">
        <v>52302</v>
      </c>
      <c r="B3430" s="7">
        <v>78302927</v>
      </c>
      <c r="C3430" s="11">
        <v>46009.410810185203</v>
      </c>
      <c r="D3430" s="17" t="s">
        <v>2976</v>
      </c>
      <c r="E3430" t="str">
        <f>IF(COUNTIF($B$2:B3430,B3430)&gt;1,"Duplicado","Único")</f>
        <v>Duplicado</v>
      </c>
    </row>
    <row r="3431" spans="1:5" x14ac:dyDescent="0.25">
      <c r="A3431" s="15">
        <v>17467</v>
      </c>
      <c r="B3431" s="7">
        <v>78687557</v>
      </c>
      <c r="C3431" s="11">
        <v>46149.4430671296</v>
      </c>
      <c r="D3431" s="17" t="s">
        <v>1387</v>
      </c>
      <c r="E3431" t="str">
        <f>IF(COUNTIF($B$2:B3431,B3431)&gt;1,"Duplicado","Único")</f>
        <v>Único</v>
      </c>
    </row>
    <row r="3432" spans="1:5" hidden="1" x14ac:dyDescent="0.25">
      <c r="A3432" s="15">
        <v>17467</v>
      </c>
      <c r="B3432" s="7">
        <v>78687557</v>
      </c>
      <c r="C3432" s="11">
        <v>46108.576203703698</v>
      </c>
      <c r="D3432" s="17" t="s">
        <v>4225</v>
      </c>
      <c r="E3432" t="str">
        <f>IF(COUNTIF($B$2:B3432,B3432)&gt;1,"Duplicado","Único")</f>
        <v>Duplicado</v>
      </c>
    </row>
    <row r="3433" spans="1:5" x14ac:dyDescent="0.25">
      <c r="A3433" s="15">
        <v>36446</v>
      </c>
      <c r="B3433" s="7">
        <v>78688413</v>
      </c>
      <c r="C3433" s="11">
        <v>45919.393935185202</v>
      </c>
      <c r="D3433" s="17" t="s">
        <v>1761</v>
      </c>
      <c r="E3433" t="str">
        <f>IF(COUNTIF($B$2:B3433,B3433)&gt;1,"Duplicado","Único")</f>
        <v>Único</v>
      </c>
    </row>
    <row r="3434" spans="1:5" x14ac:dyDescent="0.25">
      <c r="A3434" s="15">
        <v>43575</v>
      </c>
      <c r="B3434" s="7">
        <v>78691961</v>
      </c>
      <c r="C3434" s="11">
        <v>45957.405370370398</v>
      </c>
      <c r="D3434" s="17" t="s">
        <v>2085</v>
      </c>
      <c r="E3434" t="str">
        <f>IF(COUNTIF($B$2:B3434,B3434)&gt;1,"Duplicado","Único")</f>
        <v>Único</v>
      </c>
    </row>
    <row r="3435" spans="1:5" x14ac:dyDescent="0.25">
      <c r="A3435" s="15">
        <v>30799</v>
      </c>
      <c r="B3435" s="7">
        <v>78744144</v>
      </c>
      <c r="C3435" s="11">
        <v>45901.5065972222</v>
      </c>
      <c r="D3435" s="17" t="s">
        <v>1486</v>
      </c>
      <c r="E3435" t="str">
        <f>IF(COUNTIF($B$2:B3435,B3435)&gt;1,"Duplicado","Único")</f>
        <v>Único</v>
      </c>
    </row>
    <row r="3436" spans="1:5" x14ac:dyDescent="0.25">
      <c r="A3436" s="15">
        <v>49168</v>
      </c>
      <c r="B3436" s="7">
        <v>78759985</v>
      </c>
      <c r="C3436" s="11">
        <v>45981.357384259303</v>
      </c>
      <c r="D3436" s="17" t="s">
        <v>2626</v>
      </c>
      <c r="E3436" t="str">
        <f>IF(COUNTIF($B$2:B3436,B3436)&gt;1,"Duplicado","Único")</f>
        <v>Único</v>
      </c>
    </row>
    <row r="3437" spans="1:5" x14ac:dyDescent="0.25">
      <c r="A3437" s="15">
        <v>46999</v>
      </c>
      <c r="B3437" s="7">
        <v>79049863</v>
      </c>
      <c r="C3437" s="11">
        <v>45968.402858796297</v>
      </c>
      <c r="D3437" s="17" t="s">
        <v>2380</v>
      </c>
      <c r="E3437" t="str">
        <f>IF(COUNTIF($B$2:B3437,B3437)&gt;1,"Duplicado","Único")</f>
        <v>Único</v>
      </c>
    </row>
    <row r="3438" spans="1:5" x14ac:dyDescent="0.25">
      <c r="A3438" s="15">
        <v>45712</v>
      </c>
      <c r="B3438" s="7">
        <v>79144033</v>
      </c>
      <c r="C3438" s="11">
        <v>45960.626412037003</v>
      </c>
      <c r="D3438" s="17" t="s">
        <v>2252</v>
      </c>
      <c r="E3438" t="str">
        <f>IF(COUNTIF($B$2:B3438,B3438)&gt;1,"Duplicado","Único")</f>
        <v>Único</v>
      </c>
    </row>
    <row r="3439" spans="1:5" x14ac:dyDescent="0.25">
      <c r="A3439" s="15">
        <v>17285</v>
      </c>
      <c r="B3439" s="7">
        <v>79180655</v>
      </c>
      <c r="C3439" s="11">
        <v>45790.660590277803</v>
      </c>
      <c r="D3439" s="17" t="s">
        <v>694</v>
      </c>
      <c r="E3439" t="str">
        <f>IF(COUNTIF($B$2:B3439,B3439)&gt;1,"Duplicado","Único")</f>
        <v>Único</v>
      </c>
    </row>
    <row r="3440" spans="1:5" x14ac:dyDescent="0.25">
      <c r="A3440" s="15">
        <v>49530</v>
      </c>
      <c r="B3440" s="7">
        <v>79183989</v>
      </c>
      <c r="C3440" s="11">
        <v>45982.383796296301</v>
      </c>
      <c r="D3440" s="17" t="s">
        <v>2661</v>
      </c>
      <c r="E3440" t="str">
        <f>IF(COUNTIF($B$2:B3440,B3440)&gt;1,"Duplicado","Único")</f>
        <v>Único</v>
      </c>
    </row>
    <row r="3441" spans="1:5" x14ac:dyDescent="0.25">
      <c r="A3441" s="15">
        <v>13543</v>
      </c>
      <c r="B3441" s="7">
        <v>79205515</v>
      </c>
      <c r="C3441" s="11">
        <v>46149.658657407403</v>
      </c>
      <c r="D3441" s="17" t="s">
        <v>4551</v>
      </c>
      <c r="E3441" t="str">
        <f>IF(COUNTIF($B$2:B3441,B3441)&gt;1,"Duplicado","Único")</f>
        <v>Único</v>
      </c>
    </row>
    <row r="3442" spans="1:5" hidden="1" x14ac:dyDescent="0.25">
      <c r="A3442" s="15">
        <v>13543</v>
      </c>
      <c r="B3442" s="7">
        <v>79205515</v>
      </c>
      <c r="C3442" s="11">
        <v>46084.481388888897</v>
      </c>
      <c r="D3442" s="17" t="s">
        <v>3776</v>
      </c>
      <c r="E3442" t="str">
        <f>IF(COUNTIF($B$2:B3442,B3442)&gt;1,"Duplicado","Único")</f>
        <v>Duplicado</v>
      </c>
    </row>
    <row r="3443" spans="1:5" x14ac:dyDescent="0.25">
      <c r="A3443" s="15">
        <v>51321</v>
      </c>
      <c r="B3443" s="7">
        <v>79218922</v>
      </c>
      <c r="C3443" s="11">
        <v>46051.421307870398</v>
      </c>
      <c r="D3443" s="17" t="s">
        <v>3449</v>
      </c>
      <c r="E3443" t="str">
        <f>IF(COUNTIF($B$2:B3443,B3443)&gt;1,"Duplicado","Único")</f>
        <v>Único</v>
      </c>
    </row>
    <row r="3444" spans="1:5" hidden="1" x14ac:dyDescent="0.25">
      <c r="A3444" s="15">
        <v>51321</v>
      </c>
      <c r="B3444" s="7">
        <v>79218922</v>
      </c>
      <c r="C3444" s="11">
        <v>46002.386805555601</v>
      </c>
      <c r="D3444" s="17" t="s">
        <v>2867</v>
      </c>
      <c r="E3444" t="str">
        <f>IF(COUNTIF($B$2:B3444,B3444)&gt;1,"Duplicado","Único")</f>
        <v>Duplicado</v>
      </c>
    </row>
    <row r="3445" spans="1:5" x14ac:dyDescent="0.25">
      <c r="A3445" s="15">
        <v>22548</v>
      </c>
      <c r="B3445" s="7">
        <v>79255446</v>
      </c>
      <c r="C3445" s="11">
        <v>45842.331805555601</v>
      </c>
      <c r="D3445" s="17" t="s">
        <v>1024</v>
      </c>
      <c r="E3445" t="str">
        <f>IF(COUNTIF($B$2:B3445,B3445)&gt;1,"Duplicado","Único")</f>
        <v>Único</v>
      </c>
    </row>
    <row r="3446" spans="1:5" x14ac:dyDescent="0.25">
      <c r="A3446" s="15">
        <v>38628</v>
      </c>
      <c r="B3446" s="7">
        <v>79285418</v>
      </c>
      <c r="C3446" s="11">
        <v>45926.414305555598</v>
      </c>
      <c r="D3446" s="17" t="s">
        <v>1840</v>
      </c>
      <c r="E3446" t="str">
        <f>IF(COUNTIF($B$2:B3446,B3446)&gt;1,"Duplicado","Único")</f>
        <v>Único</v>
      </c>
    </row>
    <row r="3447" spans="1:5" x14ac:dyDescent="0.25">
      <c r="A3447" s="15">
        <v>51968</v>
      </c>
      <c r="B3447" s="7">
        <v>79291178</v>
      </c>
      <c r="C3447" s="11">
        <v>46051.476030092599</v>
      </c>
      <c r="D3447" s="17" t="s">
        <v>3500</v>
      </c>
      <c r="E3447" t="str">
        <f>IF(COUNTIF($B$2:B3447,B3447)&gt;1,"Duplicado","Único")</f>
        <v>Único</v>
      </c>
    </row>
    <row r="3448" spans="1:5" hidden="1" x14ac:dyDescent="0.25">
      <c r="A3448" s="15">
        <v>51968</v>
      </c>
      <c r="B3448" s="7">
        <v>79291178</v>
      </c>
      <c r="C3448" s="11">
        <v>46003.676203703697</v>
      </c>
      <c r="D3448" s="17" t="s">
        <v>2922</v>
      </c>
      <c r="E3448" t="str">
        <f>IF(COUNTIF($B$2:B3448,B3448)&gt;1,"Duplicado","Único")</f>
        <v>Duplicado</v>
      </c>
    </row>
    <row r="3449" spans="1:5" x14ac:dyDescent="0.25">
      <c r="A3449" s="15">
        <v>16452</v>
      </c>
      <c r="B3449" s="7">
        <v>79294059</v>
      </c>
      <c r="C3449" s="11">
        <v>46121.439305555599</v>
      </c>
      <c r="D3449" s="17" t="s">
        <v>4375</v>
      </c>
      <c r="E3449" t="str">
        <f>IF(COUNTIF($B$2:B3449,B3449)&gt;1,"Duplicado","Único")</f>
        <v>Único</v>
      </c>
    </row>
    <row r="3450" spans="1:5" hidden="1" x14ac:dyDescent="0.25">
      <c r="A3450" s="15">
        <v>16452</v>
      </c>
      <c r="B3450" s="7">
        <v>79294059</v>
      </c>
      <c r="C3450" s="11">
        <v>46101.642222222203</v>
      </c>
      <c r="D3450" s="17" t="s">
        <v>4101</v>
      </c>
      <c r="E3450" t="str">
        <f>IF(COUNTIF($B$2:B3450,B3450)&gt;1,"Duplicado","Único")</f>
        <v>Duplicado</v>
      </c>
    </row>
    <row r="3451" spans="1:5" x14ac:dyDescent="0.25">
      <c r="A3451" s="15">
        <v>29240</v>
      </c>
      <c r="B3451" s="7">
        <v>79297455</v>
      </c>
      <c r="C3451" s="11">
        <v>45901.6899305556</v>
      </c>
      <c r="D3451" s="17" t="s">
        <v>1494</v>
      </c>
      <c r="E3451" t="str">
        <f>IF(COUNTIF($B$2:B3451,B3451)&gt;1,"Duplicado","Único")</f>
        <v>Único</v>
      </c>
    </row>
    <row r="3452" spans="1:5" x14ac:dyDescent="0.25">
      <c r="A3452" s="15">
        <v>38243</v>
      </c>
      <c r="B3452" s="7">
        <v>79332541</v>
      </c>
      <c r="C3452" s="11">
        <v>45925.478310185201</v>
      </c>
      <c r="D3452" s="17" t="s">
        <v>1829</v>
      </c>
      <c r="E3452" t="str">
        <f>IF(COUNTIF($B$2:B3452,B3452)&gt;1,"Duplicado","Único")</f>
        <v>Único</v>
      </c>
    </row>
    <row r="3453" spans="1:5" x14ac:dyDescent="0.25">
      <c r="A3453" s="15">
        <v>54348</v>
      </c>
      <c r="B3453" s="7">
        <v>79348946</v>
      </c>
      <c r="C3453" s="11">
        <v>46057.4451736111</v>
      </c>
      <c r="D3453" s="17" t="s">
        <v>3716</v>
      </c>
      <c r="E3453" t="str">
        <f>IF(COUNTIF($B$2:B3453,B3453)&gt;1,"Duplicado","Único")</f>
        <v>Único</v>
      </c>
    </row>
    <row r="3454" spans="1:5" hidden="1" x14ac:dyDescent="0.25">
      <c r="A3454" s="15">
        <v>54348</v>
      </c>
      <c r="B3454" s="7">
        <v>79348946</v>
      </c>
      <c r="C3454" s="11">
        <v>46015.424513888902</v>
      </c>
      <c r="D3454" s="17" t="s">
        <v>3075</v>
      </c>
      <c r="E3454" t="str">
        <f>IF(COUNTIF($B$2:B3454,B3454)&gt;1,"Duplicado","Único")</f>
        <v>Duplicado</v>
      </c>
    </row>
    <row r="3455" spans="1:5" x14ac:dyDescent="0.25">
      <c r="A3455" s="15">
        <v>51644</v>
      </c>
      <c r="B3455" s="7">
        <v>79359971</v>
      </c>
      <c r="C3455" s="11">
        <v>46051.422800925902</v>
      </c>
      <c r="D3455" s="17" t="s">
        <v>3450</v>
      </c>
      <c r="E3455" t="str">
        <f>IF(COUNTIF($B$2:B3455,B3455)&gt;1,"Duplicado","Único")</f>
        <v>Único</v>
      </c>
    </row>
    <row r="3456" spans="1:5" hidden="1" x14ac:dyDescent="0.25">
      <c r="A3456" s="15">
        <v>51644</v>
      </c>
      <c r="B3456" s="7">
        <v>79359971</v>
      </c>
      <c r="C3456" s="11">
        <v>46002.4856365741</v>
      </c>
      <c r="D3456" s="17" t="s">
        <v>2873</v>
      </c>
      <c r="E3456" t="str">
        <f>IF(COUNTIF($B$2:B3456,B3456)&gt;1,"Duplicado","Único")</f>
        <v>Duplicado</v>
      </c>
    </row>
    <row r="3457" spans="1:5" x14ac:dyDescent="0.25">
      <c r="A3457" s="15">
        <v>49216</v>
      </c>
      <c r="B3457" s="7">
        <v>79372424</v>
      </c>
      <c r="C3457" s="11">
        <v>45981.384641203702</v>
      </c>
      <c r="D3457" s="17" t="s">
        <v>2630</v>
      </c>
      <c r="E3457" t="str">
        <f>IF(COUNTIF($B$2:B3457,B3457)&gt;1,"Duplicado","Único")</f>
        <v>Único</v>
      </c>
    </row>
    <row r="3458" spans="1:5" x14ac:dyDescent="0.25">
      <c r="A3458" s="15">
        <v>45636</v>
      </c>
      <c r="B3458" s="7">
        <v>79383137</v>
      </c>
      <c r="C3458" s="11">
        <v>45960.543414351901</v>
      </c>
      <c r="D3458" s="17" t="s">
        <v>2246</v>
      </c>
      <c r="E3458" t="str">
        <f>IF(COUNTIF($B$2:B3458,B3458)&gt;1,"Duplicado","Único")</f>
        <v>Único</v>
      </c>
    </row>
    <row r="3459" spans="1:5" x14ac:dyDescent="0.25">
      <c r="A3459" s="15">
        <v>23946</v>
      </c>
      <c r="B3459" s="7">
        <v>79386264</v>
      </c>
      <c r="C3459" s="11">
        <v>45852.527083333298</v>
      </c>
      <c r="D3459" s="17" t="s">
        <v>1069</v>
      </c>
      <c r="E3459" t="str">
        <f>IF(COUNTIF($B$2:B3459,B3459)&gt;1,"Duplicado","Único")</f>
        <v>Único</v>
      </c>
    </row>
    <row r="3460" spans="1:5" x14ac:dyDescent="0.25">
      <c r="A3460" s="15">
        <v>1261</v>
      </c>
      <c r="B3460" s="7">
        <v>79397919</v>
      </c>
      <c r="C3460" s="11">
        <v>46086.632615740702</v>
      </c>
      <c r="D3460" s="17" t="s">
        <v>3849</v>
      </c>
      <c r="E3460" t="str">
        <f>IF(COUNTIF($B$2:B3460,B3460)&gt;1,"Duplicado","Único")</f>
        <v>Único</v>
      </c>
    </row>
    <row r="3461" spans="1:5" hidden="1" x14ac:dyDescent="0.25">
      <c r="A3461" s="15">
        <v>1261</v>
      </c>
      <c r="B3461" s="7">
        <v>79397919</v>
      </c>
      <c r="C3461" s="11">
        <v>46036.474849537</v>
      </c>
      <c r="D3461" s="17" t="s">
        <v>3166</v>
      </c>
      <c r="E3461" t="str">
        <f>IF(COUNTIF($B$2:B3461,B3461)&gt;1,"Duplicado","Único")</f>
        <v>Duplicado</v>
      </c>
    </row>
    <row r="3462" spans="1:5" x14ac:dyDescent="0.25">
      <c r="A3462" s="15">
        <v>51536</v>
      </c>
      <c r="B3462" s="7">
        <v>79399001</v>
      </c>
      <c r="C3462" s="11">
        <v>46051.458113425899</v>
      </c>
      <c r="D3462" s="17" t="s">
        <v>3479</v>
      </c>
      <c r="E3462" t="str">
        <f>IF(COUNTIF($B$2:B3462,B3462)&gt;1,"Duplicado","Único")</f>
        <v>Único</v>
      </c>
    </row>
    <row r="3463" spans="1:5" hidden="1" x14ac:dyDescent="0.25">
      <c r="A3463" s="15">
        <v>51536</v>
      </c>
      <c r="B3463" s="7">
        <v>79399001</v>
      </c>
      <c r="C3463" s="11">
        <v>46002.627650463</v>
      </c>
      <c r="D3463" s="17" t="s">
        <v>2894</v>
      </c>
      <c r="E3463" t="str">
        <f>IF(COUNTIF($B$2:B3463,B3463)&gt;1,"Duplicado","Único")</f>
        <v>Duplicado</v>
      </c>
    </row>
    <row r="3464" spans="1:5" x14ac:dyDescent="0.25">
      <c r="A3464" s="15">
        <v>53126</v>
      </c>
      <c r="B3464" s="7">
        <v>79410124</v>
      </c>
      <c r="C3464" s="11">
        <v>46057.3655671296</v>
      </c>
      <c r="D3464" s="17" t="s">
        <v>3650</v>
      </c>
      <c r="E3464" t="str">
        <f>IF(COUNTIF($B$2:B3464,B3464)&gt;1,"Duplicado","Único")</f>
        <v>Único</v>
      </c>
    </row>
    <row r="3465" spans="1:5" hidden="1" x14ac:dyDescent="0.25">
      <c r="A3465" s="15">
        <v>53126</v>
      </c>
      <c r="B3465" s="7">
        <v>79410124</v>
      </c>
      <c r="C3465" s="11">
        <v>46013.416319444397</v>
      </c>
      <c r="D3465" s="17" t="s">
        <v>3004</v>
      </c>
      <c r="E3465" t="str">
        <f>IF(COUNTIF($B$2:B3465,B3465)&gt;1,"Duplicado","Único")</f>
        <v>Duplicado</v>
      </c>
    </row>
    <row r="3466" spans="1:5" x14ac:dyDescent="0.25">
      <c r="A3466" s="15">
        <v>20330</v>
      </c>
      <c r="B3466" s="7">
        <v>79413483</v>
      </c>
      <c r="C3466" s="11">
        <v>45820.429444444402</v>
      </c>
      <c r="D3466" s="17" t="s">
        <v>877</v>
      </c>
      <c r="E3466" t="str">
        <f>IF(COUNTIF($B$2:B3466,B3466)&gt;1,"Duplicado","Único")</f>
        <v>Único</v>
      </c>
    </row>
    <row r="3467" spans="1:5" x14ac:dyDescent="0.25">
      <c r="A3467" s="15">
        <v>46189</v>
      </c>
      <c r="B3467" s="7">
        <v>79418056</v>
      </c>
      <c r="C3467" s="11">
        <v>45965.468020833301</v>
      </c>
      <c r="D3467" s="17" t="s">
        <v>2299</v>
      </c>
      <c r="E3467" t="str">
        <f>IF(COUNTIF($B$2:B3467,B3467)&gt;1,"Duplicado","Único")</f>
        <v>Único</v>
      </c>
    </row>
    <row r="3468" spans="1:5" x14ac:dyDescent="0.25">
      <c r="A3468" s="15">
        <v>53531</v>
      </c>
      <c r="B3468" s="7">
        <v>79459589</v>
      </c>
      <c r="C3468" s="11">
        <v>46057.366215277798</v>
      </c>
      <c r="D3468" s="17" t="s">
        <v>3651</v>
      </c>
      <c r="E3468" t="str">
        <f>IF(COUNTIF($B$2:B3468,B3468)&gt;1,"Duplicado","Único")</f>
        <v>Único</v>
      </c>
    </row>
    <row r="3469" spans="1:5" hidden="1" x14ac:dyDescent="0.25">
      <c r="A3469" s="15">
        <v>53531</v>
      </c>
      <c r="B3469" s="7">
        <v>79459589</v>
      </c>
      <c r="C3469" s="11">
        <v>46013.474479166704</v>
      </c>
      <c r="D3469" s="17" t="s">
        <v>3014</v>
      </c>
      <c r="E3469" t="str">
        <f>IF(COUNTIF($B$2:B3469,B3469)&gt;1,"Duplicado","Único")</f>
        <v>Duplicado</v>
      </c>
    </row>
    <row r="3470" spans="1:5" x14ac:dyDescent="0.25">
      <c r="A3470" s="15">
        <v>27715</v>
      </c>
      <c r="B3470" s="7">
        <v>79465590</v>
      </c>
      <c r="C3470" s="11">
        <v>45877.515682870398</v>
      </c>
      <c r="D3470" s="17" t="s">
        <v>1292</v>
      </c>
      <c r="E3470" t="str">
        <f>IF(COUNTIF($B$2:B3470,B3470)&gt;1,"Duplicado","Único")</f>
        <v>Único</v>
      </c>
    </row>
    <row r="3471" spans="1:5" x14ac:dyDescent="0.25">
      <c r="A3471" s="15">
        <v>18123</v>
      </c>
      <c r="B3471" s="7">
        <v>79472895</v>
      </c>
      <c r="C3471" s="11">
        <v>46149.411284722199</v>
      </c>
      <c r="D3471" s="17" t="s">
        <v>4439</v>
      </c>
      <c r="E3471" t="str">
        <f>IF(COUNTIF($B$2:B3471,B3471)&gt;1,"Duplicado","Único")</f>
        <v>Único</v>
      </c>
    </row>
    <row r="3472" spans="1:5" hidden="1" x14ac:dyDescent="0.25">
      <c r="A3472" s="15">
        <v>18123</v>
      </c>
      <c r="B3472" s="7">
        <v>79472895</v>
      </c>
      <c r="C3472" s="11">
        <v>46118.343275462998</v>
      </c>
      <c r="D3472" s="17" t="s">
        <v>1174</v>
      </c>
      <c r="E3472" t="str">
        <f>IF(COUNTIF($B$2:B3472,B3472)&gt;1,"Duplicado","Único")</f>
        <v>Duplicado</v>
      </c>
    </row>
    <row r="3473" spans="1:5" x14ac:dyDescent="0.25">
      <c r="A3473" s="15">
        <v>38277</v>
      </c>
      <c r="B3473" s="7">
        <v>79480288</v>
      </c>
      <c r="C3473" s="11">
        <v>45925.442662037</v>
      </c>
      <c r="D3473" s="17" t="s">
        <v>1825</v>
      </c>
      <c r="E3473" t="str">
        <f>IF(COUNTIF($B$2:B3473,B3473)&gt;1,"Duplicado","Único")</f>
        <v>Único</v>
      </c>
    </row>
    <row r="3474" spans="1:5" x14ac:dyDescent="0.25">
      <c r="A3474" s="15">
        <v>18637</v>
      </c>
      <c r="B3474" s="7">
        <v>79484808</v>
      </c>
      <c r="C3474" s="11">
        <v>45803.625115740702</v>
      </c>
      <c r="D3474" s="17" t="s">
        <v>776</v>
      </c>
      <c r="E3474" t="str">
        <f>IF(COUNTIF($B$2:B3474,B3474)&gt;1,"Duplicado","Único")</f>
        <v>Único</v>
      </c>
    </row>
    <row r="3475" spans="1:5" x14ac:dyDescent="0.25">
      <c r="A3475" s="15">
        <v>1534</v>
      </c>
      <c r="B3475" s="7">
        <v>79489969</v>
      </c>
      <c r="C3475" s="11">
        <v>46086.633298611101</v>
      </c>
      <c r="D3475" s="17" t="s">
        <v>3850</v>
      </c>
      <c r="E3475" t="str">
        <f>IF(COUNTIF($B$2:B3475,B3475)&gt;1,"Duplicado","Único")</f>
        <v>Único</v>
      </c>
    </row>
    <row r="3476" spans="1:5" hidden="1" x14ac:dyDescent="0.25">
      <c r="A3476" s="15">
        <v>1534</v>
      </c>
      <c r="B3476" s="7">
        <v>79489969</v>
      </c>
      <c r="C3476" s="11">
        <v>46036.657569444404</v>
      </c>
      <c r="D3476" s="17" t="s">
        <v>3179</v>
      </c>
      <c r="E3476" t="str">
        <f>IF(COUNTIF($B$2:B3476,B3476)&gt;1,"Duplicado","Único")</f>
        <v>Duplicado</v>
      </c>
    </row>
    <row r="3477" spans="1:5" x14ac:dyDescent="0.25">
      <c r="A3477" s="15">
        <v>27075</v>
      </c>
      <c r="B3477" s="7">
        <v>79497022</v>
      </c>
      <c r="C3477" s="11">
        <v>45874.40625</v>
      </c>
      <c r="D3477" s="17" t="s">
        <v>1242</v>
      </c>
      <c r="E3477" t="str">
        <f>IF(COUNTIF($B$2:B3477,B3477)&gt;1,"Duplicado","Único")</f>
        <v>Único</v>
      </c>
    </row>
    <row r="3478" spans="1:5" x14ac:dyDescent="0.25">
      <c r="A3478" s="15">
        <v>33095</v>
      </c>
      <c r="B3478" s="7">
        <v>79510949</v>
      </c>
      <c r="C3478" s="11">
        <v>45913.6508680556</v>
      </c>
      <c r="D3478" s="17" t="s">
        <v>1691</v>
      </c>
      <c r="E3478" t="str">
        <f>IF(COUNTIF($B$2:B3478,B3478)&gt;1,"Duplicado","Único")</f>
        <v>Único</v>
      </c>
    </row>
    <row r="3479" spans="1:5" x14ac:dyDescent="0.25">
      <c r="A3479" s="15">
        <v>43793</v>
      </c>
      <c r="B3479" s="7">
        <v>79529120</v>
      </c>
      <c r="C3479" s="11">
        <v>45957.513796296298</v>
      </c>
      <c r="D3479" s="17" t="s">
        <v>2093</v>
      </c>
      <c r="E3479" t="str">
        <f>IF(COUNTIF($B$2:B3479,B3479)&gt;1,"Duplicado","Único")</f>
        <v>Único</v>
      </c>
    </row>
    <row r="3480" spans="1:5" hidden="1" x14ac:dyDescent="0.25">
      <c r="A3480" s="15">
        <v>43793</v>
      </c>
      <c r="B3480" s="7">
        <v>79529120</v>
      </c>
      <c r="C3480" s="11">
        <v>45957.513657407399</v>
      </c>
      <c r="D3480" s="17" t="s">
        <v>2092</v>
      </c>
      <c r="E3480" t="str">
        <f>IF(COUNTIF($B$2:B3480,B3480)&gt;1,"Duplicado","Único")</f>
        <v>Duplicado</v>
      </c>
    </row>
    <row r="3481" spans="1:5" x14ac:dyDescent="0.25">
      <c r="A3481" s="15">
        <v>30836</v>
      </c>
      <c r="B3481" s="7">
        <v>79531379</v>
      </c>
      <c r="C3481" s="11">
        <v>45901.518576388902</v>
      </c>
      <c r="D3481" s="17" t="s">
        <v>1488</v>
      </c>
      <c r="E3481" t="str">
        <f>IF(COUNTIF($B$2:B3481,B3481)&gt;1,"Duplicado","Único")</f>
        <v>Único</v>
      </c>
    </row>
    <row r="3482" spans="1:5" x14ac:dyDescent="0.25">
      <c r="A3482" s="15">
        <v>48886</v>
      </c>
      <c r="B3482" s="7">
        <v>79532391</v>
      </c>
      <c r="C3482" s="11">
        <v>45980.373958333301</v>
      </c>
      <c r="D3482" s="17" t="s">
        <v>2585</v>
      </c>
      <c r="E3482" t="str">
        <f>IF(COUNTIF($B$2:B3482,B3482)&gt;1,"Duplicado","Único")</f>
        <v>Único</v>
      </c>
    </row>
    <row r="3483" spans="1:5" x14ac:dyDescent="0.25">
      <c r="A3483" s="15">
        <v>18331</v>
      </c>
      <c r="B3483" s="7">
        <v>79539805</v>
      </c>
      <c r="C3483" s="11">
        <v>45800.614930555603</v>
      </c>
      <c r="D3483" s="17" t="s">
        <v>758</v>
      </c>
      <c r="E3483" t="str">
        <f>IF(COUNTIF($B$2:B3483,B3483)&gt;1,"Duplicado","Único")</f>
        <v>Único</v>
      </c>
    </row>
    <row r="3484" spans="1:5" x14ac:dyDescent="0.25">
      <c r="A3484" s="15">
        <v>44659</v>
      </c>
      <c r="B3484" s="7">
        <v>79557713</v>
      </c>
      <c r="C3484" s="11">
        <v>45958.667939814797</v>
      </c>
      <c r="D3484" s="17" t="s">
        <v>2176</v>
      </c>
      <c r="E3484" t="str">
        <f>IF(COUNTIF($B$2:B3484,B3484)&gt;1,"Duplicado","Único")</f>
        <v>Único</v>
      </c>
    </row>
    <row r="3485" spans="1:5" x14ac:dyDescent="0.25">
      <c r="A3485" s="15">
        <v>16015</v>
      </c>
      <c r="B3485" s="7">
        <v>79563930</v>
      </c>
      <c r="C3485" s="11">
        <v>46121.439780092602</v>
      </c>
      <c r="D3485" s="17" t="s">
        <v>4376</v>
      </c>
      <c r="E3485" t="str">
        <f>IF(COUNTIF($B$2:B3485,B3485)&gt;1,"Duplicado","Único")</f>
        <v>Único</v>
      </c>
    </row>
    <row r="3486" spans="1:5" hidden="1" x14ac:dyDescent="0.25">
      <c r="A3486" s="15">
        <v>16015</v>
      </c>
      <c r="B3486" s="7">
        <v>79563930</v>
      </c>
      <c r="C3486" s="11">
        <v>46101.632731481499</v>
      </c>
      <c r="D3486" s="17" t="s">
        <v>4094</v>
      </c>
      <c r="E3486" t="str">
        <f>IF(COUNTIF($B$2:B3486,B3486)&gt;1,"Duplicado","Único")</f>
        <v>Duplicado</v>
      </c>
    </row>
    <row r="3487" spans="1:5" x14ac:dyDescent="0.25">
      <c r="A3487" s="15">
        <v>48191</v>
      </c>
      <c r="B3487" s="7">
        <v>7957377</v>
      </c>
      <c r="C3487" s="11">
        <v>45974.449085648099</v>
      </c>
      <c r="D3487" s="17" t="s">
        <v>2506</v>
      </c>
      <c r="E3487" t="str">
        <f>IF(COUNTIF($B$2:B3487,B3487)&gt;1,"Duplicado","Único")</f>
        <v>Único</v>
      </c>
    </row>
    <row r="3488" spans="1:5" x14ac:dyDescent="0.25">
      <c r="A3488" s="15">
        <v>46609</v>
      </c>
      <c r="B3488" s="7">
        <v>79596577</v>
      </c>
      <c r="C3488" s="11">
        <v>45966.668877314798</v>
      </c>
      <c r="D3488" s="17" t="s">
        <v>2341</v>
      </c>
      <c r="E3488" t="str">
        <f>IF(COUNTIF($B$2:B3488,B3488)&gt;1,"Duplicado","Único")</f>
        <v>Único</v>
      </c>
    </row>
    <row r="3489" spans="1:5" x14ac:dyDescent="0.25">
      <c r="A3489" s="15">
        <v>50392</v>
      </c>
      <c r="B3489" s="7">
        <v>79602893</v>
      </c>
      <c r="C3489" s="11">
        <v>46050.611886574101</v>
      </c>
      <c r="D3489" s="17" t="s">
        <v>3320</v>
      </c>
      <c r="E3489" t="str">
        <f>IF(COUNTIF($B$2:B3489,B3489)&gt;1,"Duplicado","Único")</f>
        <v>Único</v>
      </c>
    </row>
    <row r="3490" spans="1:5" hidden="1" x14ac:dyDescent="0.25">
      <c r="A3490" s="15">
        <v>50392</v>
      </c>
      <c r="B3490" s="7">
        <v>79602893</v>
      </c>
      <c r="C3490" s="11">
        <v>45988.386377314797</v>
      </c>
      <c r="D3490" s="17" t="s">
        <v>2756</v>
      </c>
      <c r="E3490" t="str">
        <f>IF(COUNTIF($B$2:B3490,B3490)&gt;1,"Duplicado","Único")</f>
        <v>Duplicado</v>
      </c>
    </row>
    <row r="3491" spans="1:5" x14ac:dyDescent="0.25">
      <c r="A3491" s="15">
        <v>53431</v>
      </c>
      <c r="B3491" s="7">
        <v>79607728</v>
      </c>
      <c r="C3491" s="11">
        <v>46057.4082291667</v>
      </c>
      <c r="D3491" s="17" t="s">
        <v>3687</v>
      </c>
      <c r="E3491" t="str">
        <f>IF(COUNTIF($B$2:B3491,B3491)&gt;1,"Duplicado","Único")</f>
        <v>Único</v>
      </c>
    </row>
    <row r="3492" spans="1:5" hidden="1" x14ac:dyDescent="0.25">
      <c r="A3492" s="15">
        <v>53431</v>
      </c>
      <c r="B3492" s="7">
        <v>79607728</v>
      </c>
      <c r="C3492" s="11">
        <v>46013.482222222199</v>
      </c>
      <c r="D3492" s="17" t="s">
        <v>3020</v>
      </c>
      <c r="E3492" t="str">
        <f>IF(COUNTIF($B$2:B3492,B3492)&gt;1,"Duplicado","Único")</f>
        <v>Duplicado</v>
      </c>
    </row>
    <row r="3493" spans="1:5" x14ac:dyDescent="0.25">
      <c r="A3493" s="15">
        <v>49815</v>
      </c>
      <c r="B3493" s="7">
        <v>79610408</v>
      </c>
      <c r="C3493" s="11">
        <v>46050.4284722222</v>
      </c>
      <c r="D3493" s="17" t="s">
        <v>3231</v>
      </c>
      <c r="E3493" t="str">
        <f>IF(COUNTIF($B$2:B3493,B3493)&gt;1,"Duplicado","Único")</f>
        <v>Único</v>
      </c>
    </row>
    <row r="3494" spans="1:5" hidden="1" x14ac:dyDescent="0.25">
      <c r="A3494" s="15">
        <v>49815</v>
      </c>
      <c r="B3494" s="7">
        <v>79610408</v>
      </c>
      <c r="C3494" s="11">
        <v>45985.627708333297</v>
      </c>
      <c r="D3494" s="17" t="s">
        <v>2698</v>
      </c>
      <c r="E3494" t="str">
        <f>IF(COUNTIF($B$2:B3494,B3494)&gt;1,"Duplicado","Único")</f>
        <v>Duplicado</v>
      </c>
    </row>
    <row r="3495" spans="1:5" x14ac:dyDescent="0.25">
      <c r="A3495" s="15">
        <v>34183</v>
      </c>
      <c r="B3495" s="7">
        <v>79619681</v>
      </c>
      <c r="C3495" s="11">
        <v>45917.371064814797</v>
      </c>
      <c r="D3495" s="17" t="s">
        <v>1722</v>
      </c>
      <c r="E3495" t="str">
        <f>IF(COUNTIF($B$2:B3495,B3495)&gt;1,"Duplicado","Único")</f>
        <v>Único</v>
      </c>
    </row>
    <row r="3496" spans="1:5" x14ac:dyDescent="0.25">
      <c r="A3496" s="15">
        <v>50297</v>
      </c>
      <c r="B3496" s="7">
        <v>79620303</v>
      </c>
      <c r="C3496" s="11">
        <v>46050.612569444398</v>
      </c>
      <c r="D3496" s="17" t="s">
        <v>3321</v>
      </c>
      <c r="E3496" t="str">
        <f>IF(COUNTIF($B$2:B3496,B3496)&gt;1,"Duplicado","Único")</f>
        <v>Único</v>
      </c>
    </row>
    <row r="3497" spans="1:5" hidden="1" x14ac:dyDescent="0.25">
      <c r="A3497" s="15">
        <v>50297</v>
      </c>
      <c r="B3497" s="7">
        <v>79620303</v>
      </c>
      <c r="C3497" s="11">
        <v>45988.3503472222</v>
      </c>
      <c r="D3497" s="17" t="s">
        <v>2748</v>
      </c>
      <c r="E3497" t="str">
        <f>IF(COUNTIF($B$2:B3497,B3497)&gt;1,"Duplicado","Único")</f>
        <v>Duplicado</v>
      </c>
    </row>
    <row r="3498" spans="1:5" x14ac:dyDescent="0.25">
      <c r="A3498" s="15">
        <v>50230</v>
      </c>
      <c r="B3498" s="7">
        <v>79622923</v>
      </c>
      <c r="C3498" s="11">
        <v>46050.5918634259</v>
      </c>
      <c r="D3498" s="17" t="s">
        <v>3289</v>
      </c>
      <c r="E3498" t="str">
        <f>IF(COUNTIF($B$2:B3498,B3498)&gt;1,"Duplicado","Único")</f>
        <v>Único</v>
      </c>
    </row>
    <row r="3499" spans="1:5" hidden="1" x14ac:dyDescent="0.25">
      <c r="A3499" s="15">
        <v>50230</v>
      </c>
      <c r="B3499" s="7">
        <v>79622923</v>
      </c>
      <c r="C3499" s="11">
        <v>45987.444803240702</v>
      </c>
      <c r="D3499" s="17" t="s">
        <v>2734</v>
      </c>
      <c r="E3499" t="str">
        <f>IF(COUNTIF($B$2:B3499,B3499)&gt;1,"Duplicado","Único")</f>
        <v>Duplicado</v>
      </c>
    </row>
    <row r="3500" spans="1:5" x14ac:dyDescent="0.25">
      <c r="A3500" s="15">
        <v>17261</v>
      </c>
      <c r="B3500" s="7">
        <v>79628290</v>
      </c>
      <c r="C3500" s="11">
        <v>45790.467997685198</v>
      </c>
      <c r="D3500" s="17" t="s">
        <v>689</v>
      </c>
      <c r="E3500" t="str">
        <f>IF(COUNTIF($B$2:B3500,B3500)&gt;1,"Duplicado","Único")</f>
        <v>Único</v>
      </c>
    </row>
    <row r="3501" spans="1:5" x14ac:dyDescent="0.25">
      <c r="A3501" s="15">
        <v>19981</v>
      </c>
      <c r="B3501" s="7">
        <v>79629844</v>
      </c>
      <c r="C3501" s="11">
        <v>45819.657569444404</v>
      </c>
      <c r="D3501" s="17" t="s">
        <v>851</v>
      </c>
      <c r="E3501" t="str">
        <f>IF(COUNTIF($B$2:B3501,B3501)&gt;1,"Duplicado","Único")</f>
        <v>Único</v>
      </c>
    </row>
    <row r="3502" spans="1:5" x14ac:dyDescent="0.25">
      <c r="A3502" s="15">
        <v>23904</v>
      </c>
      <c r="B3502" s="7">
        <v>79635436</v>
      </c>
      <c r="C3502" s="11">
        <v>45852.522488425901</v>
      </c>
      <c r="D3502" s="17" t="s">
        <v>1067</v>
      </c>
      <c r="E3502" t="str">
        <f>IF(COUNTIF($B$2:B3502,B3502)&gt;1,"Duplicado","Único")</f>
        <v>Único</v>
      </c>
    </row>
    <row r="3503" spans="1:5" x14ac:dyDescent="0.25">
      <c r="A3503" s="15">
        <v>39627</v>
      </c>
      <c r="B3503" s="7">
        <v>79635806</v>
      </c>
      <c r="C3503" s="11">
        <v>45930.462187500001</v>
      </c>
      <c r="D3503" s="17" t="s">
        <v>1888</v>
      </c>
      <c r="E3503" t="str">
        <f>IF(COUNTIF($B$2:B3503,B3503)&gt;1,"Duplicado","Único")</f>
        <v>Único</v>
      </c>
    </row>
    <row r="3504" spans="1:5" x14ac:dyDescent="0.25">
      <c r="A3504" s="15">
        <v>47829</v>
      </c>
      <c r="B3504" s="7">
        <v>79646730</v>
      </c>
      <c r="C3504" s="11">
        <v>45973.661539351902</v>
      </c>
      <c r="D3504" s="17" t="s">
        <v>2469</v>
      </c>
      <c r="E3504" t="str">
        <f>IF(COUNTIF($B$2:B3504,B3504)&gt;1,"Duplicado","Único")</f>
        <v>Único</v>
      </c>
    </row>
    <row r="3505" spans="1:5" x14ac:dyDescent="0.25">
      <c r="A3505" s="15">
        <v>1041</v>
      </c>
      <c r="B3505" s="7">
        <v>79648686</v>
      </c>
      <c r="C3505" s="11">
        <v>46086.633877314802</v>
      </c>
      <c r="D3505" s="17" t="s">
        <v>3851</v>
      </c>
      <c r="E3505" t="str">
        <f>IF(COUNTIF($B$2:B3505,B3505)&gt;1,"Duplicado","Único")</f>
        <v>Único</v>
      </c>
    </row>
    <row r="3506" spans="1:5" hidden="1" x14ac:dyDescent="0.25">
      <c r="A3506" s="15">
        <v>1041</v>
      </c>
      <c r="B3506" s="7">
        <v>79648686</v>
      </c>
      <c r="C3506" s="11">
        <v>46036.409618055601</v>
      </c>
      <c r="D3506" s="17" t="s">
        <v>3160</v>
      </c>
      <c r="E3506" t="str">
        <f>IF(COUNTIF($B$2:B3506,B3506)&gt;1,"Duplicado","Único")</f>
        <v>Duplicado</v>
      </c>
    </row>
    <row r="3507" spans="1:5" x14ac:dyDescent="0.25">
      <c r="A3507" s="15">
        <v>18450</v>
      </c>
      <c r="B3507" s="7">
        <v>79648801</v>
      </c>
      <c r="C3507" s="11">
        <v>46149.411747685197</v>
      </c>
      <c r="D3507" s="17" t="s">
        <v>4440</v>
      </c>
      <c r="E3507" t="str">
        <f>IF(COUNTIF($B$2:B3507,B3507)&gt;1,"Duplicado","Único")</f>
        <v>Único</v>
      </c>
    </row>
    <row r="3508" spans="1:5" hidden="1" x14ac:dyDescent="0.25">
      <c r="A3508" s="15">
        <v>18450</v>
      </c>
      <c r="B3508" s="7">
        <v>79648801</v>
      </c>
      <c r="C3508" s="11">
        <v>46118.406446759298</v>
      </c>
      <c r="D3508" s="17" t="s">
        <v>1195</v>
      </c>
      <c r="E3508" t="str">
        <f>IF(COUNTIF($B$2:B3508,B3508)&gt;1,"Duplicado","Único")</f>
        <v>Duplicado</v>
      </c>
    </row>
    <row r="3509" spans="1:5" hidden="1" x14ac:dyDescent="0.25">
      <c r="A3509" s="15">
        <v>21342</v>
      </c>
      <c r="B3509" s="7">
        <v>79648801</v>
      </c>
      <c r="C3509" s="11">
        <v>45824.4700115741</v>
      </c>
      <c r="D3509" s="17" t="s">
        <v>939</v>
      </c>
      <c r="E3509" t="str">
        <f>IF(COUNTIF($B$2:B3509,B3509)&gt;1,"Duplicado","Único")</f>
        <v>Duplicado</v>
      </c>
    </row>
    <row r="3510" spans="1:5" x14ac:dyDescent="0.25">
      <c r="A3510" s="15">
        <v>26054</v>
      </c>
      <c r="B3510" s="7">
        <v>79656522</v>
      </c>
      <c r="C3510" s="11">
        <v>45866.645173611098</v>
      </c>
      <c r="D3510" s="17" t="s">
        <v>1167</v>
      </c>
      <c r="E3510" t="str">
        <f>IF(COUNTIF($B$2:B3510,B3510)&gt;1,"Duplicado","Único")</f>
        <v>Único</v>
      </c>
    </row>
    <row r="3511" spans="1:5" x14ac:dyDescent="0.25">
      <c r="A3511" s="15">
        <v>19746</v>
      </c>
      <c r="B3511" s="7">
        <v>79661496</v>
      </c>
      <c r="C3511" s="11">
        <v>45814.325648148202</v>
      </c>
      <c r="D3511" s="17" t="s">
        <v>842</v>
      </c>
      <c r="E3511" t="str">
        <f>IF(COUNTIF($B$2:B3511,B3511)&gt;1,"Duplicado","Único")</f>
        <v>Único</v>
      </c>
    </row>
    <row r="3512" spans="1:5" x14ac:dyDescent="0.25">
      <c r="A3512" s="15">
        <v>27272</v>
      </c>
      <c r="B3512" s="7">
        <v>79662295</v>
      </c>
      <c r="C3512" s="11">
        <v>45874.508541666699</v>
      </c>
      <c r="D3512" s="17" t="s">
        <v>1259</v>
      </c>
      <c r="E3512" t="str">
        <f>IF(COUNTIF($B$2:B3512,B3512)&gt;1,"Duplicado","Único")</f>
        <v>Único</v>
      </c>
    </row>
    <row r="3513" spans="1:5" x14ac:dyDescent="0.25">
      <c r="A3513" s="15">
        <v>32798</v>
      </c>
      <c r="B3513" s="7">
        <v>79671003</v>
      </c>
      <c r="C3513" s="11">
        <v>45910.506168981497</v>
      </c>
      <c r="D3513" s="17" t="s">
        <v>1653</v>
      </c>
      <c r="E3513" t="str">
        <f>IF(COUNTIF($B$2:B3513,B3513)&gt;1,"Duplicado","Único")</f>
        <v>Único</v>
      </c>
    </row>
    <row r="3514" spans="1:5" x14ac:dyDescent="0.25">
      <c r="A3514" s="15">
        <v>17490</v>
      </c>
      <c r="B3514" s="7">
        <v>79698589</v>
      </c>
      <c r="C3514" s="11">
        <v>45797.520405092597</v>
      </c>
      <c r="D3514" s="17" t="s">
        <v>711</v>
      </c>
      <c r="E3514" t="str">
        <f>IF(COUNTIF($B$2:B3514,B3514)&gt;1,"Duplicado","Único")</f>
        <v>Único</v>
      </c>
    </row>
    <row r="3515" spans="1:5" x14ac:dyDescent="0.25">
      <c r="A3515" s="15">
        <v>38916</v>
      </c>
      <c r="B3515" s="7">
        <v>79699491</v>
      </c>
      <c r="C3515" s="11">
        <v>45929.431516203702</v>
      </c>
      <c r="D3515" s="17" t="s">
        <v>1859</v>
      </c>
      <c r="E3515" t="str">
        <f>IF(COUNTIF($B$2:B3515,B3515)&gt;1,"Duplicado","Único")</f>
        <v>Único</v>
      </c>
    </row>
    <row r="3516" spans="1:5" x14ac:dyDescent="0.25">
      <c r="A3516" s="15">
        <v>50427</v>
      </c>
      <c r="B3516" s="7">
        <v>79700606</v>
      </c>
      <c r="C3516" s="11">
        <v>46050.658599536997</v>
      </c>
      <c r="D3516" s="17" t="s">
        <v>3372</v>
      </c>
      <c r="E3516" t="str">
        <f>IF(COUNTIF($B$2:B3516,B3516)&gt;1,"Duplicado","Único")</f>
        <v>Único</v>
      </c>
    </row>
    <row r="3517" spans="1:5" hidden="1" x14ac:dyDescent="0.25">
      <c r="A3517" s="15">
        <v>50427</v>
      </c>
      <c r="B3517" s="7">
        <v>79700606</v>
      </c>
      <c r="C3517" s="11">
        <v>45992.5078125</v>
      </c>
      <c r="D3517" s="17" t="s">
        <v>2817</v>
      </c>
      <c r="E3517" t="str">
        <f>IF(COUNTIF($B$2:B3517,B3517)&gt;1,"Duplicado","Único")</f>
        <v>Duplicado</v>
      </c>
    </row>
    <row r="3518" spans="1:5" x14ac:dyDescent="0.25">
      <c r="A3518" s="15">
        <v>17921</v>
      </c>
      <c r="B3518" s="7">
        <v>79708167</v>
      </c>
      <c r="C3518" s="11">
        <v>46149.412245370397</v>
      </c>
      <c r="D3518" s="17" t="s">
        <v>4441</v>
      </c>
      <c r="E3518" t="str">
        <f>IF(COUNTIF($B$2:B3518,B3518)&gt;1,"Duplicado","Único")</f>
        <v>Único</v>
      </c>
    </row>
    <row r="3519" spans="1:5" hidden="1" x14ac:dyDescent="0.25">
      <c r="A3519" s="15">
        <v>17921</v>
      </c>
      <c r="B3519" s="7">
        <v>79708167</v>
      </c>
      <c r="C3519" s="11">
        <v>46118.325949074097</v>
      </c>
      <c r="D3519" s="17" t="s">
        <v>4237</v>
      </c>
      <c r="E3519" t="str">
        <f>IF(COUNTIF($B$2:B3519,B3519)&gt;1,"Duplicado","Único")</f>
        <v>Duplicado</v>
      </c>
    </row>
    <row r="3520" spans="1:5" x14ac:dyDescent="0.25">
      <c r="A3520" s="15">
        <v>45247</v>
      </c>
      <c r="B3520" s="7">
        <v>79708258</v>
      </c>
      <c r="C3520" s="11">
        <v>45959.627928240698</v>
      </c>
      <c r="D3520" s="17" t="s">
        <v>2233</v>
      </c>
      <c r="E3520" t="str">
        <f>IF(COUNTIF($B$2:B3520,B3520)&gt;1,"Duplicado","Único")</f>
        <v>Único</v>
      </c>
    </row>
    <row r="3521" spans="1:5" x14ac:dyDescent="0.25">
      <c r="A3521" s="15">
        <v>20259</v>
      </c>
      <c r="B3521" s="7">
        <v>79712340</v>
      </c>
      <c r="C3521" s="11">
        <v>45852.425625000003</v>
      </c>
      <c r="D3521" s="17" t="s">
        <v>1063</v>
      </c>
      <c r="E3521" t="str">
        <f>IF(COUNTIF($B$2:B3521,B3521)&gt;1,"Duplicado","Único")</f>
        <v>Único</v>
      </c>
    </row>
    <row r="3522" spans="1:5" hidden="1" x14ac:dyDescent="0.25">
      <c r="A3522" s="15">
        <v>20259</v>
      </c>
      <c r="B3522" s="7">
        <v>79712340</v>
      </c>
      <c r="C3522" s="11">
        <v>45820.357499999998</v>
      </c>
      <c r="D3522" s="17" t="s">
        <v>871</v>
      </c>
      <c r="E3522" t="str">
        <f>IF(COUNTIF($B$2:B3522,B3522)&gt;1,"Duplicado","Único")</f>
        <v>Duplicado</v>
      </c>
    </row>
    <row r="3523" spans="1:5" x14ac:dyDescent="0.25">
      <c r="A3523" s="15">
        <v>21200</v>
      </c>
      <c r="B3523" s="7">
        <v>79712870</v>
      </c>
      <c r="C3523" s="11">
        <v>45824.396354166704</v>
      </c>
      <c r="D3523" s="17" t="s">
        <v>930</v>
      </c>
      <c r="E3523" t="str">
        <f>IF(COUNTIF($B$2:B3523,B3523)&gt;1,"Duplicado","Único")</f>
        <v>Único</v>
      </c>
    </row>
    <row r="3524" spans="1:5" x14ac:dyDescent="0.25">
      <c r="A3524" s="15">
        <v>27725</v>
      </c>
      <c r="B3524" s="7">
        <v>79721153</v>
      </c>
      <c r="C3524" s="11">
        <v>45877.526782407404</v>
      </c>
      <c r="D3524" s="17" t="s">
        <v>1295</v>
      </c>
      <c r="E3524" t="str">
        <f>IF(COUNTIF($B$2:B3524,B3524)&gt;1,"Duplicado","Único")</f>
        <v>Único</v>
      </c>
    </row>
    <row r="3525" spans="1:5" x14ac:dyDescent="0.25">
      <c r="A3525" s="15">
        <v>28883</v>
      </c>
      <c r="B3525" s="7">
        <v>79728884</v>
      </c>
      <c r="C3525" s="11">
        <v>45890.495821759301</v>
      </c>
      <c r="D3525" s="17" t="s">
        <v>1365</v>
      </c>
      <c r="E3525" t="str">
        <f>IF(COUNTIF($B$2:B3525,B3525)&gt;1,"Duplicado","Único")</f>
        <v>Único</v>
      </c>
    </row>
    <row r="3526" spans="1:5" x14ac:dyDescent="0.25">
      <c r="A3526" s="15">
        <v>28889</v>
      </c>
      <c r="B3526" s="7">
        <v>79732196</v>
      </c>
      <c r="C3526" s="11">
        <v>45890.596145833297</v>
      </c>
      <c r="D3526" s="17" t="s">
        <v>1366</v>
      </c>
      <c r="E3526" t="str">
        <f>IF(COUNTIF($B$2:B3526,B3526)&gt;1,"Duplicado","Único")</f>
        <v>Único</v>
      </c>
    </row>
    <row r="3527" spans="1:5" x14ac:dyDescent="0.25">
      <c r="A3527" s="15">
        <v>17834</v>
      </c>
      <c r="B3527" s="7">
        <v>79739734</v>
      </c>
      <c r="C3527" s="11">
        <v>45804.401527777802</v>
      </c>
      <c r="D3527" s="17" t="s">
        <v>780</v>
      </c>
      <c r="E3527" t="str">
        <f>IF(COUNTIF($B$2:B3527,B3527)&gt;1,"Duplicado","Único")</f>
        <v>Único</v>
      </c>
    </row>
    <row r="3528" spans="1:5" hidden="1" x14ac:dyDescent="0.25">
      <c r="A3528" s="15">
        <v>17834</v>
      </c>
      <c r="B3528" s="7">
        <v>79739734</v>
      </c>
      <c r="C3528" s="11">
        <v>45797.703634259298</v>
      </c>
      <c r="D3528" s="17" t="s">
        <v>725</v>
      </c>
      <c r="E3528" t="str">
        <f>IF(COUNTIF($B$2:B3528,B3528)&gt;1,"Duplicado","Único")</f>
        <v>Duplicado</v>
      </c>
    </row>
    <row r="3529" spans="1:5" x14ac:dyDescent="0.25">
      <c r="A3529" s="15">
        <v>20275</v>
      </c>
      <c r="B3529" s="7">
        <v>79742763</v>
      </c>
      <c r="C3529" s="11">
        <v>45820.363900463002</v>
      </c>
      <c r="D3529" s="17" t="s">
        <v>873</v>
      </c>
      <c r="E3529" t="str">
        <f>IF(COUNTIF($B$2:B3529,B3529)&gt;1,"Duplicado","Único")</f>
        <v>Único</v>
      </c>
    </row>
    <row r="3530" spans="1:5" x14ac:dyDescent="0.25">
      <c r="A3530" s="15">
        <v>54181</v>
      </c>
      <c r="B3530" s="7">
        <v>79755805</v>
      </c>
      <c r="C3530" s="11">
        <v>46057.367071759298</v>
      </c>
      <c r="D3530" s="17" t="s">
        <v>3652</v>
      </c>
      <c r="E3530" t="str">
        <f>IF(COUNTIF($B$2:B3530,B3530)&gt;1,"Duplicado","Único")</f>
        <v>Único</v>
      </c>
    </row>
    <row r="3531" spans="1:5" hidden="1" x14ac:dyDescent="0.25">
      <c r="A3531" s="15">
        <v>54181</v>
      </c>
      <c r="B3531" s="7">
        <v>79755805</v>
      </c>
      <c r="C3531" s="11">
        <v>46013.670682870397</v>
      </c>
      <c r="D3531" s="17" t="s">
        <v>3061</v>
      </c>
      <c r="E3531" t="str">
        <f>IF(COUNTIF($B$2:B3531,B3531)&gt;1,"Duplicado","Único")</f>
        <v>Duplicado</v>
      </c>
    </row>
    <row r="3532" spans="1:5" x14ac:dyDescent="0.25">
      <c r="A3532" s="15">
        <v>2084</v>
      </c>
      <c r="B3532" s="7">
        <v>79758893</v>
      </c>
      <c r="C3532" s="11">
        <v>46086.698391203703</v>
      </c>
      <c r="D3532" s="17" t="s">
        <v>3887</v>
      </c>
      <c r="E3532" t="str">
        <f>IF(COUNTIF($B$2:B3532,B3532)&gt;1,"Duplicado","Único")</f>
        <v>Único</v>
      </c>
    </row>
    <row r="3533" spans="1:5" hidden="1" x14ac:dyDescent="0.25">
      <c r="A3533" s="15">
        <v>2084</v>
      </c>
      <c r="B3533" s="7">
        <v>79758893</v>
      </c>
      <c r="C3533" s="11">
        <v>46048.637361111098</v>
      </c>
      <c r="D3533" s="17" t="s">
        <v>3209</v>
      </c>
      <c r="E3533" t="str">
        <f>IF(COUNTIF($B$2:B3533,B3533)&gt;1,"Duplicado","Único")</f>
        <v>Duplicado</v>
      </c>
    </row>
    <row r="3534" spans="1:5" x14ac:dyDescent="0.25">
      <c r="A3534" s="15">
        <v>49729</v>
      </c>
      <c r="B3534" s="7">
        <v>79780762</v>
      </c>
      <c r="C3534" s="11">
        <v>46050.429270833301</v>
      </c>
      <c r="D3534" s="17" t="s">
        <v>3232</v>
      </c>
      <c r="E3534" t="str">
        <f>IF(COUNTIF($B$2:B3534,B3534)&gt;1,"Duplicado","Único")</f>
        <v>Único</v>
      </c>
    </row>
    <row r="3535" spans="1:5" hidden="1" x14ac:dyDescent="0.25">
      <c r="A3535" s="15">
        <v>49729</v>
      </c>
      <c r="B3535" s="7">
        <v>79780762</v>
      </c>
      <c r="C3535" s="11">
        <v>45985.521874999999</v>
      </c>
      <c r="D3535" s="17" t="s">
        <v>2692</v>
      </c>
      <c r="E3535" t="str">
        <f>IF(COUNTIF($B$2:B3535,B3535)&gt;1,"Duplicado","Único")</f>
        <v>Duplicado</v>
      </c>
    </row>
    <row r="3536" spans="1:5" x14ac:dyDescent="0.25">
      <c r="A3536" s="15">
        <v>578</v>
      </c>
      <c r="B3536" s="7">
        <v>79781347</v>
      </c>
      <c r="C3536" s="11">
        <v>46086.503726851799</v>
      </c>
      <c r="D3536" s="17" t="s">
        <v>3823</v>
      </c>
      <c r="E3536" t="str">
        <f>IF(COUNTIF($B$2:B3536,B3536)&gt;1,"Duplicado","Único")</f>
        <v>Único</v>
      </c>
    </row>
    <row r="3537" spans="1:5" hidden="1" x14ac:dyDescent="0.25">
      <c r="A3537" s="15">
        <v>578</v>
      </c>
      <c r="B3537" s="7">
        <v>79781347</v>
      </c>
      <c r="C3537" s="11">
        <v>46035.4071064815</v>
      </c>
      <c r="D3537" s="17" t="s">
        <v>3135</v>
      </c>
      <c r="E3537" t="str">
        <f>IF(COUNTIF($B$2:B3537,B3537)&gt;1,"Duplicado","Único")</f>
        <v>Duplicado</v>
      </c>
    </row>
    <row r="3538" spans="1:5" x14ac:dyDescent="0.25">
      <c r="A3538" s="15">
        <v>34179</v>
      </c>
      <c r="B3538" s="7">
        <v>79793428</v>
      </c>
      <c r="C3538" s="11">
        <v>45916.458541666703</v>
      </c>
      <c r="D3538" s="17" t="s">
        <v>1718</v>
      </c>
      <c r="E3538" t="str">
        <f>IF(COUNTIF($B$2:B3538,B3538)&gt;1,"Duplicado","Único")</f>
        <v>Único</v>
      </c>
    </row>
    <row r="3539" spans="1:5" x14ac:dyDescent="0.25">
      <c r="A3539" s="15">
        <v>36247</v>
      </c>
      <c r="B3539" s="7">
        <v>79794554</v>
      </c>
      <c r="C3539" s="11">
        <v>45918.502650463</v>
      </c>
      <c r="D3539" s="17" t="s">
        <v>1748</v>
      </c>
      <c r="E3539" t="str">
        <f>IF(COUNTIF($B$2:B3539,B3539)&gt;1,"Duplicado","Único")</f>
        <v>Único</v>
      </c>
    </row>
    <row r="3540" spans="1:5" x14ac:dyDescent="0.25">
      <c r="A3540" s="15">
        <v>1255</v>
      </c>
      <c r="B3540" s="7">
        <v>79794620</v>
      </c>
      <c r="C3540" s="11">
        <v>46086.6346990741</v>
      </c>
      <c r="D3540" s="17" t="s">
        <v>3852</v>
      </c>
      <c r="E3540" t="str">
        <f>IF(COUNTIF($B$2:B3540,B3540)&gt;1,"Duplicado","Único")</f>
        <v>Único</v>
      </c>
    </row>
    <row r="3541" spans="1:5" hidden="1" x14ac:dyDescent="0.25">
      <c r="A3541" s="15">
        <v>1255</v>
      </c>
      <c r="B3541" s="7">
        <v>79794620</v>
      </c>
      <c r="C3541" s="11">
        <v>46036.469143518501</v>
      </c>
      <c r="D3541" s="17" t="s">
        <v>3165</v>
      </c>
      <c r="E3541" t="str">
        <f>IF(COUNTIF($B$2:B3541,B3541)&gt;1,"Duplicado","Único")</f>
        <v>Duplicado</v>
      </c>
    </row>
    <row r="3542" spans="1:5" x14ac:dyDescent="0.25">
      <c r="A3542" s="15">
        <v>30150</v>
      </c>
      <c r="B3542" s="7">
        <v>79795123</v>
      </c>
      <c r="C3542" s="11">
        <v>45898.488310185203</v>
      </c>
      <c r="D3542" s="17" t="s">
        <v>1462</v>
      </c>
      <c r="E3542" t="str">
        <f>IF(COUNTIF($B$2:B3542,B3542)&gt;1,"Duplicado","Único")</f>
        <v>Único</v>
      </c>
    </row>
    <row r="3543" spans="1:5" x14ac:dyDescent="0.25">
      <c r="A3543" s="15">
        <v>48910</v>
      </c>
      <c r="B3543" s="7">
        <v>79801271</v>
      </c>
      <c r="C3543" s="11">
        <v>45980.484502314801</v>
      </c>
      <c r="D3543" s="17" t="s">
        <v>2615</v>
      </c>
      <c r="E3543" t="str">
        <f>IF(COUNTIF($B$2:B3543,B3543)&gt;1,"Duplicado","Único")</f>
        <v>Único</v>
      </c>
    </row>
    <row r="3544" spans="1:5" x14ac:dyDescent="0.25">
      <c r="A3544" s="15">
        <v>28321</v>
      </c>
      <c r="B3544" s="7">
        <v>79830480</v>
      </c>
      <c r="C3544" s="11">
        <v>45888.4390740741</v>
      </c>
      <c r="D3544" s="17" t="s">
        <v>1326</v>
      </c>
      <c r="E3544" t="str">
        <f>IF(COUNTIF($B$2:B3544,B3544)&gt;1,"Duplicado","Único")</f>
        <v>Único</v>
      </c>
    </row>
    <row r="3545" spans="1:5" x14ac:dyDescent="0.25">
      <c r="A3545" s="15">
        <v>29478</v>
      </c>
      <c r="B3545" s="7">
        <v>79837968</v>
      </c>
      <c r="C3545" s="11">
        <v>45894.620717592603</v>
      </c>
      <c r="D3545" s="17" t="s">
        <v>1412</v>
      </c>
      <c r="E3545" t="str">
        <f>IF(COUNTIF($B$2:B3545,B3545)&gt;1,"Duplicado","Único")</f>
        <v>Único</v>
      </c>
    </row>
    <row r="3546" spans="1:5" x14ac:dyDescent="0.25">
      <c r="A3546" s="15">
        <v>725</v>
      </c>
      <c r="B3546" s="7">
        <v>79839761</v>
      </c>
      <c r="C3546" s="11">
        <v>46086.504432870403</v>
      </c>
      <c r="D3546" s="17" t="s">
        <v>3824</v>
      </c>
      <c r="E3546" t="str">
        <f>IF(COUNTIF($B$2:B3546,B3546)&gt;1,"Duplicado","Único")</f>
        <v>Único</v>
      </c>
    </row>
    <row r="3547" spans="1:5" hidden="1" x14ac:dyDescent="0.25">
      <c r="A3547" s="15">
        <v>725</v>
      </c>
      <c r="B3547" s="7">
        <v>79839761</v>
      </c>
      <c r="C3547" s="11">
        <v>46035.494895833297</v>
      </c>
      <c r="D3547" s="17" t="s">
        <v>3142</v>
      </c>
      <c r="E3547" t="str">
        <f>IF(COUNTIF($B$2:B3547,B3547)&gt;1,"Duplicado","Único")</f>
        <v>Duplicado</v>
      </c>
    </row>
    <row r="3548" spans="1:5" x14ac:dyDescent="0.25">
      <c r="A3548" s="15">
        <v>27731</v>
      </c>
      <c r="B3548" s="7">
        <v>79844589</v>
      </c>
      <c r="C3548" s="11">
        <v>45881.3515625</v>
      </c>
      <c r="D3548" s="17" t="s">
        <v>1296</v>
      </c>
      <c r="E3548" t="str">
        <f>IF(COUNTIF($B$2:B3548,B3548)&gt;1,"Duplicado","Único")</f>
        <v>Único</v>
      </c>
    </row>
    <row r="3549" spans="1:5" x14ac:dyDescent="0.25">
      <c r="A3549" s="15">
        <v>54329</v>
      </c>
      <c r="B3549" s="7">
        <v>79846131</v>
      </c>
      <c r="C3549" s="11">
        <v>46057.4510532407</v>
      </c>
      <c r="D3549" s="17" t="s">
        <v>3724</v>
      </c>
      <c r="E3549" t="str">
        <f>IF(COUNTIF($B$2:B3549,B3549)&gt;1,"Duplicado","Único")</f>
        <v>Único</v>
      </c>
    </row>
    <row r="3550" spans="1:5" hidden="1" x14ac:dyDescent="0.25">
      <c r="A3550" s="15">
        <v>54329</v>
      </c>
      <c r="B3550" s="7">
        <v>79846131</v>
      </c>
      <c r="C3550" s="11">
        <v>46017.397233796299</v>
      </c>
      <c r="D3550" s="17" t="s">
        <v>3082</v>
      </c>
      <c r="E3550" t="str">
        <f>IF(COUNTIF($B$2:B3550,B3550)&gt;1,"Duplicado","Único")</f>
        <v>Duplicado</v>
      </c>
    </row>
    <row r="3551" spans="1:5" x14ac:dyDescent="0.25">
      <c r="A3551" s="15">
        <v>39631</v>
      </c>
      <c r="B3551" s="7">
        <v>79859121</v>
      </c>
      <c r="C3551" s="11">
        <v>45930.469618055598</v>
      </c>
      <c r="D3551" s="17" t="s">
        <v>1889</v>
      </c>
      <c r="E3551" t="str">
        <f>IF(COUNTIF($B$2:B3551,B3551)&gt;1,"Duplicado","Único")</f>
        <v>Único</v>
      </c>
    </row>
    <row r="3552" spans="1:5" x14ac:dyDescent="0.25">
      <c r="A3552" s="15">
        <v>33112</v>
      </c>
      <c r="B3552" s="7">
        <v>79864890</v>
      </c>
      <c r="C3552" s="11">
        <v>45912.509618055599</v>
      </c>
      <c r="D3552" s="17" t="s">
        <v>1676</v>
      </c>
      <c r="E3552" t="str">
        <f>IF(COUNTIF($B$2:B3552,B3552)&gt;1,"Duplicado","Único")</f>
        <v>Único</v>
      </c>
    </row>
    <row r="3553" spans="1:5" x14ac:dyDescent="0.25">
      <c r="A3553" s="15">
        <v>45713</v>
      </c>
      <c r="B3553" s="7">
        <v>79876489</v>
      </c>
      <c r="C3553" s="11">
        <v>45960.627581018503</v>
      </c>
      <c r="D3553" s="17" t="s">
        <v>2253</v>
      </c>
      <c r="E3553" t="str">
        <f>IF(COUNTIF($B$2:B3553,B3553)&gt;1,"Duplicado","Único")</f>
        <v>Único</v>
      </c>
    </row>
    <row r="3554" spans="1:5" x14ac:dyDescent="0.25">
      <c r="A3554" s="15">
        <v>19378</v>
      </c>
      <c r="B3554" s="7">
        <v>79881772</v>
      </c>
      <c r="C3554" s="11">
        <v>45813.761724536998</v>
      </c>
      <c r="D3554" s="17" t="s">
        <v>826</v>
      </c>
      <c r="E3554" t="str">
        <f>IF(COUNTIF($B$2:B3554,B3554)&gt;1,"Duplicado","Único")</f>
        <v>Único</v>
      </c>
    </row>
    <row r="3555" spans="1:5" x14ac:dyDescent="0.25">
      <c r="A3555" s="15">
        <v>2114</v>
      </c>
      <c r="B3555" s="7">
        <v>79882176</v>
      </c>
      <c r="C3555" s="11">
        <v>46086.698888888903</v>
      </c>
      <c r="D3555" s="17" t="s">
        <v>3888</v>
      </c>
      <c r="E3555" t="str">
        <f>IF(COUNTIF($B$2:B3555,B3555)&gt;1,"Duplicado","Único")</f>
        <v>Único</v>
      </c>
    </row>
    <row r="3556" spans="1:5" hidden="1" x14ac:dyDescent="0.25">
      <c r="A3556" s="15">
        <v>2114</v>
      </c>
      <c r="B3556" s="7">
        <v>79882176</v>
      </c>
      <c r="C3556" s="11">
        <v>46048.641875000001</v>
      </c>
      <c r="D3556" s="17" t="s">
        <v>3211</v>
      </c>
      <c r="E3556" t="str">
        <f>IF(COUNTIF($B$2:B3556,B3556)&gt;1,"Duplicado","Único")</f>
        <v>Duplicado</v>
      </c>
    </row>
    <row r="3557" spans="1:5" x14ac:dyDescent="0.25">
      <c r="A3557" s="15">
        <v>24842</v>
      </c>
      <c r="B3557" s="7">
        <v>79888466</v>
      </c>
      <c r="C3557" s="11">
        <v>45873.475069444401</v>
      </c>
      <c r="D3557" s="17" t="s">
        <v>1224</v>
      </c>
      <c r="E3557" t="str">
        <f>IF(COUNTIF($B$2:B3557,B3557)&gt;1,"Duplicado","Único")</f>
        <v>Único</v>
      </c>
    </row>
    <row r="3558" spans="1:5" hidden="1" x14ac:dyDescent="0.25">
      <c r="A3558" s="15">
        <v>24842</v>
      </c>
      <c r="B3558" s="7">
        <v>79888466</v>
      </c>
      <c r="C3558" s="11">
        <v>45860.651712963001</v>
      </c>
      <c r="D3558" s="17" t="s">
        <v>1139</v>
      </c>
      <c r="E3558" t="str">
        <f>IF(COUNTIF($B$2:B3558,B3558)&gt;1,"Duplicado","Único")</f>
        <v>Duplicado</v>
      </c>
    </row>
    <row r="3559" spans="1:5" hidden="1" x14ac:dyDescent="0.25">
      <c r="A3559" s="15">
        <v>24842</v>
      </c>
      <c r="B3559" s="7">
        <v>79888466</v>
      </c>
      <c r="C3559" s="11">
        <v>45859.471273148098</v>
      </c>
      <c r="D3559" s="17" t="s">
        <v>1100</v>
      </c>
      <c r="E3559" t="str">
        <f>IF(COUNTIF($B$2:B3559,B3559)&gt;1,"Duplicado","Único")</f>
        <v>Duplicado</v>
      </c>
    </row>
    <row r="3560" spans="1:5" x14ac:dyDescent="0.25">
      <c r="A3560" s="15">
        <v>34946</v>
      </c>
      <c r="B3560" s="7">
        <v>79888810</v>
      </c>
      <c r="C3560" s="11">
        <v>45917.3826736111</v>
      </c>
      <c r="D3560" s="17" t="s">
        <v>1724</v>
      </c>
      <c r="E3560" t="str">
        <f>IF(COUNTIF($B$2:B3560,B3560)&gt;1,"Duplicado","Único")</f>
        <v>Único</v>
      </c>
    </row>
    <row r="3561" spans="1:5" x14ac:dyDescent="0.25">
      <c r="A3561" s="15">
        <v>39117</v>
      </c>
      <c r="B3561" s="7">
        <v>79899443</v>
      </c>
      <c r="C3561" s="11">
        <v>45929.598946759303</v>
      </c>
      <c r="D3561" s="17" t="s">
        <v>1866</v>
      </c>
      <c r="E3561" t="str">
        <f>IF(COUNTIF($B$2:B3561,B3561)&gt;1,"Duplicado","Único")</f>
        <v>Único</v>
      </c>
    </row>
    <row r="3562" spans="1:5" x14ac:dyDescent="0.25">
      <c r="A3562" s="15">
        <v>26238</v>
      </c>
      <c r="B3562" s="7">
        <v>79901766</v>
      </c>
      <c r="C3562" s="11">
        <v>45867.3649421296</v>
      </c>
      <c r="D3562" s="17" t="s">
        <v>1180</v>
      </c>
      <c r="E3562" t="str">
        <f>IF(COUNTIF($B$2:B3562,B3562)&gt;1,"Duplicado","Único")</f>
        <v>Único</v>
      </c>
    </row>
    <row r="3563" spans="1:5" x14ac:dyDescent="0.25">
      <c r="A3563" s="15">
        <v>15202</v>
      </c>
      <c r="B3563" s="7">
        <v>79904263</v>
      </c>
      <c r="C3563" s="11">
        <v>46120.611689814803</v>
      </c>
      <c r="D3563" s="17" t="s">
        <v>4301</v>
      </c>
      <c r="E3563" t="str">
        <f>IF(COUNTIF($B$2:B3563,B3563)&gt;1,"Duplicado","Único")</f>
        <v>Único</v>
      </c>
    </row>
    <row r="3564" spans="1:5" hidden="1" x14ac:dyDescent="0.25">
      <c r="A3564" s="15">
        <v>15202</v>
      </c>
      <c r="B3564" s="7">
        <v>79904263</v>
      </c>
      <c r="C3564" s="11">
        <v>46094.506458333301</v>
      </c>
      <c r="D3564" s="17" t="s">
        <v>4070</v>
      </c>
      <c r="E3564" t="str">
        <f>IF(COUNTIF($B$2:B3564,B3564)&gt;1,"Duplicado","Único")</f>
        <v>Duplicado</v>
      </c>
    </row>
    <row r="3565" spans="1:5" x14ac:dyDescent="0.25">
      <c r="A3565" s="15">
        <v>2834</v>
      </c>
      <c r="B3565" s="7">
        <v>79910983</v>
      </c>
      <c r="C3565" s="11">
        <v>46086.7335648148</v>
      </c>
      <c r="D3565" s="17" t="s">
        <v>3919</v>
      </c>
      <c r="E3565" t="str">
        <f>IF(COUNTIF($B$2:B3565,B3565)&gt;1,"Duplicado","Único")</f>
        <v>Único</v>
      </c>
    </row>
    <row r="3566" spans="1:5" hidden="1" x14ac:dyDescent="0.25">
      <c r="A3566" s="15">
        <v>2834</v>
      </c>
      <c r="B3566" s="7">
        <v>79910983</v>
      </c>
      <c r="C3566" s="11">
        <v>46050.476932870399</v>
      </c>
      <c r="D3566" s="17" t="s">
        <v>3261</v>
      </c>
      <c r="E3566" t="str">
        <f>IF(COUNTIF($B$2:B3566,B3566)&gt;1,"Duplicado","Único")</f>
        <v>Duplicado</v>
      </c>
    </row>
    <row r="3567" spans="1:5" x14ac:dyDescent="0.25">
      <c r="A3567" s="15">
        <v>22233</v>
      </c>
      <c r="B3567" s="7">
        <v>79913115</v>
      </c>
      <c r="C3567" s="11">
        <v>45835.712534722203</v>
      </c>
      <c r="D3567" s="17" t="s">
        <v>998</v>
      </c>
      <c r="E3567" t="str">
        <f>IF(COUNTIF($B$2:B3567,B3567)&gt;1,"Duplicado","Único")</f>
        <v>Único</v>
      </c>
    </row>
    <row r="3568" spans="1:5" x14ac:dyDescent="0.25">
      <c r="A3568" s="15">
        <v>43084</v>
      </c>
      <c r="B3568" s="7">
        <v>79918676</v>
      </c>
      <c r="C3568" s="11">
        <v>45953.603923611103</v>
      </c>
      <c r="D3568" s="17" t="s">
        <v>2054</v>
      </c>
      <c r="E3568" t="str">
        <f>IF(COUNTIF($B$2:B3568,B3568)&gt;1,"Duplicado","Único")</f>
        <v>Único</v>
      </c>
    </row>
    <row r="3569" spans="1:5" x14ac:dyDescent="0.25">
      <c r="A3569" s="15">
        <v>53448</v>
      </c>
      <c r="B3569" s="7">
        <v>79920202</v>
      </c>
      <c r="C3569" s="11">
        <v>46057.408888888902</v>
      </c>
      <c r="D3569" s="17" t="s">
        <v>3688</v>
      </c>
      <c r="E3569" t="str">
        <f>IF(COUNTIF($B$2:B3569,B3569)&gt;1,"Duplicado","Único")</f>
        <v>Único</v>
      </c>
    </row>
    <row r="3570" spans="1:5" hidden="1" x14ac:dyDescent="0.25">
      <c r="A3570" s="15">
        <v>53448</v>
      </c>
      <c r="B3570" s="7">
        <v>79920202</v>
      </c>
      <c r="C3570" s="11">
        <v>46013.4835648148</v>
      </c>
      <c r="D3570" s="17" t="s">
        <v>3021</v>
      </c>
      <c r="E3570" t="str">
        <f>IF(COUNTIF($B$2:B3570,B3570)&gt;1,"Duplicado","Único")</f>
        <v>Duplicado</v>
      </c>
    </row>
    <row r="3571" spans="1:5" x14ac:dyDescent="0.25">
      <c r="A3571" s="15">
        <v>17107</v>
      </c>
      <c r="B3571" s="7">
        <v>79924828</v>
      </c>
      <c r="C3571" s="11">
        <v>46149.444988425901</v>
      </c>
      <c r="D3571" s="17" t="s">
        <v>1388</v>
      </c>
      <c r="E3571" t="str">
        <f>IF(COUNTIF($B$2:B3571,B3571)&gt;1,"Duplicado","Único")</f>
        <v>Único</v>
      </c>
    </row>
    <row r="3572" spans="1:5" hidden="1" x14ac:dyDescent="0.25">
      <c r="A3572" s="15">
        <v>17107</v>
      </c>
      <c r="B3572" s="7">
        <v>79924828</v>
      </c>
      <c r="C3572" s="11">
        <v>46108.465231481503</v>
      </c>
      <c r="D3572" s="17" t="s">
        <v>4181</v>
      </c>
      <c r="E3572" t="str">
        <f>IF(COUNTIF($B$2:B3572,B3572)&gt;1,"Duplicado","Único")</f>
        <v>Duplicado</v>
      </c>
    </row>
    <row r="3573" spans="1:5" x14ac:dyDescent="0.25">
      <c r="A3573" s="15">
        <v>55442</v>
      </c>
      <c r="B3573" s="7">
        <v>79939328</v>
      </c>
      <c r="C3573" s="11">
        <v>46086.462754629603</v>
      </c>
      <c r="D3573" s="17" t="s">
        <v>3800</v>
      </c>
      <c r="E3573" t="str">
        <f>IF(COUNTIF($B$2:B3573,B3573)&gt;1,"Duplicado","Único")</f>
        <v>Único</v>
      </c>
    </row>
    <row r="3574" spans="1:5" hidden="1" x14ac:dyDescent="0.25">
      <c r="A3574" s="15">
        <v>55442</v>
      </c>
      <c r="B3574" s="7">
        <v>79939328</v>
      </c>
      <c r="C3574" s="11">
        <v>46022.379502314798</v>
      </c>
      <c r="D3574" s="17" t="s">
        <v>3109</v>
      </c>
      <c r="E3574" t="str">
        <f>IF(COUNTIF($B$2:B3574,B3574)&gt;1,"Duplicado","Único")</f>
        <v>Duplicado</v>
      </c>
    </row>
    <row r="3575" spans="1:5" x14ac:dyDescent="0.25">
      <c r="A3575" s="15">
        <v>51157</v>
      </c>
      <c r="B3575" s="7">
        <v>79940624</v>
      </c>
      <c r="C3575" s="11">
        <v>46050.6961689815</v>
      </c>
      <c r="D3575" s="17" t="s">
        <v>3417</v>
      </c>
      <c r="E3575" t="str">
        <f>IF(COUNTIF($B$2:B3575,B3575)&gt;1,"Duplicado","Único")</f>
        <v>Único</v>
      </c>
    </row>
    <row r="3576" spans="1:5" hidden="1" x14ac:dyDescent="0.25">
      <c r="A3576" s="15">
        <v>51157</v>
      </c>
      <c r="B3576" s="7">
        <v>79940624</v>
      </c>
      <c r="C3576" s="11">
        <v>46001.441736111097</v>
      </c>
      <c r="D3576" s="17" t="s">
        <v>2852</v>
      </c>
      <c r="E3576" t="str">
        <f>IF(COUNTIF($B$2:B3576,B3576)&gt;1,"Duplicado","Único")</f>
        <v>Duplicado</v>
      </c>
    </row>
    <row r="3577" spans="1:5" x14ac:dyDescent="0.25">
      <c r="A3577" s="15">
        <v>13841</v>
      </c>
      <c r="B3577" s="7">
        <v>79951457</v>
      </c>
      <c r="C3577" s="11">
        <v>46149.605775463002</v>
      </c>
      <c r="D3577" s="17" t="s">
        <v>4540</v>
      </c>
      <c r="E3577" t="str">
        <f>IF(COUNTIF($B$2:B3577,B3577)&gt;1,"Duplicado","Único")</f>
        <v>Único</v>
      </c>
    </row>
    <row r="3578" spans="1:5" hidden="1" x14ac:dyDescent="0.25">
      <c r="A3578" s="15">
        <v>13841</v>
      </c>
      <c r="B3578" s="7">
        <v>79951457</v>
      </c>
      <c r="C3578" s="11">
        <v>46085.446863425903</v>
      </c>
      <c r="D3578" s="17" t="s">
        <v>3778</v>
      </c>
      <c r="E3578" t="str">
        <f>IF(COUNTIF($B$2:B3578,B3578)&gt;1,"Duplicado","Único")</f>
        <v>Duplicado</v>
      </c>
    </row>
    <row r="3579" spans="1:5" x14ac:dyDescent="0.25">
      <c r="A3579" s="15">
        <v>51784</v>
      </c>
      <c r="B3579" s="7">
        <v>79954263</v>
      </c>
      <c r="C3579" s="11">
        <v>46059.567129629599</v>
      </c>
      <c r="D3579" s="17" t="s">
        <v>3752</v>
      </c>
      <c r="E3579" t="str">
        <f>IF(COUNTIF($B$2:B3579,B3579)&gt;1,"Duplicado","Único")</f>
        <v>Único</v>
      </c>
    </row>
    <row r="3580" spans="1:5" hidden="1" x14ac:dyDescent="0.25">
      <c r="A3580" s="15">
        <v>51784</v>
      </c>
      <c r="B3580" s="7">
        <v>79954263</v>
      </c>
      <c r="C3580" s="11">
        <v>46051.458715277797</v>
      </c>
      <c r="D3580" s="17" t="s">
        <v>3480</v>
      </c>
      <c r="E3580" t="str">
        <f>IF(COUNTIF($B$2:B3580,B3580)&gt;1,"Duplicado","Único")</f>
        <v>Duplicado</v>
      </c>
    </row>
    <row r="3581" spans="1:5" hidden="1" x14ac:dyDescent="0.25">
      <c r="A3581" s="15">
        <v>51784</v>
      </c>
      <c r="B3581" s="7">
        <v>79954263</v>
      </c>
      <c r="C3581" s="11">
        <v>46002.651909722197</v>
      </c>
      <c r="D3581" s="17" t="s">
        <v>2899</v>
      </c>
      <c r="E3581" t="str">
        <f>IF(COUNTIF($B$2:B3581,B3581)&gt;1,"Duplicado","Único")</f>
        <v>Duplicado</v>
      </c>
    </row>
    <row r="3582" spans="1:5" x14ac:dyDescent="0.25">
      <c r="A3582" s="15">
        <v>27579</v>
      </c>
      <c r="B3582" s="7">
        <v>79960551</v>
      </c>
      <c r="C3582" s="11">
        <v>45874.689895833297</v>
      </c>
      <c r="D3582" s="17" t="s">
        <v>1280</v>
      </c>
      <c r="E3582" t="str">
        <f>IF(COUNTIF($B$2:B3582,B3582)&gt;1,"Duplicado","Único")</f>
        <v>Único</v>
      </c>
    </row>
    <row r="3583" spans="1:5" x14ac:dyDescent="0.25">
      <c r="A3583" s="15">
        <v>14694</v>
      </c>
      <c r="B3583" s="7">
        <v>79961501</v>
      </c>
      <c r="C3583" s="11">
        <v>46120.465717592597</v>
      </c>
      <c r="D3583" s="17" t="s">
        <v>4258</v>
      </c>
      <c r="E3583" t="str">
        <f>IF(COUNTIF($B$2:B3583,B3583)&gt;1,"Duplicado","Único")</f>
        <v>Único</v>
      </c>
    </row>
    <row r="3584" spans="1:5" hidden="1" x14ac:dyDescent="0.25">
      <c r="A3584" s="15">
        <v>14694</v>
      </c>
      <c r="B3584" s="7">
        <v>79961501</v>
      </c>
      <c r="C3584" s="11">
        <v>46090.689652777801</v>
      </c>
      <c r="D3584" s="17" t="s">
        <v>4023</v>
      </c>
      <c r="E3584" t="str">
        <f>IF(COUNTIF($B$2:B3584,B3584)&gt;1,"Duplicado","Único")</f>
        <v>Duplicado</v>
      </c>
    </row>
    <row r="3585" spans="1:5" x14ac:dyDescent="0.25">
      <c r="A3585" s="15">
        <v>19867</v>
      </c>
      <c r="B3585" s="7">
        <v>79962678</v>
      </c>
      <c r="C3585" s="11">
        <v>45819.452523148102</v>
      </c>
      <c r="D3585" s="17" t="s">
        <v>847</v>
      </c>
      <c r="E3585" t="str">
        <f>IF(COUNTIF($B$2:B3585,B3585)&gt;1,"Duplicado","Único")</f>
        <v>Único</v>
      </c>
    </row>
    <row r="3586" spans="1:5" x14ac:dyDescent="0.25">
      <c r="A3586" s="15">
        <v>15418</v>
      </c>
      <c r="B3586" s="7">
        <v>79963564</v>
      </c>
      <c r="C3586" s="11">
        <v>46120.612696759301</v>
      </c>
      <c r="D3586" s="17" t="s">
        <v>4302</v>
      </c>
      <c r="E3586" t="str">
        <f>IF(COUNTIF($B$2:B3586,B3586)&gt;1,"Duplicado","Único")</f>
        <v>Único</v>
      </c>
    </row>
    <row r="3587" spans="1:5" hidden="1" x14ac:dyDescent="0.25">
      <c r="A3587" s="15">
        <v>15418</v>
      </c>
      <c r="B3587" s="7">
        <v>79963564</v>
      </c>
      <c r="C3587" s="11">
        <v>46094.524525462999</v>
      </c>
      <c r="D3587" s="17" t="s">
        <v>4087</v>
      </c>
      <c r="E3587" t="str">
        <f>IF(COUNTIF($B$2:B3587,B3587)&gt;1,"Duplicado","Único")</f>
        <v>Duplicado</v>
      </c>
    </row>
    <row r="3588" spans="1:5" x14ac:dyDescent="0.25">
      <c r="A3588" s="15">
        <v>48957</v>
      </c>
      <c r="B3588" s="7">
        <v>79979019</v>
      </c>
      <c r="C3588" s="11">
        <v>45980.5094328704</v>
      </c>
      <c r="D3588" s="17" t="s">
        <v>2617</v>
      </c>
      <c r="E3588" t="str">
        <f>IF(COUNTIF($B$2:B3588,B3588)&gt;1,"Duplicado","Único")</f>
        <v>Único</v>
      </c>
    </row>
    <row r="3589" spans="1:5" x14ac:dyDescent="0.25">
      <c r="A3589" s="15">
        <v>3771</v>
      </c>
      <c r="B3589" s="7">
        <v>79980032</v>
      </c>
      <c r="C3589" s="11">
        <v>46086.7750115741</v>
      </c>
      <c r="D3589" s="17" t="s">
        <v>3961</v>
      </c>
      <c r="E3589" t="str">
        <f>IF(COUNTIF($B$2:B3589,B3589)&gt;1,"Duplicado","Único")</f>
        <v>Único</v>
      </c>
    </row>
    <row r="3590" spans="1:5" hidden="1" x14ac:dyDescent="0.25">
      <c r="A3590" s="15">
        <v>3771</v>
      </c>
      <c r="B3590" s="7">
        <v>79980032</v>
      </c>
      <c r="C3590" s="11">
        <v>46055.395439814798</v>
      </c>
      <c r="D3590" s="17" t="s">
        <v>3576</v>
      </c>
      <c r="E3590" t="str">
        <f>IF(COUNTIF($B$2:B3590,B3590)&gt;1,"Duplicado","Único")</f>
        <v>Duplicado</v>
      </c>
    </row>
    <row r="3591" spans="1:5" x14ac:dyDescent="0.25">
      <c r="A3591" s="15">
        <v>48269</v>
      </c>
      <c r="B3591" s="7">
        <v>79980613</v>
      </c>
      <c r="C3591" s="11">
        <v>45975.665520833303</v>
      </c>
      <c r="D3591" s="17" t="s">
        <v>2523</v>
      </c>
      <c r="E3591" t="str">
        <f>IF(COUNTIF($B$2:B3591,B3591)&gt;1,"Duplicado","Único")</f>
        <v>Único</v>
      </c>
    </row>
    <row r="3592" spans="1:5" x14ac:dyDescent="0.25">
      <c r="A3592" s="15">
        <v>23999</v>
      </c>
      <c r="B3592" s="7">
        <v>79988057</v>
      </c>
      <c r="C3592" s="11">
        <v>45852.533888888902</v>
      </c>
      <c r="D3592" s="17" t="s">
        <v>1071</v>
      </c>
      <c r="E3592" t="str">
        <f>IF(COUNTIF($B$2:B3592,B3592)&gt;1,"Duplicado","Único")</f>
        <v>Único</v>
      </c>
    </row>
    <row r="3593" spans="1:5" x14ac:dyDescent="0.25">
      <c r="A3593" s="15">
        <v>46659</v>
      </c>
      <c r="B3593" s="7">
        <v>79992678</v>
      </c>
      <c r="C3593" s="11">
        <v>45966.6729513889</v>
      </c>
      <c r="D3593" s="17" t="s">
        <v>2344</v>
      </c>
      <c r="E3593" t="str">
        <f>IF(COUNTIF($B$2:B3593,B3593)&gt;1,"Duplicado","Único")</f>
        <v>Único</v>
      </c>
    </row>
    <row r="3594" spans="1:5" x14ac:dyDescent="0.25">
      <c r="A3594" s="15">
        <v>30174</v>
      </c>
      <c r="B3594" s="7">
        <v>79994117</v>
      </c>
      <c r="C3594" s="11">
        <v>45926.675891203697</v>
      </c>
      <c r="D3594" s="17" t="s">
        <v>1848</v>
      </c>
      <c r="E3594" t="str">
        <f>IF(COUNTIF($B$2:B3594,B3594)&gt;1,"Duplicado","Único")</f>
        <v>Único</v>
      </c>
    </row>
    <row r="3595" spans="1:5" hidden="1" x14ac:dyDescent="0.25">
      <c r="A3595" s="15">
        <v>30174</v>
      </c>
      <c r="B3595" s="7">
        <v>79994117</v>
      </c>
      <c r="C3595" s="11">
        <v>45919.504247685203</v>
      </c>
      <c r="D3595" s="17" t="s">
        <v>1764</v>
      </c>
      <c r="E3595" t="str">
        <f>IF(COUNTIF($B$2:B3595,B3595)&gt;1,"Duplicado","Único")</f>
        <v>Duplicado</v>
      </c>
    </row>
    <row r="3596" spans="1:5" x14ac:dyDescent="0.25">
      <c r="A3596" s="15">
        <v>35531</v>
      </c>
      <c r="B3596" s="7">
        <v>80003653</v>
      </c>
      <c r="C3596" s="11">
        <v>45917.437476851897</v>
      </c>
      <c r="D3596" s="17" t="s">
        <v>1730</v>
      </c>
      <c r="E3596" t="str">
        <f>IF(COUNTIF($B$2:B3596,B3596)&gt;1,"Duplicado","Único")</f>
        <v>Único</v>
      </c>
    </row>
    <row r="3597" spans="1:5" x14ac:dyDescent="0.25">
      <c r="A3597" s="15">
        <v>46570</v>
      </c>
      <c r="B3597" s="7">
        <v>80018679</v>
      </c>
      <c r="C3597" s="11">
        <v>45966.666064814803</v>
      </c>
      <c r="D3597" s="17" t="s">
        <v>2338</v>
      </c>
      <c r="E3597" t="str">
        <f>IF(COUNTIF($B$2:B3597,B3597)&gt;1,"Duplicado","Único")</f>
        <v>Único</v>
      </c>
    </row>
    <row r="3598" spans="1:5" x14ac:dyDescent="0.25">
      <c r="A3598" s="15">
        <v>31342</v>
      </c>
      <c r="B3598" s="7">
        <v>80022766</v>
      </c>
      <c r="C3598" s="11">
        <v>45904.6407175926</v>
      </c>
      <c r="D3598" s="17" t="s">
        <v>1529</v>
      </c>
      <c r="E3598" t="str">
        <f>IF(COUNTIF($B$2:B3598,B3598)&gt;1,"Duplicado","Único")</f>
        <v>Único</v>
      </c>
    </row>
    <row r="3599" spans="1:5" x14ac:dyDescent="0.25">
      <c r="A3599" s="15">
        <v>53399</v>
      </c>
      <c r="B3599" s="7">
        <v>80023730</v>
      </c>
      <c r="C3599" s="11">
        <v>46057.409652777802</v>
      </c>
      <c r="D3599" s="17" t="s">
        <v>3689</v>
      </c>
      <c r="E3599" t="str">
        <f>IF(COUNTIF($B$2:B3599,B3599)&gt;1,"Duplicado","Único")</f>
        <v>Único</v>
      </c>
    </row>
    <row r="3600" spans="1:5" hidden="1" x14ac:dyDescent="0.25">
      <c r="A3600" s="15">
        <v>53399</v>
      </c>
      <c r="B3600" s="7">
        <v>80023730</v>
      </c>
      <c r="C3600" s="11">
        <v>46013.478368055599</v>
      </c>
      <c r="D3600" s="17" t="s">
        <v>3018</v>
      </c>
      <c r="E3600" t="str">
        <f>IF(COUNTIF($B$2:B3600,B3600)&gt;1,"Duplicado","Único")</f>
        <v>Duplicado</v>
      </c>
    </row>
    <row r="3601" spans="1:5" x14ac:dyDescent="0.25">
      <c r="A3601" s="15">
        <v>27677</v>
      </c>
      <c r="B3601" s="7">
        <v>80027764</v>
      </c>
      <c r="C3601" s="11">
        <v>45890.739166666703</v>
      </c>
      <c r="D3601" s="17" t="s">
        <v>1379</v>
      </c>
      <c r="E3601" t="str">
        <f>IF(COUNTIF($B$2:B3601,B3601)&gt;1,"Duplicado","Único")</f>
        <v>Único</v>
      </c>
    </row>
    <row r="3602" spans="1:5" hidden="1" x14ac:dyDescent="0.25">
      <c r="A3602" s="15">
        <v>27677</v>
      </c>
      <c r="B3602" s="7">
        <v>80027764</v>
      </c>
      <c r="C3602" s="11">
        <v>45877.407939814802</v>
      </c>
      <c r="D3602" s="17" t="s">
        <v>1287</v>
      </c>
      <c r="E3602" t="str">
        <f>IF(COUNTIF($B$2:B3602,B3602)&gt;1,"Duplicado","Único")</f>
        <v>Duplicado</v>
      </c>
    </row>
    <row r="3603" spans="1:5" x14ac:dyDescent="0.25">
      <c r="A3603" s="15">
        <v>47821</v>
      </c>
      <c r="B3603" s="7">
        <v>80032677</v>
      </c>
      <c r="C3603" s="11">
        <v>45973.521168981497</v>
      </c>
      <c r="D3603" s="17" t="s">
        <v>2453</v>
      </c>
      <c r="E3603" t="str">
        <f>IF(COUNTIF($B$2:B3603,B3603)&gt;1,"Duplicado","Único")</f>
        <v>Único</v>
      </c>
    </row>
    <row r="3604" spans="1:5" x14ac:dyDescent="0.25">
      <c r="A3604" s="15">
        <v>1790</v>
      </c>
      <c r="B3604" s="7">
        <v>80035465</v>
      </c>
      <c r="C3604" s="11">
        <v>46086.699409722198</v>
      </c>
      <c r="D3604" s="17" t="s">
        <v>3889</v>
      </c>
      <c r="E3604" t="str">
        <f>IF(COUNTIF($B$2:B3604,B3604)&gt;1,"Duplicado","Único")</f>
        <v>Único</v>
      </c>
    </row>
    <row r="3605" spans="1:5" hidden="1" x14ac:dyDescent="0.25">
      <c r="A3605" s="15">
        <v>1790</v>
      </c>
      <c r="B3605" s="7">
        <v>80035465</v>
      </c>
      <c r="C3605" s="11">
        <v>46048.453136574099</v>
      </c>
      <c r="D3605" s="17" t="s">
        <v>3194</v>
      </c>
      <c r="E3605" t="str">
        <f>IF(COUNTIF($B$2:B3605,B3605)&gt;1,"Duplicado","Único")</f>
        <v>Duplicado</v>
      </c>
    </row>
    <row r="3606" spans="1:5" x14ac:dyDescent="0.25">
      <c r="A3606" s="15">
        <v>1741</v>
      </c>
      <c r="B3606" s="7">
        <v>80036669</v>
      </c>
      <c r="C3606" s="11">
        <v>46086.686678240701</v>
      </c>
      <c r="D3606" s="17" t="s">
        <v>3875</v>
      </c>
      <c r="E3606" t="str">
        <f>IF(COUNTIF($B$2:B3606,B3606)&gt;1,"Duplicado","Único")</f>
        <v>Único</v>
      </c>
    </row>
    <row r="3607" spans="1:5" hidden="1" x14ac:dyDescent="0.25">
      <c r="A3607" s="15">
        <v>1741</v>
      </c>
      <c r="B3607" s="7">
        <v>80036669</v>
      </c>
      <c r="C3607" s="11">
        <v>46037.399224537003</v>
      </c>
      <c r="D3607" s="17" t="s">
        <v>3188</v>
      </c>
      <c r="E3607" t="str">
        <f>IF(COUNTIF($B$2:B3607,B3607)&gt;1,"Duplicado","Único")</f>
        <v>Duplicado</v>
      </c>
    </row>
    <row r="3608" spans="1:5" x14ac:dyDescent="0.25">
      <c r="A3608" s="15">
        <v>3446</v>
      </c>
      <c r="B3608" s="7">
        <v>80036932</v>
      </c>
      <c r="C3608" s="11">
        <v>46086.7608680556</v>
      </c>
      <c r="D3608" s="17" t="s">
        <v>3947</v>
      </c>
      <c r="E3608" t="str">
        <f>IF(COUNTIF($B$2:B3608,B3608)&gt;1,"Duplicado","Único")</f>
        <v>Único</v>
      </c>
    </row>
    <row r="3609" spans="1:5" hidden="1" x14ac:dyDescent="0.25">
      <c r="A3609" s="15">
        <v>3446</v>
      </c>
      <c r="B3609" s="7">
        <v>80036932</v>
      </c>
      <c r="C3609" s="11">
        <v>46052.479421296302</v>
      </c>
      <c r="D3609" s="17" t="s">
        <v>3562</v>
      </c>
      <c r="E3609" t="str">
        <f>IF(COUNTIF($B$2:B3609,B3609)&gt;1,"Duplicado","Único")</f>
        <v>Duplicado</v>
      </c>
    </row>
    <row r="3610" spans="1:5" hidden="1" x14ac:dyDescent="0.25">
      <c r="A3610" s="15">
        <v>31625</v>
      </c>
      <c r="B3610" s="7">
        <v>80036932</v>
      </c>
      <c r="C3610" s="11">
        <v>45904.674756944398</v>
      </c>
      <c r="D3610" s="17" t="s">
        <v>1538</v>
      </c>
      <c r="E3610" t="str">
        <f>IF(COUNTIF($B$2:B3610,B3610)&gt;1,"Duplicado","Único")</f>
        <v>Duplicado</v>
      </c>
    </row>
    <row r="3611" spans="1:5" x14ac:dyDescent="0.25">
      <c r="A3611" s="15">
        <v>45628</v>
      </c>
      <c r="B3611" s="7">
        <v>80037301</v>
      </c>
      <c r="C3611" s="11">
        <v>45960.542488425897</v>
      </c>
      <c r="D3611" s="17" t="s">
        <v>2245</v>
      </c>
      <c r="E3611" t="str">
        <f>IF(COUNTIF($B$2:B3611,B3611)&gt;1,"Duplicado","Único")</f>
        <v>Único</v>
      </c>
    </row>
    <row r="3612" spans="1:5" x14ac:dyDescent="0.25">
      <c r="A3612" s="15">
        <v>20128</v>
      </c>
      <c r="B3612" s="7">
        <v>80040442</v>
      </c>
      <c r="C3612" s="11">
        <v>45819.7117939815</v>
      </c>
      <c r="D3612" s="17" t="s">
        <v>862</v>
      </c>
      <c r="E3612" t="str">
        <f>IF(COUNTIF($B$2:B3612,B3612)&gt;1,"Duplicado","Único")</f>
        <v>Único</v>
      </c>
    </row>
    <row r="3613" spans="1:5" x14ac:dyDescent="0.25">
      <c r="A3613" s="15">
        <v>46606</v>
      </c>
      <c r="B3613" s="7">
        <v>80061162</v>
      </c>
      <c r="C3613" s="11">
        <v>45966.668252314797</v>
      </c>
      <c r="D3613" s="17" t="s">
        <v>2340</v>
      </c>
      <c r="E3613" t="str">
        <f>IF(COUNTIF($B$2:B3613,B3613)&gt;1,"Duplicado","Único")</f>
        <v>Único</v>
      </c>
    </row>
    <row r="3614" spans="1:5" x14ac:dyDescent="0.25">
      <c r="A3614" s="15">
        <v>30004</v>
      </c>
      <c r="B3614" s="7">
        <v>80061575</v>
      </c>
      <c r="C3614" s="11">
        <v>45898.495254629597</v>
      </c>
      <c r="D3614" s="17" t="s">
        <v>1464</v>
      </c>
      <c r="E3614" t="str">
        <f>IF(COUNTIF($B$2:B3614,B3614)&gt;1,"Duplicado","Único")</f>
        <v>Único</v>
      </c>
    </row>
    <row r="3615" spans="1:5" x14ac:dyDescent="0.25">
      <c r="A3615" s="15">
        <v>13842</v>
      </c>
      <c r="B3615" s="7">
        <v>80061835</v>
      </c>
      <c r="C3615" s="11">
        <v>46149.606539351902</v>
      </c>
      <c r="D3615" s="17" t="s">
        <v>4541</v>
      </c>
      <c r="E3615" t="str">
        <f>IF(COUNTIF($B$2:B3615,B3615)&gt;1,"Duplicado","Único")</f>
        <v>Único</v>
      </c>
    </row>
    <row r="3616" spans="1:5" hidden="1" x14ac:dyDescent="0.25">
      <c r="A3616" s="15">
        <v>13842</v>
      </c>
      <c r="B3616" s="7">
        <v>80061835</v>
      </c>
      <c r="C3616" s="11">
        <v>46085.495995370402</v>
      </c>
      <c r="D3616" s="17" t="s">
        <v>3784</v>
      </c>
      <c r="E3616" t="str">
        <f>IF(COUNTIF($B$2:B3616,B3616)&gt;1,"Duplicado","Único")</f>
        <v>Duplicado</v>
      </c>
    </row>
    <row r="3617" spans="1:5" x14ac:dyDescent="0.25">
      <c r="A3617" s="15">
        <v>47842</v>
      </c>
      <c r="B3617" s="7">
        <v>80067156</v>
      </c>
      <c r="C3617" s="11">
        <v>45973.527800925898</v>
      </c>
      <c r="D3617" s="17" t="s">
        <v>2455</v>
      </c>
      <c r="E3617" t="str">
        <f>IF(COUNTIF($B$2:B3617,B3617)&gt;1,"Duplicado","Único")</f>
        <v>Único</v>
      </c>
    </row>
    <row r="3618" spans="1:5" x14ac:dyDescent="0.25">
      <c r="A3618" s="15">
        <v>25635</v>
      </c>
      <c r="B3618" s="7">
        <v>80069715</v>
      </c>
      <c r="C3618" s="11">
        <v>45860.486990740697</v>
      </c>
      <c r="D3618" s="17" t="s">
        <v>1136</v>
      </c>
      <c r="E3618" t="str">
        <f>IF(COUNTIF($B$2:B3618,B3618)&gt;1,"Duplicado","Único")</f>
        <v>Único</v>
      </c>
    </row>
    <row r="3619" spans="1:5" x14ac:dyDescent="0.25">
      <c r="A3619" s="15">
        <v>55649</v>
      </c>
      <c r="B3619" s="7">
        <v>80072408</v>
      </c>
      <c r="C3619" s="11">
        <v>46038.559641203698</v>
      </c>
      <c r="D3619" s="17" t="s">
        <v>3192</v>
      </c>
      <c r="E3619" t="str">
        <f>IF(COUNTIF($B$2:B3619,B3619)&gt;1,"Duplicado","Único")</f>
        <v>Único</v>
      </c>
    </row>
    <row r="3620" spans="1:5" hidden="1" x14ac:dyDescent="0.25">
      <c r="A3620" s="15">
        <v>55649</v>
      </c>
      <c r="B3620" s="7">
        <v>80072408</v>
      </c>
      <c r="C3620" s="11">
        <v>46024.487187500003</v>
      </c>
      <c r="D3620" s="17" t="s">
        <v>3116</v>
      </c>
      <c r="E3620" t="str">
        <f>IF(COUNTIF($B$2:B3620,B3620)&gt;1,"Duplicado","Único")</f>
        <v>Duplicado</v>
      </c>
    </row>
    <row r="3621" spans="1:5" x14ac:dyDescent="0.25">
      <c r="A3621" s="15">
        <v>44924</v>
      </c>
      <c r="B3621" s="7">
        <v>80072699</v>
      </c>
      <c r="C3621" s="11">
        <v>45958.6714699074</v>
      </c>
      <c r="D3621" s="17" t="s">
        <v>2179</v>
      </c>
      <c r="E3621" t="str">
        <f>IF(COUNTIF($B$2:B3621,B3621)&gt;1,"Duplicado","Único")</f>
        <v>Único</v>
      </c>
    </row>
    <row r="3622" spans="1:5" x14ac:dyDescent="0.25">
      <c r="A3622" s="15">
        <v>42586</v>
      </c>
      <c r="B3622" s="7">
        <v>80073172</v>
      </c>
      <c r="C3622" s="11">
        <v>45952.681643518503</v>
      </c>
      <c r="D3622" s="17" t="s">
        <v>2036</v>
      </c>
      <c r="E3622" t="str">
        <f>IF(COUNTIF($B$2:B3622,B3622)&gt;1,"Duplicado","Único")</f>
        <v>Único</v>
      </c>
    </row>
    <row r="3623" spans="1:5" x14ac:dyDescent="0.25">
      <c r="A3623" s="15">
        <v>45867</v>
      </c>
      <c r="B3623" s="7">
        <v>80084357</v>
      </c>
      <c r="C3623" s="11">
        <v>45961.433090277802</v>
      </c>
      <c r="D3623" s="17" t="s">
        <v>2269</v>
      </c>
      <c r="E3623" t="str">
        <f>IF(COUNTIF($B$2:B3623,B3623)&gt;1,"Duplicado","Único")</f>
        <v>Único</v>
      </c>
    </row>
    <row r="3624" spans="1:5" x14ac:dyDescent="0.25">
      <c r="A3624" s="15">
        <v>39615</v>
      </c>
      <c r="B3624" s="7">
        <v>80089169</v>
      </c>
      <c r="C3624" s="11">
        <v>45930.461087962998</v>
      </c>
      <c r="D3624" s="17" t="s">
        <v>1887</v>
      </c>
      <c r="E3624" t="str">
        <f>IF(COUNTIF($B$2:B3624,B3624)&gt;1,"Duplicado","Único")</f>
        <v>Único</v>
      </c>
    </row>
    <row r="3625" spans="1:5" x14ac:dyDescent="0.25">
      <c r="A3625" s="15">
        <v>26893</v>
      </c>
      <c r="B3625" s="7">
        <v>80089419</v>
      </c>
      <c r="C3625" s="11">
        <v>45873.635474536997</v>
      </c>
      <c r="D3625" s="17" t="s">
        <v>1227</v>
      </c>
      <c r="E3625" t="str">
        <f>IF(COUNTIF($B$2:B3625,B3625)&gt;1,"Duplicado","Único")</f>
        <v>Único</v>
      </c>
    </row>
    <row r="3626" spans="1:5" x14ac:dyDescent="0.25">
      <c r="A3626" s="15">
        <v>45557</v>
      </c>
      <c r="B3626" s="7">
        <v>80095590</v>
      </c>
      <c r="C3626" s="11">
        <v>45959.417048611103</v>
      </c>
      <c r="D3626" s="17" t="s">
        <v>2227</v>
      </c>
      <c r="E3626" t="str">
        <f>IF(COUNTIF($B$2:B3626,B3626)&gt;1,"Duplicado","Único")</f>
        <v>Único</v>
      </c>
    </row>
    <row r="3627" spans="1:5" x14ac:dyDescent="0.25">
      <c r="A3627" s="15">
        <v>27393</v>
      </c>
      <c r="B3627" s="7">
        <v>80097595</v>
      </c>
      <c r="C3627" s="11">
        <v>45874.600196759297</v>
      </c>
      <c r="D3627" s="17" t="s">
        <v>1265</v>
      </c>
      <c r="E3627" t="str">
        <f>IF(COUNTIF($B$2:B3627,B3627)&gt;1,"Duplicado","Único")</f>
        <v>Único</v>
      </c>
    </row>
    <row r="3628" spans="1:5" x14ac:dyDescent="0.25">
      <c r="A3628" s="15">
        <v>17851</v>
      </c>
      <c r="B3628" s="7">
        <v>80097885</v>
      </c>
      <c r="C3628" s="11">
        <v>46149.413032407399</v>
      </c>
      <c r="D3628" s="17" t="s">
        <v>4442</v>
      </c>
      <c r="E3628" t="str">
        <f>IF(COUNTIF($B$2:B3628,B3628)&gt;1,"Duplicado","Único")</f>
        <v>Único</v>
      </c>
    </row>
    <row r="3629" spans="1:5" hidden="1" x14ac:dyDescent="0.25">
      <c r="A3629" s="15">
        <v>17851</v>
      </c>
      <c r="B3629" s="7">
        <v>80097885</v>
      </c>
      <c r="C3629" s="11">
        <v>46118.316747685203</v>
      </c>
      <c r="D3629" s="17" t="s">
        <v>1172</v>
      </c>
      <c r="E3629" t="str">
        <f>IF(COUNTIF($B$2:B3629,B3629)&gt;1,"Duplicado","Único")</f>
        <v>Duplicado</v>
      </c>
    </row>
    <row r="3630" spans="1:5" x14ac:dyDescent="0.25">
      <c r="A3630" s="15">
        <v>27646</v>
      </c>
      <c r="B3630" s="7">
        <v>80120015</v>
      </c>
      <c r="C3630" s="11">
        <v>45877.383252314801</v>
      </c>
      <c r="D3630" s="17" t="s">
        <v>1285</v>
      </c>
      <c r="E3630" t="str">
        <f>IF(COUNTIF($B$2:B3630,B3630)&gt;1,"Duplicado","Único")</f>
        <v>Único</v>
      </c>
    </row>
    <row r="3631" spans="1:5" x14ac:dyDescent="0.25">
      <c r="A3631" s="15">
        <v>38202</v>
      </c>
      <c r="B3631" s="7">
        <v>80123594</v>
      </c>
      <c r="C3631" s="11">
        <v>45936.3536342593</v>
      </c>
      <c r="D3631" s="17" t="s">
        <v>1929</v>
      </c>
      <c r="E3631" t="str">
        <f>IF(COUNTIF($B$2:B3631,B3631)&gt;1,"Duplicado","Único")</f>
        <v>Único</v>
      </c>
    </row>
    <row r="3632" spans="1:5" hidden="1" x14ac:dyDescent="0.25">
      <c r="A3632" s="15">
        <v>38202</v>
      </c>
      <c r="B3632" s="7">
        <v>80123594</v>
      </c>
      <c r="C3632" s="11">
        <v>45925.470775463</v>
      </c>
      <c r="D3632" s="17" t="s">
        <v>1828</v>
      </c>
      <c r="E3632" t="str">
        <f>IF(COUNTIF($B$2:B3632,B3632)&gt;1,"Duplicado","Único")</f>
        <v>Duplicado</v>
      </c>
    </row>
    <row r="3633" spans="1:5" x14ac:dyDescent="0.25">
      <c r="A3633" s="15">
        <v>44726</v>
      </c>
      <c r="B3633" s="7">
        <v>80124366</v>
      </c>
      <c r="C3633" s="11">
        <v>45958.755995370397</v>
      </c>
      <c r="D3633" s="17" t="s">
        <v>2206</v>
      </c>
      <c r="E3633" t="str">
        <f>IF(COUNTIF($B$2:B3633,B3633)&gt;1,"Duplicado","Único")</f>
        <v>Único</v>
      </c>
    </row>
    <row r="3634" spans="1:5" x14ac:dyDescent="0.25">
      <c r="A3634" s="15">
        <v>19377</v>
      </c>
      <c r="B3634" s="7">
        <v>80124617</v>
      </c>
      <c r="C3634" s="11">
        <v>45813.760462963</v>
      </c>
      <c r="D3634" s="17" t="s">
        <v>825</v>
      </c>
      <c r="E3634" t="str">
        <f>IF(COUNTIF($B$2:B3634,B3634)&gt;1,"Duplicado","Único")</f>
        <v>Único</v>
      </c>
    </row>
    <row r="3635" spans="1:5" x14ac:dyDescent="0.25">
      <c r="A3635" s="15">
        <v>40952</v>
      </c>
      <c r="B3635" s="7">
        <v>80143262</v>
      </c>
      <c r="C3635" s="11">
        <v>45936.490405092598</v>
      </c>
      <c r="D3635" s="17" t="s">
        <v>1948</v>
      </c>
      <c r="E3635" t="str">
        <f>IF(COUNTIF($B$2:B3635,B3635)&gt;1,"Duplicado","Único")</f>
        <v>Único</v>
      </c>
    </row>
    <row r="3636" spans="1:5" x14ac:dyDescent="0.25">
      <c r="A3636" s="15">
        <v>33445</v>
      </c>
      <c r="B3636" s="7">
        <v>80151660</v>
      </c>
      <c r="C3636" s="11">
        <v>45915.435277777797</v>
      </c>
      <c r="D3636" s="17" t="s">
        <v>1701</v>
      </c>
      <c r="E3636" t="str">
        <f>IF(COUNTIF($B$2:B3636,B3636)&gt;1,"Duplicado","Único")</f>
        <v>Único</v>
      </c>
    </row>
    <row r="3637" spans="1:5" x14ac:dyDescent="0.25">
      <c r="A3637" s="15">
        <v>26287</v>
      </c>
      <c r="B3637" s="7">
        <v>80155905</v>
      </c>
      <c r="C3637" s="11">
        <v>45867.390543981499</v>
      </c>
      <c r="D3637" s="17" t="s">
        <v>1186</v>
      </c>
      <c r="E3637" t="str">
        <f>IF(COUNTIF($B$2:B3637,B3637)&gt;1,"Duplicado","Único")</f>
        <v>Único</v>
      </c>
    </row>
    <row r="3638" spans="1:5" x14ac:dyDescent="0.25">
      <c r="A3638" s="15">
        <v>29784</v>
      </c>
      <c r="B3638" s="7">
        <v>80162890</v>
      </c>
      <c r="C3638" s="11">
        <v>45901.667708333298</v>
      </c>
      <c r="D3638" s="17" t="s">
        <v>1491</v>
      </c>
      <c r="E3638" t="str">
        <f>IF(COUNTIF($B$2:B3638,B3638)&gt;1,"Duplicado","Único")</f>
        <v>Único</v>
      </c>
    </row>
    <row r="3639" spans="1:5" x14ac:dyDescent="0.25">
      <c r="A3639" s="15">
        <v>48953</v>
      </c>
      <c r="B3639" s="7">
        <v>80167195</v>
      </c>
      <c r="C3639" s="11">
        <v>46051.472569444399</v>
      </c>
      <c r="D3639" s="17" t="s">
        <v>3495</v>
      </c>
      <c r="E3639" t="str">
        <f>IF(COUNTIF($B$2:B3639,B3639)&gt;1,"Duplicado","Único")</f>
        <v>Único</v>
      </c>
    </row>
    <row r="3640" spans="1:5" hidden="1" x14ac:dyDescent="0.25">
      <c r="A3640" s="15">
        <v>48953</v>
      </c>
      <c r="B3640" s="7">
        <v>80167195</v>
      </c>
      <c r="C3640" s="11">
        <v>46003.634467592601</v>
      </c>
      <c r="D3640" s="17" t="s">
        <v>2916</v>
      </c>
      <c r="E3640" t="str">
        <f>IF(COUNTIF($B$2:B3640,B3640)&gt;1,"Duplicado","Único")</f>
        <v>Duplicado</v>
      </c>
    </row>
    <row r="3641" spans="1:5" hidden="1" x14ac:dyDescent="0.25">
      <c r="A3641" s="15">
        <v>48953</v>
      </c>
      <c r="B3641" s="7">
        <v>80167195</v>
      </c>
      <c r="C3641" s="11">
        <v>45980.496655092596</v>
      </c>
      <c r="D3641" s="17" t="s">
        <v>2616</v>
      </c>
      <c r="E3641" t="str">
        <f>IF(COUNTIF($B$2:B3641,B3641)&gt;1,"Duplicado","Único")</f>
        <v>Duplicado</v>
      </c>
    </row>
    <row r="3642" spans="1:5" x14ac:dyDescent="0.25">
      <c r="A3642" s="15">
        <v>31620</v>
      </c>
      <c r="B3642" s="7">
        <v>80167315</v>
      </c>
      <c r="C3642" s="11">
        <v>45919.375925925902</v>
      </c>
      <c r="D3642" s="17" t="s">
        <v>1755</v>
      </c>
      <c r="E3642" t="str">
        <f>IF(COUNTIF($B$2:B3642,B3642)&gt;1,"Duplicado","Único")</f>
        <v>Único</v>
      </c>
    </row>
    <row r="3643" spans="1:5" hidden="1" x14ac:dyDescent="0.25">
      <c r="A3643" s="15">
        <v>31620</v>
      </c>
      <c r="B3643" s="7">
        <v>80167315</v>
      </c>
      <c r="C3643" s="11">
        <v>45905.505821759303</v>
      </c>
      <c r="D3643" s="17" t="s">
        <v>1560</v>
      </c>
      <c r="E3643" t="str">
        <f>IF(COUNTIF($B$2:B3643,B3643)&gt;1,"Duplicado","Único")</f>
        <v>Duplicado</v>
      </c>
    </row>
    <row r="3644" spans="1:5" x14ac:dyDescent="0.25">
      <c r="A3644" s="15">
        <v>18972</v>
      </c>
      <c r="B3644" s="7">
        <v>80170332</v>
      </c>
      <c r="C3644" s="11">
        <v>45805.6874074074</v>
      </c>
      <c r="D3644" s="17" t="s">
        <v>799</v>
      </c>
      <c r="E3644" t="str">
        <f>IF(COUNTIF($B$2:B3644,B3644)&gt;1,"Duplicado","Único")</f>
        <v>Único</v>
      </c>
    </row>
    <row r="3645" spans="1:5" x14ac:dyDescent="0.25">
      <c r="A3645" s="15">
        <v>32857</v>
      </c>
      <c r="B3645" s="7">
        <v>80181046</v>
      </c>
      <c r="C3645" s="11">
        <v>45910.447546296302</v>
      </c>
      <c r="D3645" s="17" t="s">
        <v>1646</v>
      </c>
      <c r="E3645" t="str">
        <f>IF(COUNTIF($B$2:B3645,B3645)&gt;1,"Duplicado","Único")</f>
        <v>Único</v>
      </c>
    </row>
    <row r="3646" spans="1:5" x14ac:dyDescent="0.25">
      <c r="A3646" s="15">
        <v>23276</v>
      </c>
      <c r="B3646" s="7">
        <v>80189346</v>
      </c>
      <c r="C3646" s="11">
        <v>45842.440335648098</v>
      </c>
      <c r="D3646" s="17" t="s">
        <v>1044</v>
      </c>
      <c r="E3646" t="str">
        <f>IF(COUNTIF($B$2:B3646,B3646)&gt;1,"Duplicado","Único")</f>
        <v>Único</v>
      </c>
    </row>
    <row r="3647" spans="1:5" x14ac:dyDescent="0.25">
      <c r="A3647" s="15">
        <v>15850</v>
      </c>
      <c r="B3647" s="7">
        <v>80191315</v>
      </c>
      <c r="C3647" s="11">
        <v>46121.440324074101</v>
      </c>
      <c r="D3647" s="17" t="s">
        <v>4377</v>
      </c>
      <c r="E3647" t="str">
        <f>IF(COUNTIF($B$2:B3647,B3647)&gt;1,"Duplicado","Único")</f>
        <v>Único</v>
      </c>
    </row>
    <row r="3648" spans="1:5" hidden="1" x14ac:dyDescent="0.25">
      <c r="A3648" s="15">
        <v>15850</v>
      </c>
      <c r="B3648" s="7">
        <v>80191315</v>
      </c>
      <c r="C3648" s="11">
        <v>46101.627581018503</v>
      </c>
      <c r="D3648" s="17" t="s">
        <v>1131</v>
      </c>
      <c r="E3648" t="str">
        <f>IF(COUNTIF($B$2:B3648,B3648)&gt;1,"Duplicado","Único")</f>
        <v>Duplicado</v>
      </c>
    </row>
    <row r="3649" spans="1:5" x14ac:dyDescent="0.25">
      <c r="A3649" s="15">
        <v>3772</v>
      </c>
      <c r="B3649" s="7">
        <v>80192637</v>
      </c>
      <c r="C3649" s="11">
        <v>46086.7755092593</v>
      </c>
      <c r="D3649" s="17" t="s">
        <v>3962</v>
      </c>
      <c r="E3649" t="str">
        <f>IF(COUNTIF($B$2:B3649,B3649)&gt;1,"Duplicado","Único")</f>
        <v>Único</v>
      </c>
    </row>
    <row r="3650" spans="1:5" hidden="1" x14ac:dyDescent="0.25">
      <c r="A3650" s="15">
        <v>3772</v>
      </c>
      <c r="B3650" s="7">
        <v>80192637</v>
      </c>
      <c r="C3650" s="11">
        <v>46055.396215277797</v>
      </c>
      <c r="D3650" s="17" t="s">
        <v>3577</v>
      </c>
      <c r="E3650" t="str">
        <f>IF(COUNTIF($B$2:B3650,B3650)&gt;1,"Duplicado","Único")</f>
        <v>Duplicado</v>
      </c>
    </row>
    <row r="3651" spans="1:5" x14ac:dyDescent="0.25">
      <c r="A3651" s="15">
        <v>41050</v>
      </c>
      <c r="B3651" s="7">
        <v>80194767</v>
      </c>
      <c r="C3651" s="11">
        <v>45937.386331018497</v>
      </c>
      <c r="D3651" s="17" t="s">
        <v>1966</v>
      </c>
      <c r="E3651" t="str">
        <f>IF(COUNTIF($B$2:B3651,B3651)&gt;1,"Duplicado","Único")</f>
        <v>Único</v>
      </c>
    </row>
    <row r="3652" spans="1:5" x14ac:dyDescent="0.25">
      <c r="A3652" s="15">
        <v>1092</v>
      </c>
      <c r="B3652" s="7">
        <v>80199348</v>
      </c>
      <c r="C3652" s="11">
        <v>46086.635266203702</v>
      </c>
      <c r="D3652" s="17" t="s">
        <v>3853</v>
      </c>
      <c r="E3652" t="str">
        <f>IF(COUNTIF($B$2:B3652,B3652)&gt;1,"Duplicado","Único")</f>
        <v>Único</v>
      </c>
    </row>
    <row r="3653" spans="1:5" hidden="1" x14ac:dyDescent="0.25">
      <c r="A3653" s="15">
        <v>1092</v>
      </c>
      <c r="B3653" s="7">
        <v>80199348</v>
      </c>
      <c r="C3653" s="11">
        <v>46036.421307870398</v>
      </c>
      <c r="D3653" s="17" t="s">
        <v>3163</v>
      </c>
      <c r="E3653" t="str">
        <f>IF(COUNTIF($B$2:B3653,B3653)&gt;1,"Duplicado","Único")</f>
        <v>Duplicado</v>
      </c>
    </row>
    <row r="3654" spans="1:5" x14ac:dyDescent="0.25">
      <c r="A3654" s="15">
        <v>1282</v>
      </c>
      <c r="B3654" s="7">
        <v>80201437</v>
      </c>
      <c r="C3654" s="11">
        <v>46086.635787036997</v>
      </c>
      <c r="D3654" s="17" t="s">
        <v>3854</v>
      </c>
      <c r="E3654" t="str">
        <f>IF(COUNTIF($B$2:B3654,B3654)&gt;1,"Duplicado","Único")</f>
        <v>Único</v>
      </c>
    </row>
    <row r="3655" spans="1:5" hidden="1" x14ac:dyDescent="0.25">
      <c r="A3655" s="15">
        <v>1282</v>
      </c>
      <c r="B3655" s="7">
        <v>80201437</v>
      </c>
      <c r="C3655" s="11">
        <v>46036.479606481502</v>
      </c>
      <c r="D3655" s="17" t="s">
        <v>3168</v>
      </c>
      <c r="E3655" t="str">
        <f>IF(COUNTIF($B$2:B3655,B3655)&gt;1,"Duplicado","Único")</f>
        <v>Duplicado</v>
      </c>
    </row>
    <row r="3656" spans="1:5" x14ac:dyDescent="0.25">
      <c r="A3656" s="15">
        <v>27261</v>
      </c>
      <c r="B3656" s="7">
        <v>80204417</v>
      </c>
      <c r="C3656" s="11">
        <v>45874.4991435185</v>
      </c>
      <c r="D3656" s="17" t="s">
        <v>1257</v>
      </c>
      <c r="E3656" t="str">
        <f>IF(COUNTIF($B$2:B3656,B3656)&gt;1,"Duplicado","Único")</f>
        <v>Único</v>
      </c>
    </row>
    <row r="3657" spans="1:5" x14ac:dyDescent="0.25">
      <c r="A3657" s="15">
        <v>44827</v>
      </c>
      <c r="B3657" s="7">
        <v>80216277</v>
      </c>
      <c r="C3657" s="11">
        <v>45959.634409722203</v>
      </c>
      <c r="D3657" s="17" t="s">
        <v>2234</v>
      </c>
      <c r="E3657" t="str">
        <f>IF(COUNTIF($B$2:B3657,B3657)&gt;1,"Duplicado","Único")</f>
        <v>Único</v>
      </c>
    </row>
    <row r="3658" spans="1:5" x14ac:dyDescent="0.25">
      <c r="A3658" s="15">
        <v>25056</v>
      </c>
      <c r="B3658" s="7">
        <v>80218919</v>
      </c>
      <c r="C3658" s="11">
        <v>45860.357291666704</v>
      </c>
      <c r="D3658" s="17" t="s">
        <v>1110</v>
      </c>
      <c r="E3658" t="str">
        <f>IF(COUNTIF($B$2:B3658,B3658)&gt;1,"Duplicado","Único")</f>
        <v>Único</v>
      </c>
    </row>
    <row r="3659" spans="1:5" x14ac:dyDescent="0.25">
      <c r="A3659" s="15">
        <v>46717</v>
      </c>
      <c r="B3659" s="7">
        <v>80224927</v>
      </c>
      <c r="C3659" s="11">
        <v>45967.680752314802</v>
      </c>
      <c r="D3659" s="17" t="s">
        <v>2353</v>
      </c>
      <c r="E3659" t="str">
        <f>IF(COUNTIF($B$2:B3659,B3659)&gt;1,"Duplicado","Único")</f>
        <v>Único</v>
      </c>
    </row>
    <row r="3660" spans="1:5" x14ac:dyDescent="0.25">
      <c r="A3660" s="15">
        <v>45884</v>
      </c>
      <c r="B3660" s="7">
        <v>80229481</v>
      </c>
      <c r="C3660" s="11">
        <v>45961.686319444401</v>
      </c>
      <c r="D3660" s="17" t="s">
        <v>2285</v>
      </c>
      <c r="E3660" t="str">
        <f>IF(COUNTIF($B$2:B3660,B3660)&gt;1,"Duplicado","Único")</f>
        <v>Único</v>
      </c>
    </row>
    <row r="3661" spans="1:5" x14ac:dyDescent="0.25">
      <c r="A3661" s="15">
        <v>17644</v>
      </c>
      <c r="B3661" s="7">
        <v>80233071</v>
      </c>
      <c r="C3661" s="11">
        <v>46149.445474537002</v>
      </c>
      <c r="D3661" s="17" t="s">
        <v>4487</v>
      </c>
      <c r="E3661" t="str">
        <f>IF(COUNTIF($B$2:B3661,B3661)&gt;1,"Duplicado","Único")</f>
        <v>Único</v>
      </c>
    </row>
    <row r="3662" spans="1:5" hidden="1" x14ac:dyDescent="0.25">
      <c r="A3662" s="15">
        <v>17644</v>
      </c>
      <c r="B3662" s="7">
        <v>80233071</v>
      </c>
      <c r="C3662" s="11">
        <v>46108.782962963</v>
      </c>
      <c r="D3662" s="17" t="s">
        <v>4229</v>
      </c>
      <c r="E3662" t="str">
        <f>IF(COUNTIF($B$2:B3662,B3662)&gt;1,"Duplicado","Único")</f>
        <v>Duplicado</v>
      </c>
    </row>
    <row r="3663" spans="1:5" x14ac:dyDescent="0.25">
      <c r="A3663" s="15">
        <v>37955</v>
      </c>
      <c r="B3663" s="7">
        <v>80243526</v>
      </c>
      <c r="C3663" s="11">
        <v>45924.412604166697</v>
      </c>
      <c r="D3663" s="17" t="s">
        <v>1803</v>
      </c>
      <c r="E3663" t="str">
        <f>IF(COUNTIF($B$2:B3663,B3663)&gt;1,"Duplicado","Único")</f>
        <v>Único</v>
      </c>
    </row>
    <row r="3664" spans="1:5" x14ac:dyDescent="0.25">
      <c r="A3664" s="15">
        <v>46416</v>
      </c>
      <c r="B3664" s="7">
        <v>80250123</v>
      </c>
      <c r="C3664" s="11">
        <v>45966.6339814815</v>
      </c>
      <c r="D3664" s="17" t="s">
        <v>2327</v>
      </c>
      <c r="E3664" t="str">
        <f>IF(COUNTIF($B$2:B3664,B3664)&gt;1,"Duplicado","Único")</f>
        <v>Único</v>
      </c>
    </row>
    <row r="3665" spans="1:5" x14ac:dyDescent="0.25">
      <c r="A3665" s="15">
        <v>47452</v>
      </c>
      <c r="B3665" s="7">
        <v>80257445</v>
      </c>
      <c r="C3665" s="11">
        <v>45971.485729166699</v>
      </c>
      <c r="D3665" s="17" t="s">
        <v>2415</v>
      </c>
      <c r="E3665" t="str">
        <f>IF(COUNTIF($B$2:B3665,B3665)&gt;1,"Duplicado","Único")</f>
        <v>Único</v>
      </c>
    </row>
    <row r="3666" spans="1:5" x14ac:dyDescent="0.25">
      <c r="A3666" s="15">
        <v>28147</v>
      </c>
      <c r="B3666" s="7">
        <v>80258333</v>
      </c>
      <c r="C3666" s="11">
        <v>45884.598888888897</v>
      </c>
      <c r="D3666" s="17" t="s">
        <v>1313</v>
      </c>
      <c r="E3666" t="str">
        <f>IF(COUNTIF($B$2:B3666,B3666)&gt;1,"Duplicado","Único")</f>
        <v>Único</v>
      </c>
    </row>
    <row r="3667" spans="1:5" x14ac:dyDescent="0.25">
      <c r="A3667" s="15">
        <v>53465</v>
      </c>
      <c r="B3667" s="7">
        <v>80258386</v>
      </c>
      <c r="C3667" s="11">
        <v>46057.410416666702</v>
      </c>
      <c r="D3667" s="17" t="s">
        <v>3690</v>
      </c>
      <c r="E3667" t="str">
        <f>IF(COUNTIF($B$2:B3667,B3667)&gt;1,"Duplicado","Único")</f>
        <v>Único</v>
      </c>
    </row>
    <row r="3668" spans="1:5" hidden="1" x14ac:dyDescent="0.25">
      <c r="A3668" s="15">
        <v>53465</v>
      </c>
      <c r="B3668" s="7">
        <v>80258386</v>
      </c>
      <c r="C3668" s="11">
        <v>46013.489039351902</v>
      </c>
      <c r="D3668" s="17" t="s">
        <v>3023</v>
      </c>
      <c r="E3668" t="str">
        <f>IF(COUNTIF($B$2:B3668,B3668)&gt;1,"Duplicado","Único")</f>
        <v>Duplicado</v>
      </c>
    </row>
    <row r="3669" spans="1:5" x14ac:dyDescent="0.25">
      <c r="A3669" s="15">
        <v>52730</v>
      </c>
      <c r="B3669" s="7">
        <v>8027554</v>
      </c>
      <c r="C3669" s="11">
        <v>46051.603657407402</v>
      </c>
      <c r="D3669" s="17" t="s">
        <v>3534</v>
      </c>
      <c r="E3669" t="str">
        <f>IF(COUNTIF($B$2:B3669,B3669)&gt;1,"Duplicado","Único")</f>
        <v>Único</v>
      </c>
    </row>
    <row r="3670" spans="1:5" hidden="1" x14ac:dyDescent="0.25">
      <c r="A3670" s="15">
        <v>52730</v>
      </c>
      <c r="B3670" s="7">
        <v>8027554</v>
      </c>
      <c r="C3670" s="11">
        <v>46009.3761226852</v>
      </c>
      <c r="D3670" s="17" t="s">
        <v>2962</v>
      </c>
      <c r="E3670" t="str">
        <f>IF(COUNTIF($B$2:B3670,B3670)&gt;1,"Duplicado","Único")</f>
        <v>Duplicado</v>
      </c>
    </row>
    <row r="3671" spans="1:5" x14ac:dyDescent="0.25">
      <c r="A3671" s="15">
        <v>39886</v>
      </c>
      <c r="B3671" s="7">
        <v>80281325</v>
      </c>
      <c r="C3671" s="11">
        <v>45931.385381944398</v>
      </c>
      <c r="D3671" s="17" t="s">
        <v>1904</v>
      </c>
      <c r="E3671" t="str">
        <f>IF(COUNTIF($B$2:B3671,B3671)&gt;1,"Duplicado","Único")</f>
        <v>Único</v>
      </c>
    </row>
    <row r="3672" spans="1:5" x14ac:dyDescent="0.25">
      <c r="A3672" s="15">
        <v>12855</v>
      </c>
      <c r="B3672" s="7">
        <v>80378060</v>
      </c>
      <c r="C3672" s="11">
        <v>46087.511504629598</v>
      </c>
      <c r="D3672" s="17" t="s">
        <v>3998</v>
      </c>
      <c r="E3672" t="str">
        <f>IF(COUNTIF($B$2:B3672,B3672)&gt;1,"Duplicado","Único")</f>
        <v>Único</v>
      </c>
    </row>
    <row r="3673" spans="1:5" hidden="1" x14ac:dyDescent="0.25">
      <c r="A3673" s="15">
        <v>12855</v>
      </c>
      <c r="B3673" s="7">
        <v>80378060</v>
      </c>
      <c r="C3673" s="11">
        <v>46083.378553240698</v>
      </c>
      <c r="D3673" s="17" t="s">
        <v>3772</v>
      </c>
      <c r="E3673" t="str">
        <f>IF(COUNTIF($B$2:B3673,B3673)&gt;1,"Duplicado","Único")</f>
        <v>Duplicado</v>
      </c>
    </row>
    <row r="3674" spans="1:5" x14ac:dyDescent="0.25">
      <c r="A3674" s="15">
        <v>30135</v>
      </c>
      <c r="B3674" s="7">
        <v>80423181</v>
      </c>
      <c r="C3674" s="11">
        <v>45898.461932870399</v>
      </c>
      <c r="D3674" s="17" t="s">
        <v>1452</v>
      </c>
      <c r="E3674" t="str">
        <f>IF(COUNTIF($B$2:B3674,B3674)&gt;1,"Duplicado","Único")</f>
        <v>Único</v>
      </c>
    </row>
    <row r="3675" spans="1:5" x14ac:dyDescent="0.25">
      <c r="A3675" s="15">
        <v>33129</v>
      </c>
      <c r="B3675" s="7">
        <v>80423797</v>
      </c>
      <c r="C3675" s="11">
        <v>45912.530011574097</v>
      </c>
      <c r="D3675" s="17" t="s">
        <v>1678</v>
      </c>
      <c r="E3675" t="str">
        <f>IF(COUNTIF($B$2:B3675,B3675)&gt;1,"Duplicado","Único")</f>
        <v>Único</v>
      </c>
    </row>
    <row r="3676" spans="1:5" x14ac:dyDescent="0.25">
      <c r="A3676" s="15">
        <v>41646</v>
      </c>
      <c r="B3676" s="7">
        <v>80449560</v>
      </c>
      <c r="C3676" s="11">
        <v>45950.387175925898</v>
      </c>
      <c r="D3676" s="17" t="s">
        <v>1998</v>
      </c>
      <c r="E3676" t="str">
        <f>IF(COUNTIF($B$2:B3676,B3676)&gt;1,"Duplicado","Único")</f>
        <v>Único</v>
      </c>
    </row>
    <row r="3677" spans="1:5" x14ac:dyDescent="0.25">
      <c r="A3677" s="15">
        <v>30704</v>
      </c>
      <c r="B3677" s="7">
        <v>80471599</v>
      </c>
      <c r="C3677" s="11">
        <v>45901.478958333297</v>
      </c>
      <c r="D3677" s="17" t="s">
        <v>1476</v>
      </c>
      <c r="E3677" t="str">
        <f>IF(COUNTIF($B$2:B3677,B3677)&gt;1,"Duplicado","Único")</f>
        <v>Único</v>
      </c>
    </row>
    <row r="3678" spans="1:5" x14ac:dyDescent="0.25">
      <c r="A3678" s="15">
        <v>49436</v>
      </c>
      <c r="B3678" s="7">
        <v>80491968</v>
      </c>
      <c r="C3678" s="11">
        <v>45982.444467592599</v>
      </c>
      <c r="D3678" s="17" t="s">
        <v>2667</v>
      </c>
      <c r="E3678" t="str">
        <f>IF(COUNTIF($B$2:B3678,B3678)&gt;1,"Duplicado","Único")</f>
        <v>Único</v>
      </c>
    </row>
    <row r="3679" spans="1:5" x14ac:dyDescent="0.25">
      <c r="A3679" s="15">
        <v>49157</v>
      </c>
      <c r="B3679" s="7">
        <v>80498472</v>
      </c>
      <c r="C3679" s="11">
        <v>45981.356273148202</v>
      </c>
      <c r="D3679" s="17" t="s">
        <v>2625</v>
      </c>
      <c r="E3679" t="str">
        <f>IF(COUNTIF($B$2:B3679,B3679)&gt;1,"Duplicado","Único")</f>
        <v>Único</v>
      </c>
    </row>
    <row r="3680" spans="1:5" x14ac:dyDescent="0.25">
      <c r="A3680" s="15">
        <v>3514</v>
      </c>
      <c r="B3680" s="7">
        <v>80513389</v>
      </c>
      <c r="C3680" s="11">
        <v>46086.761377314797</v>
      </c>
      <c r="D3680" s="17" t="s">
        <v>3948</v>
      </c>
      <c r="E3680" t="str">
        <f>IF(COUNTIF($B$2:B3680,B3680)&gt;1,"Duplicado","Único")</f>
        <v>Único</v>
      </c>
    </row>
    <row r="3681" spans="1:5" hidden="1" x14ac:dyDescent="0.25">
      <c r="A3681" s="15">
        <v>3514</v>
      </c>
      <c r="B3681" s="7">
        <v>80513389</v>
      </c>
      <c r="C3681" s="11">
        <v>46052.490983796299</v>
      </c>
      <c r="D3681" s="17" t="s">
        <v>3564</v>
      </c>
      <c r="E3681" t="str">
        <f>IF(COUNTIF($B$2:B3681,B3681)&gt;1,"Duplicado","Único")</f>
        <v>Duplicado</v>
      </c>
    </row>
    <row r="3682" spans="1:5" x14ac:dyDescent="0.25">
      <c r="A3682" s="15">
        <v>46677</v>
      </c>
      <c r="B3682" s="7">
        <v>8061293</v>
      </c>
      <c r="C3682" s="11">
        <v>45966.674745370401</v>
      </c>
      <c r="D3682" s="17" t="s">
        <v>2347</v>
      </c>
      <c r="E3682" t="str">
        <f>IF(COUNTIF($B$2:B3682,B3682)&gt;1,"Duplicado","Único")</f>
        <v>Único</v>
      </c>
    </row>
    <row r="3683" spans="1:5" x14ac:dyDescent="0.25">
      <c r="A3683" s="15">
        <v>27611</v>
      </c>
      <c r="B3683" s="7">
        <v>80727986</v>
      </c>
      <c r="C3683" s="11">
        <v>45877.381053240701</v>
      </c>
      <c r="D3683" s="17" t="s">
        <v>1283</v>
      </c>
      <c r="E3683" t="str">
        <f>IF(COUNTIF($B$2:B3683,B3683)&gt;1,"Duplicado","Único")</f>
        <v>Único</v>
      </c>
    </row>
    <row r="3684" spans="1:5" x14ac:dyDescent="0.25">
      <c r="A3684" s="15">
        <v>51885</v>
      </c>
      <c r="B3684" s="7">
        <v>80734561</v>
      </c>
      <c r="C3684" s="11">
        <v>46051.423553240696</v>
      </c>
      <c r="D3684" s="17" t="s">
        <v>3451</v>
      </c>
      <c r="E3684" t="str">
        <f>IF(COUNTIF($B$2:B3684,B3684)&gt;1,"Duplicado","Único")</f>
        <v>Único</v>
      </c>
    </row>
    <row r="3685" spans="1:5" hidden="1" x14ac:dyDescent="0.25">
      <c r="A3685" s="15">
        <v>51885</v>
      </c>
      <c r="B3685" s="7">
        <v>80734561</v>
      </c>
      <c r="C3685" s="11">
        <v>46002.7131828704</v>
      </c>
      <c r="D3685" s="17" t="s">
        <v>2910</v>
      </c>
      <c r="E3685" t="str">
        <f>IF(COUNTIF($B$2:B3685,B3685)&gt;1,"Duplicado","Único")</f>
        <v>Duplicado</v>
      </c>
    </row>
    <row r="3686" spans="1:5" x14ac:dyDescent="0.25">
      <c r="A3686" s="15">
        <v>49605</v>
      </c>
      <c r="B3686" s="7">
        <v>80741777</v>
      </c>
      <c r="C3686" s="11">
        <v>46050.430023148103</v>
      </c>
      <c r="D3686" s="17" t="s">
        <v>3233</v>
      </c>
      <c r="E3686" t="str">
        <f>IF(COUNTIF($B$2:B3686,B3686)&gt;1,"Duplicado","Único")</f>
        <v>Único</v>
      </c>
    </row>
    <row r="3687" spans="1:5" hidden="1" x14ac:dyDescent="0.25">
      <c r="A3687" s="15">
        <v>49605</v>
      </c>
      <c r="B3687" s="7">
        <v>80741777</v>
      </c>
      <c r="C3687" s="11">
        <v>45985.374803240702</v>
      </c>
      <c r="D3687" s="17" t="s">
        <v>2676</v>
      </c>
      <c r="E3687" t="str">
        <f>IF(COUNTIF($B$2:B3687,B3687)&gt;1,"Duplicado","Único")</f>
        <v>Duplicado</v>
      </c>
    </row>
    <row r="3688" spans="1:5" x14ac:dyDescent="0.25">
      <c r="A3688" s="15">
        <v>50248</v>
      </c>
      <c r="B3688" s="7">
        <v>80751642</v>
      </c>
      <c r="C3688" s="11">
        <v>46050.5933912037</v>
      </c>
      <c r="D3688" s="17" t="s">
        <v>3290</v>
      </c>
      <c r="E3688" t="str">
        <f>IF(COUNTIF($B$2:B3688,B3688)&gt;1,"Duplicado","Único")</f>
        <v>Único</v>
      </c>
    </row>
    <row r="3689" spans="1:5" hidden="1" x14ac:dyDescent="0.25">
      <c r="A3689" s="15">
        <v>50248</v>
      </c>
      <c r="B3689" s="7">
        <v>80751642</v>
      </c>
      <c r="C3689" s="11">
        <v>45987.4515046296</v>
      </c>
      <c r="D3689" s="17" t="s">
        <v>2737</v>
      </c>
      <c r="E3689" t="str">
        <f>IF(COUNTIF($B$2:B3689,B3689)&gt;1,"Duplicado","Único")</f>
        <v>Duplicado</v>
      </c>
    </row>
    <row r="3690" spans="1:5" x14ac:dyDescent="0.25">
      <c r="A3690" s="15">
        <v>16620</v>
      </c>
      <c r="B3690" s="7">
        <v>80756259</v>
      </c>
      <c r="C3690" s="11">
        <v>46121.441412036998</v>
      </c>
      <c r="D3690" s="17" t="s">
        <v>4378</v>
      </c>
      <c r="E3690" t="str">
        <f>IF(COUNTIF($B$2:B3690,B3690)&gt;1,"Duplicado","Único")</f>
        <v>Único</v>
      </c>
    </row>
    <row r="3691" spans="1:5" hidden="1" x14ac:dyDescent="0.25">
      <c r="A3691" s="15">
        <v>16620</v>
      </c>
      <c r="B3691" s="7">
        <v>80756259</v>
      </c>
      <c r="C3691" s="11">
        <v>46101.843217592599</v>
      </c>
      <c r="D3691" s="17" t="s">
        <v>4166</v>
      </c>
      <c r="E3691" t="str">
        <f>IF(COUNTIF($B$2:B3691,B3691)&gt;1,"Duplicado","Único")</f>
        <v>Duplicado</v>
      </c>
    </row>
    <row r="3692" spans="1:5" x14ac:dyDescent="0.25">
      <c r="A3692" s="15">
        <v>15579</v>
      </c>
      <c r="B3692" s="7">
        <v>80756495</v>
      </c>
      <c r="C3692" s="11">
        <v>46094.462789351899</v>
      </c>
      <c r="D3692" s="17" t="s">
        <v>4037</v>
      </c>
      <c r="E3692" t="str">
        <f>IF(COUNTIF($B$2:B3692,B3692)&gt;1,"Duplicado","Único")</f>
        <v>Único</v>
      </c>
    </row>
    <row r="3693" spans="1:5" hidden="1" x14ac:dyDescent="0.25">
      <c r="A3693" s="15">
        <v>15579</v>
      </c>
      <c r="B3693" s="7">
        <v>80756495</v>
      </c>
      <c r="C3693" s="11">
        <v>46094.458703703698</v>
      </c>
      <c r="D3693" s="17" t="s">
        <v>4036</v>
      </c>
      <c r="E3693" t="str">
        <f>IF(COUNTIF($B$2:B3693,B3693)&gt;1,"Duplicado","Único")</f>
        <v>Duplicado</v>
      </c>
    </row>
    <row r="3694" spans="1:5" x14ac:dyDescent="0.25">
      <c r="A3694" s="15">
        <v>35892</v>
      </c>
      <c r="B3694" s="7">
        <v>80758999</v>
      </c>
      <c r="C3694" s="11">
        <v>45918.405474537001</v>
      </c>
      <c r="D3694" s="17" t="s">
        <v>1739</v>
      </c>
      <c r="E3694" t="str">
        <f>IF(COUNTIF($B$2:B3694,B3694)&gt;1,"Duplicado","Único")</f>
        <v>Único</v>
      </c>
    </row>
    <row r="3695" spans="1:5" x14ac:dyDescent="0.25">
      <c r="A3695" s="15">
        <v>50327</v>
      </c>
      <c r="B3695" s="7">
        <v>80764672</v>
      </c>
      <c r="C3695" s="11">
        <v>46050.614467592597</v>
      </c>
      <c r="D3695" s="17" t="s">
        <v>3323</v>
      </c>
      <c r="E3695" t="str">
        <f>IF(COUNTIF($B$2:B3695,B3695)&gt;1,"Duplicado","Único")</f>
        <v>Único</v>
      </c>
    </row>
    <row r="3696" spans="1:5" hidden="1" x14ac:dyDescent="0.25">
      <c r="A3696" s="15">
        <v>50327</v>
      </c>
      <c r="B3696" s="7">
        <v>80764672</v>
      </c>
      <c r="C3696" s="11">
        <v>45988.356712963003</v>
      </c>
      <c r="D3696" s="17" t="s">
        <v>2751</v>
      </c>
      <c r="E3696" t="str">
        <f>IF(COUNTIF($B$2:B3696,B3696)&gt;1,"Duplicado","Único")</f>
        <v>Duplicado</v>
      </c>
    </row>
    <row r="3697" spans="1:5" x14ac:dyDescent="0.25">
      <c r="A3697" s="15">
        <v>32769</v>
      </c>
      <c r="B3697" s="7">
        <v>80765315</v>
      </c>
      <c r="C3697" s="11">
        <v>45910.417187500003</v>
      </c>
      <c r="D3697" s="17" t="s">
        <v>1641</v>
      </c>
      <c r="E3697" t="str">
        <f>IF(COUNTIF($B$2:B3697,B3697)&gt;1,"Duplicado","Único")</f>
        <v>Único</v>
      </c>
    </row>
    <row r="3698" spans="1:5" x14ac:dyDescent="0.25">
      <c r="A3698" s="15">
        <v>14388</v>
      </c>
      <c r="B3698" s="7">
        <v>80766004</v>
      </c>
      <c r="C3698" s="11">
        <v>46120.467245370397</v>
      </c>
      <c r="D3698" s="17" t="s">
        <v>4259</v>
      </c>
      <c r="E3698" t="str">
        <f>IF(COUNTIF($B$2:B3698,B3698)&gt;1,"Duplicado","Único")</f>
        <v>Único</v>
      </c>
    </row>
    <row r="3699" spans="1:5" hidden="1" x14ac:dyDescent="0.25">
      <c r="A3699" s="15">
        <v>14388</v>
      </c>
      <c r="B3699" s="7">
        <v>80766004</v>
      </c>
      <c r="C3699" s="11">
        <v>46090.665104166699</v>
      </c>
      <c r="D3699" s="17" t="s">
        <v>4019</v>
      </c>
      <c r="E3699" t="str">
        <f>IF(COUNTIF($B$2:B3699,B3699)&gt;1,"Duplicado","Único")</f>
        <v>Duplicado</v>
      </c>
    </row>
    <row r="3700" spans="1:5" x14ac:dyDescent="0.25">
      <c r="A3700" s="15">
        <v>38474</v>
      </c>
      <c r="B3700" s="7">
        <v>80804586</v>
      </c>
      <c r="C3700" s="11">
        <v>45926.393703703703</v>
      </c>
      <c r="D3700" s="17" t="s">
        <v>1834</v>
      </c>
      <c r="E3700" t="str">
        <f>IF(COUNTIF($B$2:B3700,B3700)&gt;1,"Duplicado","Único")</f>
        <v>Único</v>
      </c>
    </row>
    <row r="3701" spans="1:5" x14ac:dyDescent="0.25">
      <c r="A3701" s="15">
        <v>38410</v>
      </c>
      <c r="B3701" s="7">
        <v>80807655</v>
      </c>
      <c r="C3701" s="11">
        <v>45926.427175925899</v>
      </c>
      <c r="D3701" s="17" t="s">
        <v>1844</v>
      </c>
      <c r="E3701" t="str">
        <f>IF(COUNTIF($B$2:B3701,B3701)&gt;1,"Duplicado","Único")</f>
        <v>Único</v>
      </c>
    </row>
    <row r="3702" spans="1:5" x14ac:dyDescent="0.25">
      <c r="A3702" s="15">
        <v>18250</v>
      </c>
      <c r="B3702" s="7">
        <v>80828768</v>
      </c>
      <c r="C3702" s="11">
        <v>45800.521851851903</v>
      </c>
      <c r="D3702" s="17" t="s">
        <v>755</v>
      </c>
      <c r="E3702" t="str">
        <f>IF(COUNTIF($B$2:B3702,B3702)&gt;1,"Duplicado","Único")</f>
        <v>Único</v>
      </c>
    </row>
    <row r="3703" spans="1:5" x14ac:dyDescent="0.25">
      <c r="A3703" s="15">
        <v>46985</v>
      </c>
      <c r="B3703" s="7">
        <v>80829493</v>
      </c>
      <c r="C3703" s="11">
        <v>45968.381354166697</v>
      </c>
      <c r="D3703" s="17" t="s">
        <v>2374</v>
      </c>
      <c r="E3703" t="str">
        <f>IF(COUNTIF($B$2:B3703,B3703)&gt;1,"Duplicado","Único")</f>
        <v>Único</v>
      </c>
    </row>
    <row r="3704" spans="1:5" x14ac:dyDescent="0.25">
      <c r="A3704" s="15">
        <v>44226</v>
      </c>
      <c r="B3704" s="7">
        <v>80832372</v>
      </c>
      <c r="C3704" s="11">
        <v>45958.419479166703</v>
      </c>
      <c r="D3704" s="17" t="s">
        <v>2114</v>
      </c>
      <c r="E3704" t="str">
        <f>IF(COUNTIF($B$2:B3704,B3704)&gt;1,"Duplicado","Único")</f>
        <v>Único</v>
      </c>
    </row>
    <row r="3705" spans="1:5" x14ac:dyDescent="0.25">
      <c r="A3705" s="15">
        <v>17730</v>
      </c>
      <c r="B3705" s="7">
        <v>80842586</v>
      </c>
      <c r="C3705" s="11">
        <v>46149.450358796297</v>
      </c>
      <c r="D3705" s="17" t="s">
        <v>1389</v>
      </c>
      <c r="E3705" t="str">
        <f>IF(COUNTIF($B$2:B3705,B3705)&gt;1,"Duplicado","Único")</f>
        <v>Único</v>
      </c>
    </row>
    <row r="3706" spans="1:5" hidden="1" x14ac:dyDescent="0.25">
      <c r="A3706" s="15">
        <v>17730</v>
      </c>
      <c r="B3706" s="7">
        <v>80842586</v>
      </c>
      <c r="C3706" s="11">
        <v>46108.827708333301</v>
      </c>
      <c r="D3706" s="17" t="s">
        <v>1154</v>
      </c>
      <c r="E3706" t="str">
        <f>IF(COUNTIF($B$2:B3706,B3706)&gt;1,"Duplicado","Único")</f>
        <v>Duplicado</v>
      </c>
    </row>
    <row r="3707" spans="1:5" x14ac:dyDescent="0.25">
      <c r="A3707" s="15">
        <v>47297</v>
      </c>
      <c r="B3707" s="7">
        <v>80845338</v>
      </c>
      <c r="C3707" s="11">
        <v>45971.465428240699</v>
      </c>
      <c r="D3707" s="17" t="s">
        <v>2409</v>
      </c>
      <c r="E3707" t="str">
        <f>IF(COUNTIF($B$2:B3707,B3707)&gt;1,"Duplicado","Único")</f>
        <v>Único</v>
      </c>
    </row>
    <row r="3708" spans="1:5" x14ac:dyDescent="0.25">
      <c r="A3708" s="15">
        <v>49409</v>
      </c>
      <c r="B3708" s="7">
        <v>80845855</v>
      </c>
      <c r="C3708" s="11">
        <v>45981.6776157407</v>
      </c>
      <c r="D3708" s="17" t="s">
        <v>2650</v>
      </c>
      <c r="E3708" t="str">
        <f>IF(COUNTIF($B$2:B3708,B3708)&gt;1,"Duplicado","Único")</f>
        <v>Único</v>
      </c>
    </row>
    <row r="3709" spans="1:5" x14ac:dyDescent="0.25">
      <c r="A3709" s="15">
        <v>48467</v>
      </c>
      <c r="B3709" s="7">
        <v>80849915</v>
      </c>
      <c r="C3709" s="11">
        <v>45979.463090277801</v>
      </c>
      <c r="D3709" s="17" t="s">
        <v>2551</v>
      </c>
      <c r="E3709" t="str">
        <f>IF(COUNTIF($B$2:B3709,B3709)&gt;1,"Duplicado","Único")</f>
        <v>Único</v>
      </c>
    </row>
    <row r="3710" spans="1:5" x14ac:dyDescent="0.25">
      <c r="A3710" s="15">
        <v>46952</v>
      </c>
      <c r="B3710" s="7">
        <v>80850771</v>
      </c>
      <c r="C3710" s="11">
        <v>45968.387986111098</v>
      </c>
      <c r="D3710" s="17" t="s">
        <v>2376</v>
      </c>
      <c r="E3710" t="str">
        <f>IF(COUNTIF($B$2:B3710,B3710)&gt;1,"Duplicado","Único")</f>
        <v>Único</v>
      </c>
    </row>
    <row r="3711" spans="1:5" x14ac:dyDescent="0.25">
      <c r="A3711" s="15">
        <v>28692</v>
      </c>
      <c r="B3711" s="7">
        <v>80850831</v>
      </c>
      <c r="C3711" s="11">
        <v>45888.633333333302</v>
      </c>
      <c r="D3711" s="17" t="s">
        <v>1354</v>
      </c>
      <c r="E3711" t="str">
        <f>IF(COUNTIF($B$2:B3711,B3711)&gt;1,"Duplicado","Único")</f>
        <v>Único</v>
      </c>
    </row>
    <row r="3712" spans="1:5" x14ac:dyDescent="0.25">
      <c r="A3712" s="15">
        <v>42205</v>
      </c>
      <c r="B3712" s="7">
        <v>80856587</v>
      </c>
      <c r="C3712" s="11">
        <v>45950.714340277802</v>
      </c>
      <c r="D3712" s="17" t="s">
        <v>2014</v>
      </c>
      <c r="E3712" t="str">
        <f>IF(COUNTIF($B$2:B3712,B3712)&gt;1,"Duplicado","Único")</f>
        <v>Único</v>
      </c>
    </row>
    <row r="3713" spans="1:5" x14ac:dyDescent="0.25">
      <c r="A3713" s="15">
        <v>47584</v>
      </c>
      <c r="B3713" s="7">
        <v>80873758</v>
      </c>
      <c r="C3713" s="11">
        <v>45975.649722222202</v>
      </c>
      <c r="D3713" s="17" t="s">
        <v>2520</v>
      </c>
      <c r="E3713" t="str">
        <f>IF(COUNTIF($B$2:B3713,B3713)&gt;1,"Duplicado","Único")</f>
        <v>Único</v>
      </c>
    </row>
    <row r="3714" spans="1:5" hidden="1" x14ac:dyDescent="0.25">
      <c r="A3714" s="15">
        <v>47584</v>
      </c>
      <c r="B3714" s="7">
        <v>80873758</v>
      </c>
      <c r="C3714" s="11">
        <v>45972.439942129597</v>
      </c>
      <c r="D3714" s="17" t="s">
        <v>2429</v>
      </c>
      <c r="E3714" t="str">
        <f>IF(COUNTIF($B$2:B3714,B3714)&gt;1,"Duplicado","Único")</f>
        <v>Duplicado</v>
      </c>
    </row>
    <row r="3715" spans="1:5" x14ac:dyDescent="0.25">
      <c r="A3715" s="15">
        <v>48655</v>
      </c>
      <c r="B3715" s="7">
        <v>80875700</v>
      </c>
      <c r="C3715" s="11">
        <v>45979.390752314801</v>
      </c>
      <c r="D3715" s="17" t="s">
        <v>2544</v>
      </c>
      <c r="E3715" t="str">
        <f>IF(COUNTIF($B$2:B3715,B3715)&gt;1,"Duplicado","Único")</f>
        <v>Único</v>
      </c>
    </row>
    <row r="3716" spans="1:5" x14ac:dyDescent="0.25">
      <c r="A3716" s="15">
        <v>44307</v>
      </c>
      <c r="B3716" s="7">
        <v>80880847</v>
      </c>
      <c r="C3716" s="11">
        <v>45958.491990740702</v>
      </c>
      <c r="D3716" s="17" t="s">
        <v>2135</v>
      </c>
      <c r="E3716" t="str">
        <f>IF(COUNTIF($B$2:B3716,B3716)&gt;1,"Duplicado","Único")</f>
        <v>Único</v>
      </c>
    </row>
    <row r="3717" spans="1:5" x14ac:dyDescent="0.25">
      <c r="A3717" s="15">
        <v>22565</v>
      </c>
      <c r="B3717" s="7">
        <v>80888592</v>
      </c>
      <c r="C3717" s="11">
        <v>45842.333414351902</v>
      </c>
      <c r="D3717" s="17" t="s">
        <v>1026</v>
      </c>
      <c r="E3717" t="str">
        <f>IF(COUNTIF($B$2:B3717,B3717)&gt;1,"Duplicado","Único")</f>
        <v>Único</v>
      </c>
    </row>
    <row r="3718" spans="1:5" x14ac:dyDescent="0.25">
      <c r="A3718" s="15">
        <v>47443</v>
      </c>
      <c r="B3718" s="7">
        <v>80894301</v>
      </c>
      <c r="C3718" s="11">
        <v>45971.483634259297</v>
      </c>
      <c r="D3718" s="17" t="s">
        <v>2414</v>
      </c>
      <c r="E3718" t="str">
        <f>IF(COUNTIF($B$2:B3718,B3718)&gt;1,"Duplicado","Único")</f>
        <v>Único</v>
      </c>
    </row>
    <row r="3719" spans="1:5" x14ac:dyDescent="0.25">
      <c r="A3719" s="15">
        <v>15384</v>
      </c>
      <c r="B3719" s="7">
        <v>80897306</v>
      </c>
      <c r="C3719" s="11">
        <v>46120.6180439815</v>
      </c>
      <c r="D3719" s="17" t="s">
        <v>4303</v>
      </c>
      <c r="E3719" t="str">
        <f>IF(COUNTIF($B$2:B3719,B3719)&gt;1,"Duplicado","Único")</f>
        <v>Único</v>
      </c>
    </row>
    <row r="3720" spans="1:5" hidden="1" x14ac:dyDescent="0.25">
      <c r="A3720" s="15">
        <v>15384</v>
      </c>
      <c r="B3720" s="7">
        <v>80897306</v>
      </c>
      <c r="C3720" s="11">
        <v>46094.522696759297</v>
      </c>
      <c r="D3720" s="17" t="s">
        <v>4085</v>
      </c>
      <c r="E3720" t="str">
        <f>IF(COUNTIF($B$2:B3720,B3720)&gt;1,"Duplicado","Único")</f>
        <v>Duplicado</v>
      </c>
    </row>
    <row r="3721" spans="1:5" hidden="1" x14ac:dyDescent="0.25">
      <c r="A3721" s="15">
        <v>40547</v>
      </c>
      <c r="B3721" s="7">
        <v>80897306</v>
      </c>
      <c r="C3721" s="11">
        <v>45936.350358796299</v>
      </c>
      <c r="D3721" s="17" t="s">
        <v>1928</v>
      </c>
      <c r="E3721" t="str">
        <f>IF(COUNTIF($B$2:B3721,B3721)&gt;1,"Duplicado","Único")</f>
        <v>Duplicado</v>
      </c>
    </row>
    <row r="3722" spans="1:5" x14ac:dyDescent="0.25">
      <c r="A3722" s="15">
        <v>23953</v>
      </c>
      <c r="B3722" s="7">
        <v>80903028</v>
      </c>
      <c r="C3722" s="11">
        <v>45852.530601851897</v>
      </c>
      <c r="D3722" s="17" t="s">
        <v>1070</v>
      </c>
      <c r="E3722" t="str">
        <f>IF(COUNTIF($B$2:B3722,B3722)&gt;1,"Duplicado","Único")</f>
        <v>Único</v>
      </c>
    </row>
    <row r="3723" spans="1:5" x14ac:dyDescent="0.25">
      <c r="A3723" s="15">
        <v>53341</v>
      </c>
      <c r="B3723" s="7">
        <v>80926846</v>
      </c>
      <c r="C3723" s="11">
        <v>46057.411192129599</v>
      </c>
      <c r="D3723" s="17" t="s">
        <v>3691</v>
      </c>
      <c r="E3723" t="str">
        <f>IF(COUNTIF($B$2:B3723,B3723)&gt;1,"Duplicado","Único")</f>
        <v>Único</v>
      </c>
    </row>
    <row r="3724" spans="1:5" hidden="1" x14ac:dyDescent="0.25">
      <c r="A3724" s="15">
        <v>53341</v>
      </c>
      <c r="B3724" s="7">
        <v>80926846</v>
      </c>
      <c r="C3724" s="11">
        <v>46013.462326388901</v>
      </c>
      <c r="D3724" s="17" t="s">
        <v>3012</v>
      </c>
      <c r="E3724" t="str">
        <f>IF(COUNTIF($B$2:B3724,B3724)&gt;1,"Duplicado","Único")</f>
        <v>Duplicado</v>
      </c>
    </row>
    <row r="3725" spans="1:5" x14ac:dyDescent="0.25">
      <c r="A3725" s="15">
        <v>17313</v>
      </c>
      <c r="B3725" s="7">
        <v>80927875</v>
      </c>
      <c r="C3725" s="11">
        <v>45791.415694444397</v>
      </c>
      <c r="D3725" s="17" t="s">
        <v>699</v>
      </c>
      <c r="E3725" t="str">
        <f>IF(COUNTIF($B$2:B3725,B3725)&gt;1,"Duplicado","Único")</f>
        <v>Único</v>
      </c>
    </row>
    <row r="3726" spans="1:5" x14ac:dyDescent="0.25">
      <c r="A3726" s="15">
        <v>20023</v>
      </c>
      <c r="B3726" s="7">
        <v>8105928</v>
      </c>
      <c r="C3726" s="11">
        <v>45819.6722337963</v>
      </c>
      <c r="D3726" s="17" t="s">
        <v>855</v>
      </c>
      <c r="E3726" t="str">
        <f>IF(COUNTIF($B$2:B3726,B3726)&gt;1,"Duplicado","Único")</f>
        <v>Único</v>
      </c>
    </row>
    <row r="3727" spans="1:5" x14ac:dyDescent="0.25">
      <c r="A3727" s="15">
        <v>20254</v>
      </c>
      <c r="B3727" s="7">
        <v>8154532</v>
      </c>
      <c r="C3727" s="11">
        <v>45820.3458217593</v>
      </c>
      <c r="D3727" s="17" t="s">
        <v>870</v>
      </c>
      <c r="E3727" t="str">
        <f>IF(COUNTIF($B$2:B3727,B3727)&gt;1,"Duplicado","Único")</f>
        <v>Único</v>
      </c>
    </row>
    <row r="3728" spans="1:5" x14ac:dyDescent="0.25">
      <c r="A3728" s="15">
        <v>29983</v>
      </c>
      <c r="B3728" s="7">
        <v>8163601</v>
      </c>
      <c r="C3728" s="11">
        <v>45898.473067129598</v>
      </c>
      <c r="D3728" s="17" t="s">
        <v>1458</v>
      </c>
      <c r="E3728" t="str">
        <f>IF(COUNTIF($B$2:B3728,B3728)&gt;1,"Duplicado","Único")</f>
        <v>Único</v>
      </c>
    </row>
    <row r="3729" spans="1:5" x14ac:dyDescent="0.25">
      <c r="A3729" s="15">
        <v>45596</v>
      </c>
      <c r="B3729" s="7">
        <v>8175442</v>
      </c>
      <c r="C3729" s="11">
        <v>45960.533206018503</v>
      </c>
      <c r="D3729" s="17" t="s">
        <v>2242</v>
      </c>
      <c r="E3729" t="str">
        <f>IF(COUNTIF($B$2:B3729,B3729)&gt;1,"Duplicado","Único")</f>
        <v>Único</v>
      </c>
    </row>
    <row r="3730" spans="1:5" x14ac:dyDescent="0.25">
      <c r="A3730" s="15">
        <v>51712</v>
      </c>
      <c r="B3730" s="7">
        <v>82383191</v>
      </c>
      <c r="C3730" s="11">
        <v>46051.424432870401</v>
      </c>
      <c r="D3730" s="17" t="s">
        <v>3452</v>
      </c>
      <c r="E3730" t="str">
        <f>IF(COUNTIF($B$2:B3730,B3730)&gt;1,"Duplicado","Único")</f>
        <v>Único</v>
      </c>
    </row>
    <row r="3731" spans="1:5" hidden="1" x14ac:dyDescent="0.25">
      <c r="A3731" s="15">
        <v>51712</v>
      </c>
      <c r="B3731" s="7">
        <v>82383191</v>
      </c>
      <c r="C3731" s="11">
        <v>46002.689965277801</v>
      </c>
      <c r="D3731" s="17" t="s">
        <v>2904</v>
      </c>
      <c r="E3731" t="str">
        <f>IF(COUNTIF($B$2:B3731,B3731)&gt;1,"Duplicado","Único")</f>
        <v>Duplicado</v>
      </c>
    </row>
    <row r="3732" spans="1:5" x14ac:dyDescent="0.25">
      <c r="A3732" s="15">
        <v>30718</v>
      </c>
      <c r="B3732" s="7">
        <v>8314965</v>
      </c>
      <c r="C3732" s="11">
        <v>45901.484386574099</v>
      </c>
      <c r="D3732" s="17" t="s">
        <v>1478</v>
      </c>
      <c r="E3732" t="str">
        <f>IF(COUNTIF($B$2:B3732,B3732)&gt;1,"Duplicado","Único")</f>
        <v>Único</v>
      </c>
    </row>
    <row r="3733" spans="1:5" x14ac:dyDescent="0.25">
      <c r="A3733" s="15">
        <v>29691</v>
      </c>
      <c r="B3733" s="7">
        <v>83167698</v>
      </c>
      <c r="C3733" s="11">
        <v>45895.360520833303</v>
      </c>
      <c r="D3733" s="17" t="s">
        <v>1423</v>
      </c>
      <c r="E3733" t="str">
        <f>IF(COUNTIF($B$2:B3733,B3733)&gt;1,"Duplicado","Único")</f>
        <v>Único</v>
      </c>
    </row>
    <row r="3734" spans="1:5" x14ac:dyDescent="0.25">
      <c r="A3734" s="15">
        <v>46089</v>
      </c>
      <c r="B3734" s="7">
        <v>83182143</v>
      </c>
      <c r="C3734" s="11">
        <v>45965.456562500003</v>
      </c>
      <c r="D3734" s="17" t="s">
        <v>2292</v>
      </c>
      <c r="E3734" t="str">
        <f>IF(COUNTIF($B$2:B3734,B3734)&gt;1,"Duplicado","Único")</f>
        <v>Único</v>
      </c>
    </row>
    <row r="3735" spans="1:5" x14ac:dyDescent="0.25">
      <c r="A3735" s="15">
        <v>43027</v>
      </c>
      <c r="B3735" s="7">
        <v>83220582</v>
      </c>
      <c r="C3735" s="11">
        <v>45953.388877314799</v>
      </c>
      <c r="D3735" s="17" t="s">
        <v>2040</v>
      </c>
      <c r="E3735" t="str">
        <f>IF(COUNTIF($B$2:B3735,B3735)&gt;1,"Duplicado","Único")</f>
        <v>Único</v>
      </c>
    </row>
    <row r="3736" spans="1:5" x14ac:dyDescent="0.25">
      <c r="A3736" s="15">
        <v>1961</v>
      </c>
      <c r="B3736" s="7">
        <v>8357887</v>
      </c>
      <c r="C3736" s="11">
        <v>46086.691527777803</v>
      </c>
      <c r="D3736" s="17" t="s">
        <v>3877</v>
      </c>
      <c r="E3736" t="str">
        <f>IF(COUNTIF($B$2:B3736,B3736)&gt;1,"Duplicado","Único")</f>
        <v>Único</v>
      </c>
    </row>
    <row r="3737" spans="1:5" hidden="1" x14ac:dyDescent="0.25">
      <c r="A3737" s="15">
        <v>1961</v>
      </c>
      <c r="B3737" s="7">
        <v>8357887</v>
      </c>
      <c r="C3737" s="11">
        <v>46048.613865740699</v>
      </c>
      <c r="D3737" s="17" t="s">
        <v>3202</v>
      </c>
      <c r="E3737" t="str">
        <f>IF(COUNTIF($B$2:B3737,B3737)&gt;1,"Duplicado","Único")</f>
        <v>Duplicado</v>
      </c>
    </row>
    <row r="3738" spans="1:5" x14ac:dyDescent="0.25">
      <c r="A3738" s="15">
        <v>43133</v>
      </c>
      <c r="B3738" s="7">
        <v>8362608</v>
      </c>
      <c r="C3738" s="11">
        <v>45953.620393518497</v>
      </c>
      <c r="D3738" s="17" t="s">
        <v>2055</v>
      </c>
      <c r="E3738" t="str">
        <f>IF(COUNTIF($B$2:B3738,B3738)&gt;1,"Duplicado","Único")</f>
        <v>Único</v>
      </c>
    </row>
    <row r="3739" spans="1:5" x14ac:dyDescent="0.25">
      <c r="A3739" s="15">
        <v>32630</v>
      </c>
      <c r="B3739" s="7">
        <v>84089175</v>
      </c>
      <c r="C3739" s="11">
        <v>45909.695625</v>
      </c>
      <c r="D3739" s="17" t="s">
        <v>1631</v>
      </c>
      <c r="E3739" t="str">
        <f>IF(COUNTIF($B$2:B3739,B3739)&gt;1,"Duplicado","Único")</f>
        <v>Único</v>
      </c>
    </row>
    <row r="3740" spans="1:5" x14ac:dyDescent="0.25">
      <c r="A3740" s="15">
        <v>42214</v>
      </c>
      <c r="B3740" s="7">
        <v>84096731</v>
      </c>
      <c r="C3740" s="11">
        <v>45950.720266203702</v>
      </c>
      <c r="D3740" s="17" t="s">
        <v>2015</v>
      </c>
      <c r="E3740" t="str">
        <f>IF(COUNTIF($B$2:B3740,B3740)&gt;1,"Duplicado","Único")</f>
        <v>Único</v>
      </c>
    </row>
    <row r="3741" spans="1:5" x14ac:dyDescent="0.25">
      <c r="A3741" s="15">
        <v>15206</v>
      </c>
      <c r="B3741" s="7">
        <v>8432855</v>
      </c>
      <c r="C3741" s="11">
        <v>46120.501238425903</v>
      </c>
      <c r="D3741" s="17" t="s">
        <v>4280</v>
      </c>
      <c r="E3741" t="str">
        <f>IF(COUNTIF($B$2:B3741,B3741)&gt;1,"Duplicado","Único")</f>
        <v>Único</v>
      </c>
    </row>
    <row r="3742" spans="1:5" hidden="1" x14ac:dyDescent="0.25">
      <c r="A3742" s="15">
        <v>15206</v>
      </c>
      <c r="B3742" s="7">
        <v>8432855</v>
      </c>
      <c r="C3742" s="11">
        <v>46094.428634259297</v>
      </c>
      <c r="D3742" s="17" t="s">
        <v>4031</v>
      </c>
      <c r="E3742" t="str">
        <f>IF(COUNTIF($B$2:B3742,B3742)&gt;1,"Duplicado","Único")</f>
        <v>Duplicado</v>
      </c>
    </row>
    <row r="3743" spans="1:5" x14ac:dyDescent="0.25">
      <c r="A3743" s="15">
        <v>12347</v>
      </c>
      <c r="B3743" s="7">
        <v>8487645</v>
      </c>
      <c r="C3743" s="11">
        <v>46080.380763888897</v>
      </c>
      <c r="D3743" s="17" t="s">
        <v>3767</v>
      </c>
      <c r="E3743" t="str">
        <f>IF(COUNTIF($B$2:B3743,B3743)&gt;1,"Duplicado","Único")</f>
        <v>Único</v>
      </c>
    </row>
    <row r="3744" spans="1:5" hidden="1" x14ac:dyDescent="0.25">
      <c r="A3744" s="15">
        <v>12347</v>
      </c>
      <c r="B3744" s="7">
        <v>8487645</v>
      </c>
      <c r="C3744" s="11">
        <v>46079.496296296304</v>
      </c>
      <c r="D3744" s="17" t="s">
        <v>830</v>
      </c>
      <c r="E3744" t="str">
        <f>IF(COUNTIF($B$2:B3744,B3744)&gt;1,"Duplicado","Único")</f>
        <v>Duplicado</v>
      </c>
    </row>
    <row r="3745" spans="1:5" x14ac:dyDescent="0.25">
      <c r="A3745" s="15">
        <v>48331</v>
      </c>
      <c r="B3745" s="7">
        <v>8508941</v>
      </c>
      <c r="C3745" s="11">
        <v>45975.673333333303</v>
      </c>
      <c r="D3745" s="17" t="s">
        <v>2526</v>
      </c>
      <c r="E3745" t="str">
        <f>IF(COUNTIF($B$2:B3745,B3745)&gt;1,"Duplicado","Único")</f>
        <v>Único</v>
      </c>
    </row>
    <row r="3746" spans="1:5" x14ac:dyDescent="0.25">
      <c r="A3746" s="15">
        <v>3929</v>
      </c>
      <c r="B3746" s="7">
        <v>85150645</v>
      </c>
      <c r="C3746" s="11">
        <v>46086.776064814803</v>
      </c>
      <c r="D3746" s="17" t="s">
        <v>3963</v>
      </c>
      <c r="E3746" t="str">
        <f>IF(COUNTIF($B$2:B3746,B3746)&gt;1,"Duplicado","Único")</f>
        <v>Único</v>
      </c>
    </row>
    <row r="3747" spans="1:5" hidden="1" x14ac:dyDescent="0.25">
      <c r="A3747" s="15">
        <v>3929</v>
      </c>
      <c r="B3747" s="7">
        <v>85150645</v>
      </c>
      <c r="C3747" s="11">
        <v>46055.465474536999</v>
      </c>
      <c r="D3747" s="17" t="s">
        <v>3602</v>
      </c>
      <c r="E3747" t="str">
        <f>IF(COUNTIF($B$2:B3747,B3747)&gt;1,"Duplicado","Único")</f>
        <v>Duplicado</v>
      </c>
    </row>
    <row r="3748" spans="1:5" x14ac:dyDescent="0.25">
      <c r="A3748" s="15">
        <v>17813</v>
      </c>
      <c r="B3748" s="7">
        <v>85166119</v>
      </c>
      <c r="C3748" s="11">
        <v>46149.450972222199</v>
      </c>
      <c r="D3748" s="17" t="s">
        <v>4488</v>
      </c>
      <c r="E3748" t="str">
        <f>IF(COUNTIF($B$2:B3748,B3748)&gt;1,"Duplicado","Único")</f>
        <v>Único</v>
      </c>
    </row>
    <row r="3749" spans="1:5" hidden="1" x14ac:dyDescent="0.25">
      <c r="A3749" s="15">
        <v>17813</v>
      </c>
      <c r="B3749" s="7">
        <v>85166119</v>
      </c>
      <c r="C3749" s="11">
        <v>46108.840173611097</v>
      </c>
      <c r="D3749" s="17" t="s">
        <v>1159</v>
      </c>
      <c r="E3749" t="str">
        <f>IF(COUNTIF($B$2:B3749,B3749)&gt;1,"Duplicado","Único")</f>
        <v>Duplicado</v>
      </c>
    </row>
    <row r="3750" spans="1:5" x14ac:dyDescent="0.25">
      <c r="A3750" s="15">
        <v>32783</v>
      </c>
      <c r="B3750" s="7">
        <v>8532834</v>
      </c>
      <c r="C3750" s="11">
        <v>45910.500127314801</v>
      </c>
      <c r="D3750" s="17" t="s">
        <v>1652</v>
      </c>
      <c r="E3750" t="str">
        <f>IF(COUNTIF($B$2:B3750,B3750)&gt;1,"Duplicado","Único")</f>
        <v>Único</v>
      </c>
    </row>
    <row r="3751" spans="1:5" x14ac:dyDescent="0.25">
      <c r="A3751" s="15">
        <v>55578</v>
      </c>
      <c r="B3751" s="7">
        <v>85372208</v>
      </c>
      <c r="C3751" s="11">
        <v>46086.466782407399</v>
      </c>
      <c r="D3751" s="17" t="s">
        <v>3804</v>
      </c>
      <c r="E3751" t="str">
        <f>IF(COUNTIF($B$2:B3751,B3751)&gt;1,"Duplicado","Único")</f>
        <v>Único</v>
      </c>
    </row>
    <row r="3752" spans="1:5" hidden="1" x14ac:dyDescent="0.25">
      <c r="A3752" s="15">
        <v>55578</v>
      </c>
      <c r="B3752" s="7">
        <v>85372208</v>
      </c>
      <c r="C3752" s="11">
        <v>46024.475324074097</v>
      </c>
      <c r="D3752" s="17" t="s">
        <v>3115</v>
      </c>
      <c r="E3752" t="str">
        <f>IF(COUNTIF($B$2:B3752,B3752)&gt;1,"Duplicado","Único")</f>
        <v>Duplicado</v>
      </c>
    </row>
    <row r="3753" spans="1:5" x14ac:dyDescent="0.25">
      <c r="A3753" s="15">
        <v>52757</v>
      </c>
      <c r="B3753" s="7">
        <v>85454225</v>
      </c>
      <c r="C3753" s="11">
        <v>46051.615057870396</v>
      </c>
      <c r="D3753" s="17" t="s">
        <v>3541</v>
      </c>
      <c r="E3753" t="str">
        <f>IF(COUNTIF($B$2:B3753,B3753)&gt;1,"Duplicado","Único")</f>
        <v>Único</v>
      </c>
    </row>
    <row r="3754" spans="1:5" hidden="1" x14ac:dyDescent="0.25">
      <c r="A3754" s="15">
        <v>52757</v>
      </c>
      <c r="B3754" s="7">
        <v>85454225</v>
      </c>
      <c r="C3754" s="11">
        <v>46009.381516203699</v>
      </c>
      <c r="D3754" s="17" t="s">
        <v>2966</v>
      </c>
      <c r="E3754" t="str">
        <f>IF(COUNTIF($B$2:B3754,B3754)&gt;1,"Duplicado","Único")</f>
        <v>Duplicado</v>
      </c>
    </row>
    <row r="3755" spans="1:5" x14ac:dyDescent="0.25">
      <c r="A3755" s="15">
        <v>1964</v>
      </c>
      <c r="B3755" s="7">
        <v>85456999</v>
      </c>
      <c r="C3755" s="11">
        <v>46086.700243055602</v>
      </c>
      <c r="D3755" s="17" t="s">
        <v>3890</v>
      </c>
      <c r="E3755" t="str">
        <f>IF(COUNTIF($B$2:B3755,B3755)&gt;1,"Duplicado","Único")</f>
        <v>Único</v>
      </c>
    </row>
    <row r="3756" spans="1:5" hidden="1" x14ac:dyDescent="0.25">
      <c r="A3756" s="15">
        <v>1964</v>
      </c>
      <c r="B3756" s="7">
        <v>85456999</v>
      </c>
      <c r="C3756" s="11">
        <v>46048.686967592599</v>
      </c>
      <c r="D3756" s="17" t="s">
        <v>3213</v>
      </c>
      <c r="E3756" t="str">
        <f>IF(COUNTIF($B$2:B3756,B3756)&gt;1,"Duplicado","Único")</f>
        <v>Duplicado</v>
      </c>
    </row>
    <row r="3757" spans="1:5" x14ac:dyDescent="0.25">
      <c r="A3757" s="15">
        <v>45805</v>
      </c>
      <c r="B3757" s="7">
        <v>85458697</v>
      </c>
      <c r="C3757" s="11">
        <v>45960.642847222203</v>
      </c>
      <c r="D3757" s="17" t="s">
        <v>2260</v>
      </c>
      <c r="E3757" t="str">
        <f>IF(COUNTIF($B$2:B3757,B3757)&gt;1,"Duplicado","Único")</f>
        <v>Único</v>
      </c>
    </row>
    <row r="3758" spans="1:5" x14ac:dyDescent="0.25">
      <c r="A3758" s="15">
        <v>14969</v>
      </c>
      <c r="B3758" s="7">
        <v>85472624</v>
      </c>
      <c r="C3758" s="11">
        <v>46120.618645833303</v>
      </c>
      <c r="D3758" s="17" t="s">
        <v>4304</v>
      </c>
      <c r="E3758" t="str">
        <f>IF(COUNTIF($B$2:B3758,B3758)&gt;1,"Duplicado","Único")</f>
        <v>Único</v>
      </c>
    </row>
    <row r="3759" spans="1:5" hidden="1" x14ac:dyDescent="0.25">
      <c r="A3759" s="15">
        <v>14969</v>
      </c>
      <c r="B3759" s="7">
        <v>85472624</v>
      </c>
      <c r="C3759" s="11">
        <v>46094.492037037002</v>
      </c>
      <c r="D3759" s="17" t="s">
        <v>4052</v>
      </c>
      <c r="E3759" t="str">
        <f>IF(COUNTIF($B$2:B3759,B3759)&gt;1,"Duplicado","Único")</f>
        <v>Duplicado</v>
      </c>
    </row>
    <row r="3760" spans="1:5" x14ac:dyDescent="0.25">
      <c r="A3760" s="15">
        <v>47614</v>
      </c>
      <c r="B3760" s="7">
        <v>85475330</v>
      </c>
      <c r="C3760" s="11">
        <v>45972.450891203698</v>
      </c>
      <c r="D3760" s="17" t="s">
        <v>2435</v>
      </c>
      <c r="E3760" t="str">
        <f>IF(COUNTIF($B$2:B3760,B3760)&gt;1,"Duplicado","Único")</f>
        <v>Único</v>
      </c>
    </row>
    <row r="3761" spans="1:5" x14ac:dyDescent="0.25">
      <c r="A3761" s="15">
        <v>54999</v>
      </c>
      <c r="B3761" s="7">
        <v>85477109</v>
      </c>
      <c r="C3761" s="11">
        <v>46086.456307870401</v>
      </c>
      <c r="D3761" s="17" t="s">
        <v>3792</v>
      </c>
      <c r="E3761" t="str">
        <f>IF(COUNTIF($B$2:B3761,B3761)&gt;1,"Duplicado","Único")</f>
        <v>Único</v>
      </c>
    </row>
    <row r="3762" spans="1:5" hidden="1" x14ac:dyDescent="0.25">
      <c r="A3762" s="15">
        <v>54999</v>
      </c>
      <c r="B3762" s="7">
        <v>85477109</v>
      </c>
      <c r="C3762" s="11">
        <v>46020.614780092597</v>
      </c>
      <c r="D3762" s="17" t="s">
        <v>3102</v>
      </c>
      <c r="E3762" t="str">
        <f>IF(COUNTIF($B$2:B3762,B3762)&gt;1,"Duplicado","Único")</f>
        <v>Duplicado</v>
      </c>
    </row>
    <row r="3763" spans="1:5" x14ac:dyDescent="0.25">
      <c r="A3763" s="15">
        <v>3815</v>
      </c>
      <c r="B3763" s="7">
        <v>8565893</v>
      </c>
      <c r="C3763" s="11">
        <v>46059.504861111098</v>
      </c>
      <c r="D3763" s="17" t="s">
        <v>3744</v>
      </c>
      <c r="E3763" t="str">
        <f>IF(COUNTIF($B$2:B3763,B3763)&gt;1,"Duplicado","Único")</f>
        <v>Único</v>
      </c>
    </row>
    <row r="3764" spans="1:5" hidden="1" x14ac:dyDescent="0.25">
      <c r="A3764" s="15">
        <v>3815</v>
      </c>
      <c r="B3764" s="7">
        <v>8565893</v>
      </c>
      <c r="C3764" s="11">
        <v>46055.640243055597</v>
      </c>
      <c r="D3764" s="17" t="s">
        <v>3616</v>
      </c>
      <c r="E3764" t="str">
        <f>IF(COUNTIF($B$2:B3764,B3764)&gt;1,"Duplicado","Único")</f>
        <v>Duplicado</v>
      </c>
    </row>
    <row r="3765" spans="1:5" x14ac:dyDescent="0.25">
      <c r="A3765" s="15">
        <v>48879</v>
      </c>
      <c r="B3765" s="7">
        <v>86015059</v>
      </c>
      <c r="C3765" s="11">
        <v>45980.368680555599</v>
      </c>
      <c r="D3765" s="17" t="s">
        <v>2583</v>
      </c>
      <c r="E3765" t="str">
        <f>IF(COUNTIF($B$2:B3765,B3765)&gt;1,"Duplicado","Único")</f>
        <v>Único</v>
      </c>
    </row>
    <row r="3766" spans="1:5" x14ac:dyDescent="0.25">
      <c r="A3766" s="15">
        <v>1888</v>
      </c>
      <c r="B3766" s="7">
        <v>86045528</v>
      </c>
      <c r="C3766" s="11">
        <v>46086.707372685203</v>
      </c>
      <c r="D3766" s="17" t="s">
        <v>3891</v>
      </c>
      <c r="E3766" t="str">
        <f>IF(COUNTIF($B$2:B3766,B3766)&gt;1,"Duplicado","Único")</f>
        <v>Único</v>
      </c>
    </row>
    <row r="3767" spans="1:5" hidden="1" x14ac:dyDescent="0.25">
      <c r="A3767" s="15">
        <v>1888</v>
      </c>
      <c r="B3767" s="7">
        <v>86045528</v>
      </c>
      <c r="C3767" s="11">
        <v>46048.502962963001</v>
      </c>
      <c r="D3767" s="17" t="s">
        <v>3199</v>
      </c>
      <c r="E3767" t="str">
        <f>IF(COUNTIF($B$2:B3767,B3767)&gt;1,"Duplicado","Único")</f>
        <v>Duplicado</v>
      </c>
    </row>
    <row r="3768" spans="1:5" x14ac:dyDescent="0.25">
      <c r="A3768" s="15">
        <v>50464</v>
      </c>
      <c r="B3768" s="7">
        <v>86058790</v>
      </c>
      <c r="C3768" s="11">
        <v>46050.615046296298</v>
      </c>
      <c r="D3768" s="17" t="s">
        <v>3324</v>
      </c>
      <c r="E3768" t="str">
        <f>IF(COUNTIF($B$2:B3768,B3768)&gt;1,"Duplicado","Único")</f>
        <v>Único</v>
      </c>
    </row>
    <row r="3769" spans="1:5" hidden="1" x14ac:dyDescent="0.25">
      <c r="A3769" s="15">
        <v>50464</v>
      </c>
      <c r="B3769" s="7">
        <v>86058790</v>
      </c>
      <c r="C3769" s="11">
        <v>45988.398564814801</v>
      </c>
      <c r="D3769" s="17" t="s">
        <v>2763</v>
      </c>
      <c r="E3769" t="str">
        <f>IF(COUNTIF($B$2:B3769,B3769)&gt;1,"Duplicado","Único")</f>
        <v>Duplicado</v>
      </c>
    </row>
    <row r="3770" spans="1:5" x14ac:dyDescent="0.25">
      <c r="A3770" s="15">
        <v>3998</v>
      </c>
      <c r="B3770" s="7">
        <v>86064121</v>
      </c>
      <c r="C3770" s="11">
        <v>46086.776597222197</v>
      </c>
      <c r="D3770" s="17" t="s">
        <v>3964</v>
      </c>
      <c r="E3770" t="str">
        <f>IF(COUNTIF($B$2:B3770,B3770)&gt;1,"Duplicado","Único")</f>
        <v>Único</v>
      </c>
    </row>
    <row r="3771" spans="1:5" hidden="1" x14ac:dyDescent="0.25">
      <c r="A3771" s="15">
        <v>3998</v>
      </c>
      <c r="B3771" s="7">
        <v>86064121</v>
      </c>
      <c r="C3771" s="11">
        <v>46055.478761574101</v>
      </c>
      <c r="D3771" s="17" t="s">
        <v>3609</v>
      </c>
      <c r="E3771" t="str">
        <f>IF(COUNTIF($B$2:B3771,B3771)&gt;1,"Duplicado","Único")</f>
        <v>Duplicado</v>
      </c>
    </row>
    <row r="3772" spans="1:5" x14ac:dyDescent="0.25">
      <c r="A3772" s="15">
        <v>49898</v>
      </c>
      <c r="B3772" s="7">
        <v>86074279</v>
      </c>
      <c r="C3772" s="11">
        <v>46050.480219907397</v>
      </c>
      <c r="D3772" s="17" t="s">
        <v>3264</v>
      </c>
      <c r="E3772" t="str">
        <f>IF(COUNTIF($B$2:B3772,B3772)&gt;1,"Duplicado","Único")</f>
        <v>Único</v>
      </c>
    </row>
    <row r="3773" spans="1:5" hidden="1" x14ac:dyDescent="0.25">
      <c r="A3773" s="15">
        <v>49898</v>
      </c>
      <c r="B3773" s="7">
        <v>86074279</v>
      </c>
      <c r="C3773" s="11">
        <v>45986.3652083333</v>
      </c>
      <c r="D3773" s="17" t="s">
        <v>2705</v>
      </c>
      <c r="E3773" t="str">
        <f>IF(COUNTIF($B$2:B3773,B3773)&gt;1,"Duplicado","Único")</f>
        <v>Duplicado</v>
      </c>
    </row>
    <row r="3774" spans="1:5" x14ac:dyDescent="0.25">
      <c r="A3774" s="15">
        <v>42471</v>
      </c>
      <c r="B3774" s="7">
        <v>86081850</v>
      </c>
      <c r="C3774" s="11">
        <v>45951.6149421296</v>
      </c>
      <c r="D3774" s="17" t="s">
        <v>2029</v>
      </c>
      <c r="E3774" t="str">
        <f>IF(COUNTIF($B$2:B3774,B3774)&gt;1,"Duplicado","Único")</f>
        <v>Único</v>
      </c>
    </row>
    <row r="3775" spans="1:5" x14ac:dyDescent="0.25">
      <c r="A3775" s="15">
        <v>1995</v>
      </c>
      <c r="B3775" s="7">
        <v>86082545</v>
      </c>
      <c r="C3775" s="11">
        <v>46086.708055555602</v>
      </c>
      <c r="D3775" s="17" t="s">
        <v>3892</v>
      </c>
      <c r="E3775" t="str">
        <f>IF(COUNTIF($B$2:B3775,B3775)&gt;1,"Duplicado","Único")</f>
        <v>Único</v>
      </c>
    </row>
    <row r="3776" spans="1:5" hidden="1" x14ac:dyDescent="0.25">
      <c r="A3776" s="15">
        <v>1995</v>
      </c>
      <c r="B3776" s="7">
        <v>86082545</v>
      </c>
      <c r="C3776" s="11">
        <v>46048.633541666699</v>
      </c>
      <c r="D3776" s="17" t="s">
        <v>3206</v>
      </c>
      <c r="E3776" t="str">
        <f>IF(COUNTIF($B$2:B3776,B3776)&gt;1,"Duplicado","Único")</f>
        <v>Duplicado</v>
      </c>
    </row>
    <row r="3777" spans="1:5" x14ac:dyDescent="0.25">
      <c r="A3777" s="15">
        <v>45704</v>
      </c>
      <c r="B3777" s="7">
        <v>86083798</v>
      </c>
      <c r="C3777" s="11">
        <v>45960.625127314801</v>
      </c>
      <c r="D3777" s="17" t="s">
        <v>2251</v>
      </c>
      <c r="E3777" t="str">
        <f>IF(COUNTIF($B$2:B3777,B3777)&gt;1,"Duplicado","Único")</f>
        <v>Único</v>
      </c>
    </row>
    <row r="3778" spans="1:5" x14ac:dyDescent="0.25">
      <c r="A3778" s="15">
        <v>51892</v>
      </c>
      <c r="B3778" s="7">
        <v>86086359</v>
      </c>
      <c r="C3778" s="11">
        <v>46051.427129629599</v>
      </c>
      <c r="D3778" s="17" t="s">
        <v>3453</v>
      </c>
      <c r="E3778" t="str">
        <f>IF(COUNTIF($B$2:B3778,B3778)&gt;1,"Duplicado","Único")</f>
        <v>Único</v>
      </c>
    </row>
    <row r="3779" spans="1:5" hidden="1" x14ac:dyDescent="0.25">
      <c r="A3779" s="15">
        <v>51892</v>
      </c>
      <c r="B3779" s="7">
        <v>86086359</v>
      </c>
      <c r="C3779" s="11">
        <v>46002.7050578704</v>
      </c>
      <c r="D3779" s="17" t="s">
        <v>2905</v>
      </c>
      <c r="E3779" t="str">
        <f>IF(COUNTIF($B$2:B3779,B3779)&gt;1,"Duplicado","Único")</f>
        <v>Duplicado</v>
      </c>
    </row>
    <row r="3780" spans="1:5" x14ac:dyDescent="0.25">
      <c r="A3780" s="15">
        <v>44627</v>
      </c>
      <c r="B3780" s="7">
        <v>8705961</v>
      </c>
      <c r="C3780" s="11">
        <v>45958.529965277798</v>
      </c>
      <c r="D3780" s="17" t="s">
        <v>2146</v>
      </c>
      <c r="E3780" t="str">
        <f>IF(COUNTIF($B$2:B3780,B3780)&gt;1,"Duplicado","Único")</f>
        <v>Único</v>
      </c>
    </row>
    <row r="3781" spans="1:5" x14ac:dyDescent="0.25">
      <c r="A3781" s="15">
        <v>33275</v>
      </c>
      <c r="B3781" s="7">
        <v>87062883</v>
      </c>
      <c r="C3781" s="11">
        <v>45915.376030092601</v>
      </c>
      <c r="D3781" s="17" t="s">
        <v>1693</v>
      </c>
      <c r="E3781" t="str">
        <f>IF(COUNTIF($B$2:B3781,B3781)&gt;1,"Duplicado","Único")</f>
        <v>Único</v>
      </c>
    </row>
    <row r="3782" spans="1:5" x14ac:dyDescent="0.25">
      <c r="A3782" s="15">
        <v>26187</v>
      </c>
      <c r="B3782" s="7">
        <v>87066741</v>
      </c>
      <c r="C3782" s="11">
        <v>45873.462500000001</v>
      </c>
      <c r="D3782" s="17" t="s">
        <v>1223</v>
      </c>
      <c r="E3782" t="str">
        <f>IF(COUNTIF($B$2:B3782,B3782)&gt;1,"Duplicado","Único")</f>
        <v>Único</v>
      </c>
    </row>
    <row r="3783" spans="1:5" hidden="1" x14ac:dyDescent="0.25">
      <c r="A3783" s="15">
        <v>26187</v>
      </c>
      <c r="B3783" s="7">
        <v>87066741</v>
      </c>
      <c r="C3783" s="11">
        <v>45867.351805555598</v>
      </c>
      <c r="D3783" s="17" t="s">
        <v>1175</v>
      </c>
      <c r="E3783" t="str">
        <f>IF(COUNTIF($B$2:B3783,B3783)&gt;1,"Duplicado","Único")</f>
        <v>Duplicado</v>
      </c>
    </row>
    <row r="3784" spans="1:5" x14ac:dyDescent="0.25">
      <c r="A3784" s="15">
        <v>15788</v>
      </c>
      <c r="B3784" s="7">
        <v>87068688</v>
      </c>
      <c r="C3784" s="11">
        <v>46121.442696759303</v>
      </c>
      <c r="D3784" s="17" t="s">
        <v>4379</v>
      </c>
      <c r="E3784" t="str">
        <f>IF(COUNTIF($B$2:B3784,B3784)&gt;1,"Duplicado","Único")</f>
        <v>Único</v>
      </c>
    </row>
    <row r="3785" spans="1:5" hidden="1" x14ac:dyDescent="0.25">
      <c r="A3785" s="15">
        <v>15788</v>
      </c>
      <c r="B3785" s="7">
        <v>87068688</v>
      </c>
      <c r="C3785" s="11">
        <v>46101.683842592603</v>
      </c>
      <c r="D3785" s="17" t="s">
        <v>4116</v>
      </c>
      <c r="E3785" t="str">
        <f>IF(COUNTIF($B$2:B3785,B3785)&gt;1,"Duplicado","Único")</f>
        <v>Duplicado</v>
      </c>
    </row>
    <row r="3786" spans="1:5" x14ac:dyDescent="0.25">
      <c r="A3786" s="15">
        <v>26549</v>
      </c>
      <c r="B3786" s="7">
        <v>8708227</v>
      </c>
      <c r="C3786" s="11">
        <v>45867.606192129599</v>
      </c>
      <c r="D3786" s="17" t="s">
        <v>1211</v>
      </c>
      <c r="E3786" t="str">
        <f>IF(COUNTIF($B$2:B3786,B3786)&gt;1,"Duplicado","Único")</f>
        <v>Único</v>
      </c>
    </row>
    <row r="3787" spans="1:5" x14ac:dyDescent="0.25">
      <c r="A3787" s="15">
        <v>50561</v>
      </c>
      <c r="B3787" s="7">
        <v>8710097</v>
      </c>
      <c r="C3787" s="11">
        <v>46050.626539351899</v>
      </c>
      <c r="D3787" s="17" t="s">
        <v>3339</v>
      </c>
      <c r="E3787" t="str">
        <f>IF(COUNTIF($B$2:B3787,B3787)&gt;1,"Duplicado","Único")</f>
        <v>Único</v>
      </c>
    </row>
    <row r="3788" spans="1:5" hidden="1" x14ac:dyDescent="0.25">
      <c r="A3788" s="15">
        <v>50561</v>
      </c>
      <c r="B3788" s="7">
        <v>8710097</v>
      </c>
      <c r="C3788" s="11">
        <v>45989.399629629603</v>
      </c>
      <c r="D3788" s="17" t="s">
        <v>2778</v>
      </c>
      <c r="E3788" t="str">
        <f>IF(COUNTIF($B$2:B3788,B3788)&gt;1,"Duplicado","Único")</f>
        <v>Duplicado</v>
      </c>
    </row>
    <row r="3789" spans="1:5" x14ac:dyDescent="0.25">
      <c r="A3789" s="15">
        <v>32011</v>
      </c>
      <c r="B3789" s="7">
        <v>8716413</v>
      </c>
      <c r="C3789" s="11">
        <v>45908.358287037001</v>
      </c>
      <c r="D3789" s="17" t="s">
        <v>1582</v>
      </c>
      <c r="E3789" t="str">
        <f>IF(COUNTIF($B$2:B3789,B3789)&gt;1,"Duplicado","Único")</f>
        <v>Único</v>
      </c>
    </row>
    <row r="3790" spans="1:5" x14ac:dyDescent="0.25">
      <c r="A3790" s="15">
        <v>32312</v>
      </c>
      <c r="B3790" s="7">
        <v>87218593</v>
      </c>
      <c r="C3790" s="11">
        <v>45908.503530092603</v>
      </c>
      <c r="D3790" s="17" t="s">
        <v>1608</v>
      </c>
      <c r="E3790" t="str">
        <f>IF(COUNTIF($B$2:B3790,B3790)&gt;1,"Duplicado","Único")</f>
        <v>Único</v>
      </c>
    </row>
    <row r="3791" spans="1:5" x14ac:dyDescent="0.25">
      <c r="A3791" s="15">
        <v>3634</v>
      </c>
      <c r="B3791" s="7">
        <v>8726296</v>
      </c>
      <c r="C3791" s="11">
        <v>46086.759733796302</v>
      </c>
      <c r="D3791" s="17" t="s">
        <v>995</v>
      </c>
      <c r="E3791" t="str">
        <f>IF(COUNTIF($B$2:B3791,B3791)&gt;1,"Duplicado","Único")</f>
        <v>Único</v>
      </c>
    </row>
    <row r="3792" spans="1:5" hidden="1" x14ac:dyDescent="0.25">
      <c r="A3792" s="15">
        <v>3634</v>
      </c>
      <c r="B3792" s="7">
        <v>8726296</v>
      </c>
      <c r="C3792" s="11">
        <v>46052.644803240699</v>
      </c>
      <c r="D3792" s="17" t="s">
        <v>3573</v>
      </c>
      <c r="E3792" t="str">
        <f>IF(COUNTIF($B$2:B3792,B3792)&gt;1,"Duplicado","Único")</f>
        <v>Duplicado</v>
      </c>
    </row>
    <row r="3793" spans="1:5" x14ac:dyDescent="0.25">
      <c r="A3793" s="15">
        <v>44656</v>
      </c>
      <c r="B3793" s="7">
        <v>8743470</v>
      </c>
      <c r="C3793" s="11">
        <v>45958.6038541667</v>
      </c>
      <c r="D3793" s="17" t="s">
        <v>2155</v>
      </c>
      <c r="E3793" t="str">
        <f>IF(COUNTIF($B$2:B3793,B3793)&gt;1,"Duplicado","Único")</f>
        <v>Único</v>
      </c>
    </row>
    <row r="3794" spans="1:5" x14ac:dyDescent="0.25">
      <c r="A3794" s="15">
        <v>30461</v>
      </c>
      <c r="B3794" s="7">
        <v>87710819</v>
      </c>
      <c r="C3794" s="11">
        <v>45895.712407407402</v>
      </c>
      <c r="D3794" s="17" t="s">
        <v>1436</v>
      </c>
      <c r="E3794" t="str">
        <f>IF(COUNTIF($B$2:B3794,B3794)&gt;1,"Duplicado","Único")</f>
        <v>Único</v>
      </c>
    </row>
    <row r="3795" spans="1:5" x14ac:dyDescent="0.25">
      <c r="A3795" s="15">
        <v>14254</v>
      </c>
      <c r="B3795" s="7">
        <v>87714039</v>
      </c>
      <c r="C3795" s="11">
        <v>46120.4679861111</v>
      </c>
      <c r="D3795" s="17" t="s">
        <v>4260</v>
      </c>
      <c r="E3795" t="str">
        <f>IF(COUNTIF($B$2:B3795,B3795)&gt;1,"Duplicado","Único")</f>
        <v>Único</v>
      </c>
    </row>
    <row r="3796" spans="1:5" hidden="1" x14ac:dyDescent="0.25">
      <c r="A3796" s="15">
        <v>14254</v>
      </c>
      <c r="B3796" s="7">
        <v>87714039</v>
      </c>
      <c r="C3796" s="11">
        <v>46090.628356481502</v>
      </c>
      <c r="D3796" s="17" t="s">
        <v>4012</v>
      </c>
      <c r="E3796" t="str">
        <f>IF(COUNTIF($B$2:B3796,B3796)&gt;1,"Duplicado","Único")</f>
        <v>Duplicado</v>
      </c>
    </row>
    <row r="3797" spans="1:5" x14ac:dyDescent="0.25">
      <c r="A3797" s="15">
        <v>14800</v>
      </c>
      <c r="B3797" s="7">
        <v>8787731</v>
      </c>
      <c r="C3797" s="11">
        <v>46120.502060185201</v>
      </c>
      <c r="D3797" s="17" t="s">
        <v>4281</v>
      </c>
      <c r="E3797" t="str">
        <f>IF(COUNTIF($B$2:B3797,B3797)&gt;1,"Duplicado","Único")</f>
        <v>Único</v>
      </c>
    </row>
    <row r="3798" spans="1:5" hidden="1" x14ac:dyDescent="0.25">
      <c r="A3798" s="15">
        <v>14800</v>
      </c>
      <c r="B3798" s="7">
        <v>8787731</v>
      </c>
      <c r="C3798" s="11">
        <v>46094.419537037</v>
      </c>
      <c r="D3798" s="17" t="s">
        <v>4025</v>
      </c>
      <c r="E3798" t="str">
        <f>IF(COUNTIF($B$2:B3798,B3798)&gt;1,"Duplicado","Único")</f>
        <v>Duplicado</v>
      </c>
    </row>
    <row r="3799" spans="1:5" x14ac:dyDescent="0.25">
      <c r="A3799" s="15">
        <v>28704</v>
      </c>
      <c r="B3799" s="7">
        <v>87941129</v>
      </c>
      <c r="C3799" s="11">
        <v>45888.636261574102</v>
      </c>
      <c r="D3799" s="17" t="s">
        <v>1356</v>
      </c>
      <c r="E3799" t="str">
        <f>IF(COUNTIF($B$2:B3799,B3799)&gt;1,"Duplicado","Único")</f>
        <v>Único</v>
      </c>
    </row>
    <row r="3800" spans="1:5" x14ac:dyDescent="0.25">
      <c r="A3800" s="15">
        <v>31732</v>
      </c>
      <c r="B3800" s="7">
        <v>88131022</v>
      </c>
      <c r="C3800" s="11">
        <v>45904.719143518501</v>
      </c>
      <c r="D3800" s="17" t="s">
        <v>1546</v>
      </c>
      <c r="E3800" t="str">
        <f>IF(COUNTIF($B$2:B3800,B3800)&gt;1,"Duplicado","Único")</f>
        <v>Único</v>
      </c>
    </row>
    <row r="3801" spans="1:5" x14ac:dyDescent="0.25">
      <c r="A3801" s="15">
        <v>39191</v>
      </c>
      <c r="B3801" s="7">
        <v>88141288</v>
      </c>
      <c r="C3801" s="11">
        <v>45930.3605902778</v>
      </c>
      <c r="D3801" s="17" t="s">
        <v>1870</v>
      </c>
      <c r="E3801" t="str">
        <f>IF(COUNTIF($B$2:B3801,B3801)&gt;1,"Duplicado","Único")</f>
        <v>Único</v>
      </c>
    </row>
    <row r="3802" spans="1:5" x14ac:dyDescent="0.25">
      <c r="A3802" s="15">
        <v>40371</v>
      </c>
      <c r="B3802" s="7">
        <v>88161437</v>
      </c>
      <c r="C3802" s="11">
        <v>45933.654895833301</v>
      </c>
      <c r="D3802" s="17" t="s">
        <v>1920</v>
      </c>
      <c r="E3802" t="str">
        <f>IF(COUNTIF($B$2:B3802,B3802)&gt;1,"Duplicado","Único")</f>
        <v>Único</v>
      </c>
    </row>
    <row r="3803" spans="1:5" x14ac:dyDescent="0.25">
      <c r="A3803" s="15">
        <v>2494</v>
      </c>
      <c r="B3803" s="7">
        <v>88217328</v>
      </c>
      <c r="C3803" s="11">
        <v>46086.717384259297</v>
      </c>
      <c r="D3803" s="17" t="s">
        <v>3901</v>
      </c>
      <c r="E3803" t="str">
        <f>IF(COUNTIF($B$2:B3803,B3803)&gt;1,"Duplicado","Único")</f>
        <v>Único</v>
      </c>
    </row>
    <row r="3804" spans="1:5" hidden="1" x14ac:dyDescent="0.25">
      <c r="A3804" s="15">
        <v>2494</v>
      </c>
      <c r="B3804" s="7">
        <v>88217328</v>
      </c>
      <c r="C3804" s="11">
        <v>46049.758032407401</v>
      </c>
      <c r="D3804" s="17" t="s">
        <v>3226</v>
      </c>
      <c r="E3804" t="str">
        <f>IF(COUNTIF($B$2:B3804,B3804)&gt;1,"Duplicado","Único")</f>
        <v>Duplicado</v>
      </c>
    </row>
    <row r="3805" spans="1:5" x14ac:dyDescent="0.25">
      <c r="A3805" s="15">
        <v>45939</v>
      </c>
      <c r="B3805" s="7">
        <v>88260128</v>
      </c>
      <c r="C3805" s="11">
        <v>45961.456192129597</v>
      </c>
      <c r="D3805" s="17" t="s">
        <v>2273</v>
      </c>
      <c r="E3805" t="str">
        <f>IF(COUNTIF($B$2:B3805,B3805)&gt;1,"Duplicado","Único")</f>
        <v>Único</v>
      </c>
    </row>
    <row r="3806" spans="1:5" x14ac:dyDescent="0.25">
      <c r="A3806" s="15">
        <v>4090</v>
      </c>
      <c r="B3806" s="7">
        <v>88266613</v>
      </c>
      <c r="C3806" s="11">
        <v>46056.431412037004</v>
      </c>
      <c r="D3806" s="17" t="s">
        <v>3619</v>
      </c>
      <c r="E3806" t="str">
        <f>IF(COUNTIF($B$2:B3806,B3806)&gt;1,"Duplicado","Único")</f>
        <v>Único</v>
      </c>
    </row>
    <row r="3807" spans="1:5" x14ac:dyDescent="0.25">
      <c r="A3807" s="15">
        <v>1569</v>
      </c>
      <c r="B3807" s="7">
        <v>88275878</v>
      </c>
      <c r="C3807" s="11">
        <v>46086.659189814804</v>
      </c>
      <c r="D3807" s="17" t="s">
        <v>3856</v>
      </c>
      <c r="E3807" t="str">
        <f>IF(COUNTIF($B$2:B3807,B3807)&gt;1,"Duplicado","Único")</f>
        <v>Único</v>
      </c>
    </row>
    <row r="3808" spans="1:5" hidden="1" x14ac:dyDescent="0.25">
      <c r="A3808" s="15">
        <v>1569</v>
      </c>
      <c r="B3808" s="7">
        <v>88275878</v>
      </c>
      <c r="C3808" s="11">
        <v>46036.659988425898</v>
      </c>
      <c r="D3808" s="17" t="s">
        <v>3181</v>
      </c>
      <c r="E3808" t="str">
        <f>IF(COUNTIF($B$2:B3808,B3808)&gt;1,"Duplicado","Único")</f>
        <v>Duplicado</v>
      </c>
    </row>
    <row r="3809" spans="1:5" x14ac:dyDescent="0.25">
      <c r="A3809" s="15">
        <v>22653</v>
      </c>
      <c r="B3809" s="7">
        <v>88312904</v>
      </c>
      <c r="C3809" s="11">
        <v>45841.709016203698</v>
      </c>
      <c r="D3809" s="17" t="s">
        <v>1020</v>
      </c>
      <c r="E3809" t="str">
        <f>IF(COUNTIF($B$2:B3809,B3809)&gt;1,"Duplicado","Único")</f>
        <v>Único</v>
      </c>
    </row>
    <row r="3810" spans="1:5" x14ac:dyDescent="0.25">
      <c r="A3810" s="15">
        <v>51897</v>
      </c>
      <c r="B3810" s="7">
        <v>8851699</v>
      </c>
      <c r="C3810" s="11">
        <v>46051.338668981502</v>
      </c>
      <c r="D3810" s="17" t="s">
        <v>3429</v>
      </c>
      <c r="E3810" t="str">
        <f>IF(COUNTIF($B$2:B3810,B3810)&gt;1,"Duplicado","Único")</f>
        <v>Único</v>
      </c>
    </row>
    <row r="3811" spans="1:5" hidden="1" x14ac:dyDescent="0.25">
      <c r="A3811" s="15">
        <v>51897</v>
      </c>
      <c r="B3811" s="7">
        <v>8851699</v>
      </c>
      <c r="C3811" s="11">
        <v>46002.71875</v>
      </c>
      <c r="D3811" s="17" t="s">
        <v>2911</v>
      </c>
      <c r="E3811" t="str">
        <f>IF(COUNTIF($B$2:B3811,B3811)&gt;1,"Duplicado","Único")</f>
        <v>Duplicado</v>
      </c>
    </row>
    <row r="3812" spans="1:5" x14ac:dyDescent="0.25">
      <c r="A3812" s="15">
        <v>40942</v>
      </c>
      <c r="B3812" s="7">
        <v>9087332</v>
      </c>
      <c r="C3812" s="11">
        <v>45936.4700578704</v>
      </c>
      <c r="D3812" s="17" t="s">
        <v>1942</v>
      </c>
      <c r="E3812" t="str">
        <f>IF(COUNTIF($B$2:B3812,B3812)&gt;1,"Duplicado","Único")</f>
        <v>Único</v>
      </c>
    </row>
    <row r="3813" spans="1:5" x14ac:dyDescent="0.25">
      <c r="A3813" s="15">
        <v>48454</v>
      </c>
      <c r="B3813" s="7">
        <v>9096816</v>
      </c>
      <c r="C3813" s="11">
        <v>46051.471921296303</v>
      </c>
      <c r="D3813" s="17" t="s">
        <v>3494</v>
      </c>
      <c r="E3813" t="str">
        <f>IF(COUNTIF($B$2:B3813,B3813)&gt;1,"Duplicado","Único")</f>
        <v>Único</v>
      </c>
    </row>
    <row r="3814" spans="1:5" hidden="1" x14ac:dyDescent="0.25">
      <c r="A3814" s="15">
        <v>48454</v>
      </c>
      <c r="B3814" s="7">
        <v>9096816</v>
      </c>
      <c r="C3814" s="11">
        <v>46003.540694444397</v>
      </c>
      <c r="D3814" s="17" t="s">
        <v>2915</v>
      </c>
      <c r="E3814" t="str">
        <f>IF(COUNTIF($B$2:B3814,B3814)&gt;1,"Duplicado","Único")</f>
        <v>Duplicado</v>
      </c>
    </row>
    <row r="3815" spans="1:5" hidden="1" x14ac:dyDescent="0.25">
      <c r="A3815" s="15">
        <v>48454</v>
      </c>
      <c r="B3815" s="7">
        <v>9096816</v>
      </c>
      <c r="C3815" s="11">
        <v>45979.458275463003</v>
      </c>
      <c r="D3815" s="17" t="s">
        <v>2550</v>
      </c>
      <c r="E3815" t="str">
        <f>IF(COUNTIF($B$2:B3815,B3815)&gt;1,"Duplicado","Único")</f>
        <v>Duplicado</v>
      </c>
    </row>
    <row r="3816" spans="1:5" x14ac:dyDescent="0.25">
      <c r="A3816" s="15">
        <v>40122</v>
      </c>
      <c r="B3816" s="7">
        <v>91073437</v>
      </c>
      <c r="C3816" s="11">
        <v>45932.503738425898</v>
      </c>
      <c r="D3816" s="17" t="s">
        <v>1917</v>
      </c>
      <c r="E3816" t="str">
        <f>IF(COUNTIF($B$2:B3816,B3816)&gt;1,"Duplicado","Único")</f>
        <v>Único</v>
      </c>
    </row>
    <row r="3817" spans="1:5" x14ac:dyDescent="0.25">
      <c r="A3817" s="15">
        <v>37049</v>
      </c>
      <c r="B3817" s="7">
        <v>91110644</v>
      </c>
      <c r="C3817" s="11">
        <v>45922.431111111102</v>
      </c>
      <c r="D3817" s="17" t="s">
        <v>1779</v>
      </c>
      <c r="E3817" t="str">
        <f>IF(COUNTIF($B$2:B3817,B3817)&gt;1,"Duplicado","Único")</f>
        <v>Único</v>
      </c>
    </row>
    <row r="3818" spans="1:5" x14ac:dyDescent="0.25">
      <c r="A3818" s="15">
        <v>48850</v>
      </c>
      <c r="B3818" s="7">
        <v>91159697</v>
      </c>
      <c r="C3818" s="11">
        <v>45980.306550925903</v>
      </c>
      <c r="D3818" s="17" t="s">
        <v>2574</v>
      </c>
      <c r="E3818" t="str">
        <f>IF(COUNTIF($B$2:B3818,B3818)&gt;1,"Duplicado","Único")</f>
        <v>Único</v>
      </c>
    </row>
    <row r="3819" spans="1:5" x14ac:dyDescent="0.25">
      <c r="A3819" s="15">
        <v>52349</v>
      </c>
      <c r="B3819" s="7">
        <v>91185342</v>
      </c>
      <c r="C3819" s="11">
        <v>46057.344189814801</v>
      </c>
      <c r="D3819" s="17" t="s">
        <v>3624</v>
      </c>
      <c r="E3819" t="str">
        <f>IF(COUNTIF($B$2:B3819,B3819)&gt;1,"Duplicado","Único")</f>
        <v>Único</v>
      </c>
    </row>
    <row r="3820" spans="1:5" hidden="1" x14ac:dyDescent="0.25">
      <c r="A3820" s="15">
        <v>52349</v>
      </c>
      <c r="B3820" s="7">
        <v>91185342</v>
      </c>
      <c r="C3820" s="11">
        <v>46009.4231365741</v>
      </c>
      <c r="D3820" s="17" t="s">
        <v>2980</v>
      </c>
      <c r="E3820" t="str">
        <f>IF(COUNTIF($B$2:B3820,B3820)&gt;1,"Duplicado","Único")</f>
        <v>Duplicado</v>
      </c>
    </row>
    <row r="3821" spans="1:5" x14ac:dyDescent="0.25">
      <c r="A3821" s="15">
        <v>46740</v>
      </c>
      <c r="B3821" s="7">
        <v>91214328</v>
      </c>
      <c r="C3821" s="11">
        <v>45967.699444444399</v>
      </c>
      <c r="D3821" s="17" t="s">
        <v>2359</v>
      </c>
      <c r="E3821" t="str">
        <f>IF(COUNTIF($B$2:B3821,B3821)&gt;1,"Duplicado","Único")</f>
        <v>Único</v>
      </c>
    </row>
    <row r="3822" spans="1:5" x14ac:dyDescent="0.25">
      <c r="A3822" s="15">
        <v>30110</v>
      </c>
      <c r="B3822" s="7">
        <v>91240218</v>
      </c>
      <c r="C3822" s="11">
        <v>45898.424097222203</v>
      </c>
      <c r="D3822" s="17" t="s">
        <v>1446</v>
      </c>
      <c r="E3822" t="str">
        <f>IF(COUNTIF($B$2:B3822,B3822)&gt;1,"Duplicado","Único")</f>
        <v>Único</v>
      </c>
    </row>
    <row r="3823" spans="1:5" x14ac:dyDescent="0.25">
      <c r="A3823" s="15">
        <v>28604</v>
      </c>
      <c r="B3823" s="7">
        <v>91250601</v>
      </c>
      <c r="C3823" s="11">
        <v>45888.596898148098</v>
      </c>
      <c r="D3823" s="17" t="s">
        <v>1347</v>
      </c>
      <c r="E3823" t="str">
        <f>IF(COUNTIF($B$2:B3823,B3823)&gt;1,"Duplicado","Único")</f>
        <v>Único</v>
      </c>
    </row>
    <row r="3824" spans="1:5" x14ac:dyDescent="0.25">
      <c r="A3824" s="15">
        <v>13544</v>
      </c>
      <c r="B3824" s="7">
        <v>91255345</v>
      </c>
      <c r="C3824" s="11">
        <v>46149.660405092603</v>
      </c>
      <c r="D3824" s="17" t="s">
        <v>4552</v>
      </c>
      <c r="E3824" t="str">
        <f>IF(COUNTIF($B$2:B3824,B3824)&gt;1,"Duplicado","Único")</f>
        <v>Único</v>
      </c>
    </row>
    <row r="3825" spans="1:5" hidden="1" x14ac:dyDescent="0.25">
      <c r="A3825" s="15">
        <v>13544</v>
      </c>
      <c r="B3825" s="7">
        <v>91255345</v>
      </c>
      <c r="C3825" s="11">
        <v>46084.482060185197</v>
      </c>
      <c r="D3825" s="17" t="s">
        <v>3777</v>
      </c>
      <c r="E3825" t="str">
        <f>IF(COUNTIF($B$2:B3825,B3825)&gt;1,"Duplicado","Único")</f>
        <v>Duplicado</v>
      </c>
    </row>
    <row r="3826" spans="1:5" x14ac:dyDescent="0.25">
      <c r="A3826" s="15">
        <v>38201</v>
      </c>
      <c r="B3826" s="7">
        <v>91267695</v>
      </c>
      <c r="C3826" s="11">
        <v>45925.464606481502</v>
      </c>
      <c r="D3826" s="17" t="s">
        <v>1827</v>
      </c>
      <c r="E3826" t="str">
        <f>IF(COUNTIF($B$2:B3826,B3826)&gt;1,"Duplicado","Único")</f>
        <v>Único</v>
      </c>
    </row>
    <row r="3827" spans="1:5" x14ac:dyDescent="0.25">
      <c r="A3827" s="15">
        <v>40878</v>
      </c>
      <c r="B3827" s="7">
        <v>91281383</v>
      </c>
      <c r="C3827" s="11">
        <v>45954.452777777798</v>
      </c>
      <c r="D3827" s="17" t="s">
        <v>2059</v>
      </c>
      <c r="E3827" t="str">
        <f>IF(COUNTIF($B$2:B3827,B3827)&gt;1,"Duplicado","Único")</f>
        <v>Único</v>
      </c>
    </row>
    <row r="3828" spans="1:5" hidden="1" x14ac:dyDescent="0.25">
      <c r="A3828" s="15">
        <v>40878</v>
      </c>
      <c r="B3828" s="7">
        <v>91281383</v>
      </c>
      <c r="C3828" s="11">
        <v>45936.462268518502</v>
      </c>
      <c r="D3828" s="17" t="s">
        <v>1940</v>
      </c>
      <c r="E3828" t="str">
        <f>IF(COUNTIF($B$2:B3828,B3828)&gt;1,"Duplicado","Único")</f>
        <v>Duplicado</v>
      </c>
    </row>
    <row r="3829" spans="1:5" x14ac:dyDescent="0.25">
      <c r="A3829" s="15">
        <v>20546</v>
      </c>
      <c r="B3829" s="7">
        <v>91285933</v>
      </c>
      <c r="C3829" s="11">
        <v>45820.510833333297</v>
      </c>
      <c r="D3829" s="17" t="s">
        <v>892</v>
      </c>
      <c r="E3829" t="str">
        <f>IF(COUNTIF($B$2:B3829,B3829)&gt;1,"Duplicado","Único")</f>
        <v>Único</v>
      </c>
    </row>
    <row r="3830" spans="1:5" x14ac:dyDescent="0.25">
      <c r="A3830" s="15">
        <v>50113</v>
      </c>
      <c r="B3830" s="7">
        <v>91348704</v>
      </c>
      <c r="C3830" s="11">
        <v>46050.594050925902</v>
      </c>
      <c r="D3830" s="17" t="s">
        <v>3291</v>
      </c>
      <c r="E3830" t="str">
        <f>IF(COUNTIF($B$2:B3830,B3830)&gt;1,"Duplicado","Único")</f>
        <v>Único</v>
      </c>
    </row>
    <row r="3831" spans="1:5" hidden="1" x14ac:dyDescent="0.25">
      <c r="A3831" s="15">
        <v>50113</v>
      </c>
      <c r="B3831" s="7">
        <v>91348704</v>
      </c>
      <c r="C3831" s="11">
        <v>45987.409479166701</v>
      </c>
      <c r="D3831" s="17" t="s">
        <v>2725</v>
      </c>
      <c r="E3831" t="str">
        <f>IF(COUNTIF($B$2:B3831,B3831)&gt;1,"Duplicado","Único")</f>
        <v>Duplicado</v>
      </c>
    </row>
    <row r="3832" spans="1:5" x14ac:dyDescent="0.25">
      <c r="A3832" s="15">
        <v>50075</v>
      </c>
      <c r="B3832" s="7">
        <v>91350085</v>
      </c>
      <c r="C3832" s="11">
        <v>46050.594664351898</v>
      </c>
      <c r="D3832" s="17" t="s">
        <v>3292</v>
      </c>
      <c r="E3832" t="str">
        <f>IF(COUNTIF($B$2:B3832,B3832)&gt;1,"Duplicado","Único")</f>
        <v>Único</v>
      </c>
    </row>
    <row r="3833" spans="1:5" hidden="1" x14ac:dyDescent="0.25">
      <c r="A3833" s="15">
        <v>50075</v>
      </c>
      <c r="B3833" s="7">
        <v>91350085</v>
      </c>
      <c r="C3833" s="11">
        <v>45987.388912037</v>
      </c>
      <c r="D3833" s="17" t="s">
        <v>2719</v>
      </c>
      <c r="E3833" t="str">
        <f>IF(COUNTIF($B$2:B3833,B3833)&gt;1,"Duplicado","Único")</f>
        <v>Duplicado</v>
      </c>
    </row>
    <row r="3834" spans="1:5" x14ac:dyDescent="0.25">
      <c r="A3834" s="15">
        <v>22241</v>
      </c>
      <c r="B3834" s="7">
        <v>91355336</v>
      </c>
      <c r="C3834" s="11">
        <v>45835.713425925896</v>
      </c>
      <c r="D3834" s="17" t="s">
        <v>999</v>
      </c>
      <c r="E3834" t="str">
        <f>IF(COUNTIF($B$2:B3834,B3834)&gt;1,"Duplicado","Único")</f>
        <v>Único</v>
      </c>
    </row>
    <row r="3835" spans="1:5" x14ac:dyDescent="0.25">
      <c r="A3835" s="15">
        <v>53295</v>
      </c>
      <c r="B3835" s="7">
        <v>91355351</v>
      </c>
      <c r="C3835" s="11">
        <v>46057.368425925903</v>
      </c>
      <c r="D3835" s="17" t="s">
        <v>3653</v>
      </c>
      <c r="E3835" t="str">
        <f>IF(COUNTIF($B$2:B3835,B3835)&gt;1,"Duplicado","Único")</f>
        <v>Único</v>
      </c>
    </row>
    <row r="3836" spans="1:5" hidden="1" x14ac:dyDescent="0.25">
      <c r="A3836" s="15">
        <v>53295</v>
      </c>
      <c r="B3836" s="7">
        <v>91355351</v>
      </c>
      <c r="C3836" s="11">
        <v>46013.397499999999</v>
      </c>
      <c r="D3836" s="17" t="s">
        <v>3002</v>
      </c>
      <c r="E3836" t="str">
        <f>IF(COUNTIF($B$2:B3836,B3836)&gt;1,"Duplicado","Único")</f>
        <v>Duplicado</v>
      </c>
    </row>
    <row r="3837" spans="1:5" x14ac:dyDescent="0.25">
      <c r="A3837" s="15">
        <v>51212</v>
      </c>
      <c r="B3837" s="7">
        <v>91438284</v>
      </c>
      <c r="C3837" s="11">
        <v>46050.696909722203</v>
      </c>
      <c r="D3837" s="17" t="s">
        <v>3418</v>
      </c>
      <c r="E3837" t="str">
        <f>IF(COUNTIF($B$2:B3837,B3837)&gt;1,"Duplicado","Único")</f>
        <v>Único</v>
      </c>
    </row>
    <row r="3838" spans="1:5" hidden="1" x14ac:dyDescent="0.25">
      <c r="A3838" s="15">
        <v>51212</v>
      </c>
      <c r="B3838" s="7">
        <v>91438284</v>
      </c>
      <c r="C3838" s="11">
        <v>46001.486006944397</v>
      </c>
      <c r="D3838" s="17" t="s">
        <v>2856</v>
      </c>
      <c r="E3838" t="str">
        <f>IF(COUNTIF($B$2:B3838,B3838)&gt;1,"Duplicado","Único")</f>
        <v>Duplicado</v>
      </c>
    </row>
    <row r="3839" spans="1:5" x14ac:dyDescent="0.25">
      <c r="A3839" s="15">
        <v>51243</v>
      </c>
      <c r="B3839" s="7">
        <v>91498456</v>
      </c>
      <c r="C3839" s="11">
        <v>46050.697592592602</v>
      </c>
      <c r="D3839" s="17" t="s">
        <v>3419</v>
      </c>
      <c r="E3839" t="str">
        <f>IF(COUNTIF($B$2:B3839,B3839)&gt;1,"Duplicado","Único")</f>
        <v>Único</v>
      </c>
    </row>
    <row r="3840" spans="1:5" hidden="1" x14ac:dyDescent="0.25">
      <c r="A3840" s="15">
        <v>51243</v>
      </c>
      <c r="B3840" s="7">
        <v>91498456</v>
      </c>
      <c r="C3840" s="11">
        <v>46001.496331018498</v>
      </c>
      <c r="D3840" s="17" t="s">
        <v>2862</v>
      </c>
      <c r="E3840" t="str">
        <f>IF(COUNTIF($B$2:B3840,B3840)&gt;1,"Duplicado","Único")</f>
        <v>Duplicado</v>
      </c>
    </row>
    <row r="3841" spans="1:5" x14ac:dyDescent="0.25">
      <c r="A3841" s="15">
        <v>36549</v>
      </c>
      <c r="B3841" s="7">
        <v>91498564</v>
      </c>
      <c r="C3841" s="11">
        <v>45919.366145833301</v>
      </c>
      <c r="D3841" s="17" t="s">
        <v>1752</v>
      </c>
      <c r="E3841" t="str">
        <f>IF(COUNTIF($B$2:B3841,B3841)&gt;1,"Duplicado","Único")</f>
        <v>Único</v>
      </c>
    </row>
    <row r="3842" spans="1:5" x14ac:dyDescent="0.25">
      <c r="A3842" s="15">
        <v>50367</v>
      </c>
      <c r="B3842" s="7">
        <v>91515156</v>
      </c>
      <c r="C3842" s="11">
        <v>46051.473078703697</v>
      </c>
      <c r="D3842" s="17" t="s">
        <v>3496</v>
      </c>
      <c r="E3842" t="str">
        <f>IF(COUNTIF($B$2:B3842,B3842)&gt;1,"Duplicado","Único")</f>
        <v>Único</v>
      </c>
    </row>
    <row r="3843" spans="1:5" hidden="1" x14ac:dyDescent="0.25">
      <c r="A3843" s="15">
        <v>50367</v>
      </c>
      <c r="B3843" s="7">
        <v>91515156</v>
      </c>
      <c r="C3843" s="11">
        <v>46003.672430555598</v>
      </c>
      <c r="D3843" s="17" t="s">
        <v>2919</v>
      </c>
      <c r="E3843" t="str">
        <f>IF(COUNTIF($B$2:B3843,B3843)&gt;1,"Duplicado","Único")</f>
        <v>Duplicado</v>
      </c>
    </row>
    <row r="3844" spans="1:5" hidden="1" x14ac:dyDescent="0.25">
      <c r="A3844" s="15">
        <v>50367</v>
      </c>
      <c r="B3844" s="7">
        <v>91515156</v>
      </c>
      <c r="C3844" s="11">
        <v>45988.712488425903</v>
      </c>
      <c r="D3844" s="17" t="s">
        <v>2768</v>
      </c>
      <c r="E3844" t="str">
        <f>IF(COUNTIF($B$2:B3844,B3844)&gt;1,"Duplicado","Único")</f>
        <v>Duplicado</v>
      </c>
    </row>
    <row r="3845" spans="1:5" hidden="1" x14ac:dyDescent="0.25">
      <c r="A3845" s="15">
        <v>50367</v>
      </c>
      <c r="B3845" s="7">
        <v>91515156</v>
      </c>
      <c r="C3845" s="11">
        <v>45988.698530092603</v>
      </c>
      <c r="D3845" s="17" t="s">
        <v>2767</v>
      </c>
      <c r="E3845" t="str">
        <f>IF(COUNTIF($B$2:B3845,B3845)&gt;1,"Duplicado","Único")</f>
        <v>Duplicado</v>
      </c>
    </row>
    <row r="3846" spans="1:5" x14ac:dyDescent="0.25">
      <c r="A3846" s="15">
        <v>49480</v>
      </c>
      <c r="B3846" s="7">
        <v>91516562</v>
      </c>
      <c r="C3846" s="11">
        <v>45982.359039351897</v>
      </c>
      <c r="D3846" s="17" t="s">
        <v>2658</v>
      </c>
      <c r="E3846" t="str">
        <f>IF(COUNTIF($B$2:B3846,B3846)&gt;1,"Duplicado","Único")</f>
        <v>Único</v>
      </c>
    </row>
    <row r="3847" spans="1:5" x14ac:dyDescent="0.25">
      <c r="A3847" s="15">
        <v>17264</v>
      </c>
      <c r="B3847" s="7">
        <v>91518150</v>
      </c>
      <c r="C3847" s="11">
        <v>45790.491458333301</v>
      </c>
      <c r="D3847" s="17" t="s">
        <v>690</v>
      </c>
      <c r="E3847" t="str">
        <f>IF(COUNTIF($B$2:B3847,B3847)&gt;1,"Duplicado","Único")</f>
        <v>Único</v>
      </c>
    </row>
    <row r="3848" spans="1:5" x14ac:dyDescent="0.25">
      <c r="A3848" s="15">
        <v>47478</v>
      </c>
      <c r="B3848" s="7">
        <v>91518347</v>
      </c>
      <c r="C3848" s="11">
        <v>45972.415983796302</v>
      </c>
      <c r="D3848" s="17" t="s">
        <v>2419</v>
      </c>
      <c r="E3848" t="str">
        <f>IF(COUNTIF($B$2:B3848,B3848)&gt;1,"Duplicado","Único")</f>
        <v>Único</v>
      </c>
    </row>
    <row r="3849" spans="1:5" x14ac:dyDescent="0.25">
      <c r="A3849" s="15">
        <v>17850</v>
      </c>
      <c r="B3849" s="7">
        <v>91518907</v>
      </c>
      <c r="C3849" s="11">
        <v>46149.413449074098</v>
      </c>
      <c r="D3849" s="17" t="s">
        <v>4443</v>
      </c>
      <c r="E3849" t="str">
        <f>IF(COUNTIF($B$2:B3849,B3849)&gt;1,"Duplicado","Único")</f>
        <v>Único</v>
      </c>
    </row>
    <row r="3850" spans="1:5" hidden="1" x14ac:dyDescent="0.25">
      <c r="A3850" s="15">
        <v>17850</v>
      </c>
      <c r="B3850" s="7">
        <v>91518907</v>
      </c>
      <c r="C3850" s="11">
        <v>46118.3147916667</v>
      </c>
      <c r="D3850" s="17" t="s">
        <v>1171</v>
      </c>
      <c r="E3850" t="str">
        <f>IF(COUNTIF($B$2:B3850,B3850)&gt;1,"Duplicado","Único")</f>
        <v>Duplicado</v>
      </c>
    </row>
    <row r="3851" spans="1:5" x14ac:dyDescent="0.25">
      <c r="A3851" s="15">
        <v>15433</v>
      </c>
      <c r="B3851" s="7">
        <v>91523563</v>
      </c>
      <c r="C3851" s="11">
        <v>46120.619629629597</v>
      </c>
      <c r="D3851" s="17" t="s">
        <v>4305</v>
      </c>
      <c r="E3851" t="str">
        <f>IF(COUNTIF($B$2:B3851,B3851)&gt;1,"Duplicado","Único")</f>
        <v>Único</v>
      </c>
    </row>
    <row r="3852" spans="1:5" hidden="1" x14ac:dyDescent="0.25">
      <c r="A3852" s="15">
        <v>15433</v>
      </c>
      <c r="B3852" s="7">
        <v>91523563</v>
      </c>
      <c r="C3852" s="11">
        <v>46094.525069444397</v>
      </c>
      <c r="D3852" s="17" t="s">
        <v>4088</v>
      </c>
      <c r="E3852" t="str">
        <f>IF(COUNTIF($B$2:B3852,B3852)&gt;1,"Duplicado","Único")</f>
        <v>Duplicado</v>
      </c>
    </row>
    <row r="3853" spans="1:5" x14ac:dyDescent="0.25">
      <c r="A3853" s="15">
        <v>46319</v>
      </c>
      <c r="B3853" s="7">
        <v>91523887</v>
      </c>
      <c r="C3853" s="11">
        <v>45965.499849537002</v>
      </c>
      <c r="D3853" s="17" t="s">
        <v>2308</v>
      </c>
      <c r="E3853" t="str">
        <f>IF(COUNTIF($B$2:B3853,B3853)&gt;1,"Duplicado","Único")</f>
        <v>Único</v>
      </c>
    </row>
    <row r="3854" spans="1:5" x14ac:dyDescent="0.25">
      <c r="A3854" s="15">
        <v>15320</v>
      </c>
      <c r="B3854" s="7">
        <v>91527008</v>
      </c>
      <c r="C3854" s="11">
        <v>46120.620312500003</v>
      </c>
      <c r="D3854" s="17" t="s">
        <v>4306</v>
      </c>
      <c r="E3854" t="str">
        <f>IF(COUNTIF($B$2:B3854,B3854)&gt;1,"Duplicado","Único")</f>
        <v>Único</v>
      </c>
    </row>
    <row r="3855" spans="1:5" hidden="1" x14ac:dyDescent="0.25">
      <c r="A3855" s="15">
        <v>15320</v>
      </c>
      <c r="B3855" s="7">
        <v>91527008</v>
      </c>
      <c r="C3855" s="11">
        <v>46094.519143518497</v>
      </c>
      <c r="D3855" s="17" t="s">
        <v>4082</v>
      </c>
      <c r="E3855" t="str">
        <f>IF(COUNTIF($B$2:B3855,B3855)&gt;1,"Duplicado","Único")</f>
        <v>Duplicado</v>
      </c>
    </row>
    <row r="3856" spans="1:5" hidden="1" x14ac:dyDescent="0.25">
      <c r="A3856" s="15">
        <v>43284</v>
      </c>
      <c r="B3856" s="7">
        <v>91527008</v>
      </c>
      <c r="C3856" s="11">
        <v>45954.6569675926</v>
      </c>
      <c r="D3856" s="17" t="s">
        <v>2077</v>
      </c>
      <c r="E3856" t="str">
        <f>IF(COUNTIF($B$2:B3856,B3856)&gt;1,"Duplicado","Único")</f>
        <v>Duplicado</v>
      </c>
    </row>
    <row r="3857" spans="1:5" x14ac:dyDescent="0.25">
      <c r="A3857" s="15">
        <v>35266</v>
      </c>
      <c r="B3857" s="7">
        <v>91532996</v>
      </c>
      <c r="C3857" s="11">
        <v>45917.399421296301</v>
      </c>
      <c r="D3857" s="17" t="s">
        <v>1726</v>
      </c>
      <c r="E3857" t="str">
        <f>IF(COUNTIF($B$2:B3857,B3857)&gt;1,"Duplicado","Único")</f>
        <v>Único</v>
      </c>
    </row>
    <row r="3858" spans="1:5" x14ac:dyDescent="0.25">
      <c r="A3858" s="15">
        <v>24550</v>
      </c>
      <c r="B3858" s="7">
        <v>91534240</v>
      </c>
      <c r="C3858" s="11">
        <v>45859.353668981501</v>
      </c>
      <c r="D3858" s="17" t="s">
        <v>1085</v>
      </c>
      <c r="E3858" t="str">
        <f>IF(COUNTIF($B$2:B3858,B3858)&gt;1,"Duplicado","Único")</f>
        <v>Único</v>
      </c>
    </row>
    <row r="3859" spans="1:5" x14ac:dyDescent="0.25">
      <c r="A3859" s="15">
        <v>42569</v>
      </c>
      <c r="B3859" s="7">
        <v>91535526</v>
      </c>
      <c r="C3859" s="11">
        <v>45952.640636574099</v>
      </c>
      <c r="D3859" s="17" t="s">
        <v>2034</v>
      </c>
      <c r="E3859" t="str">
        <f>IF(COUNTIF($B$2:B3859,B3859)&gt;1,"Duplicado","Único")</f>
        <v>Único</v>
      </c>
    </row>
    <row r="3860" spans="1:5" x14ac:dyDescent="0.25">
      <c r="A3860" s="15">
        <v>40753</v>
      </c>
      <c r="B3860" s="7">
        <v>92509732</v>
      </c>
      <c r="C3860" s="11">
        <v>45936.4523148148</v>
      </c>
      <c r="D3860" s="17" t="s">
        <v>1938</v>
      </c>
      <c r="E3860" t="str">
        <f>IF(COUNTIF($B$2:B3860,B3860)&gt;1,"Duplicado","Único")</f>
        <v>Único</v>
      </c>
    </row>
    <row r="3861" spans="1:5" x14ac:dyDescent="0.25">
      <c r="A3861" s="15">
        <v>46835</v>
      </c>
      <c r="B3861" s="7">
        <v>92529490</v>
      </c>
      <c r="C3861" s="11">
        <v>45967.710717592599</v>
      </c>
      <c r="D3861" s="17" t="s">
        <v>2366</v>
      </c>
      <c r="E3861" t="str">
        <f>IF(COUNTIF($B$2:B3861,B3861)&gt;1,"Duplicado","Único")</f>
        <v>Único</v>
      </c>
    </row>
    <row r="3862" spans="1:5" x14ac:dyDescent="0.25">
      <c r="A3862" s="15">
        <v>22370</v>
      </c>
      <c r="B3862" s="7">
        <v>92640162</v>
      </c>
      <c r="C3862" s="11">
        <v>45841.5094328704</v>
      </c>
      <c r="D3862" s="17" t="s">
        <v>1005</v>
      </c>
      <c r="E3862" t="str">
        <f>IF(COUNTIF($B$2:B3862,B3862)&gt;1,"Duplicado","Único")</f>
        <v>Único</v>
      </c>
    </row>
    <row r="3863" spans="1:5" x14ac:dyDescent="0.25">
      <c r="A3863" s="15">
        <v>26740</v>
      </c>
      <c r="B3863" s="7">
        <v>92641315</v>
      </c>
      <c r="C3863" s="11">
        <v>45867.626724537004</v>
      </c>
      <c r="D3863" s="17" t="s">
        <v>1219</v>
      </c>
      <c r="E3863" t="str">
        <f>IF(COUNTIF($B$2:B3863,B3863)&gt;1,"Duplicado","Único")</f>
        <v>Único</v>
      </c>
    </row>
    <row r="3864" spans="1:5" x14ac:dyDescent="0.25">
      <c r="A3864" s="15">
        <v>18444</v>
      </c>
      <c r="B3864" s="7">
        <v>9289385</v>
      </c>
      <c r="C3864" s="11">
        <v>45833.668194444399</v>
      </c>
      <c r="D3864" s="17" t="s">
        <v>964</v>
      </c>
      <c r="E3864" t="str">
        <f>IF(COUNTIF($B$2:B3864,B3864)&gt;1,"Duplicado","Único")</f>
        <v>Único</v>
      </c>
    </row>
    <row r="3865" spans="1:5" hidden="1" x14ac:dyDescent="0.25">
      <c r="A3865" s="15">
        <v>18444</v>
      </c>
      <c r="B3865" s="7">
        <v>9289385</v>
      </c>
      <c r="C3865" s="11">
        <v>45803.397569444402</v>
      </c>
      <c r="D3865" s="17" t="s">
        <v>768</v>
      </c>
      <c r="E3865" t="str">
        <f>IF(COUNTIF($B$2:B3865,B3865)&gt;1,"Duplicado","Único")</f>
        <v>Duplicado</v>
      </c>
    </row>
    <row r="3866" spans="1:5" x14ac:dyDescent="0.25">
      <c r="A3866" s="15">
        <v>23723</v>
      </c>
      <c r="B3866" s="7">
        <v>93132865</v>
      </c>
      <c r="C3866" s="11">
        <v>45842.489745370403</v>
      </c>
      <c r="D3866" s="17" t="s">
        <v>1054</v>
      </c>
      <c r="E3866" t="str">
        <f>IF(COUNTIF($B$2:B3866,B3866)&gt;1,"Duplicado","Único")</f>
        <v>Único</v>
      </c>
    </row>
    <row r="3867" spans="1:5" x14ac:dyDescent="0.25">
      <c r="A3867" s="15">
        <v>31621</v>
      </c>
      <c r="B3867" s="7">
        <v>93293166</v>
      </c>
      <c r="C3867" s="11">
        <v>45904.673078703701</v>
      </c>
      <c r="D3867" s="17" t="s">
        <v>1537</v>
      </c>
      <c r="E3867" t="str">
        <f>IF(COUNTIF($B$2:B3867,B3867)&gt;1,"Duplicado","Único")</f>
        <v>Único</v>
      </c>
    </row>
    <row r="3868" spans="1:5" x14ac:dyDescent="0.25">
      <c r="A3868" s="15">
        <v>14500</v>
      </c>
      <c r="B3868" s="7">
        <v>93339137</v>
      </c>
      <c r="C3868" s="11">
        <v>46120.468495370398</v>
      </c>
      <c r="D3868" s="17" t="s">
        <v>4261</v>
      </c>
      <c r="E3868" t="str">
        <f>IF(COUNTIF($B$2:B3868,B3868)&gt;1,"Duplicado","Único")</f>
        <v>Único</v>
      </c>
    </row>
    <row r="3869" spans="1:5" hidden="1" x14ac:dyDescent="0.25">
      <c r="A3869" s="15">
        <v>14500</v>
      </c>
      <c r="B3869" s="7">
        <v>93339137</v>
      </c>
      <c r="C3869" s="11">
        <v>46090.672268518501</v>
      </c>
      <c r="D3869" s="17" t="s">
        <v>1022</v>
      </c>
      <c r="E3869" t="str">
        <f>IF(COUNTIF($B$2:B3869,B3869)&gt;1,"Duplicado","Único")</f>
        <v>Duplicado</v>
      </c>
    </row>
    <row r="3870" spans="1:5" x14ac:dyDescent="0.25">
      <c r="A3870" s="15">
        <v>51488</v>
      </c>
      <c r="B3870" s="7">
        <v>93390492</v>
      </c>
      <c r="C3870" s="11">
        <v>46051.461064814801</v>
      </c>
      <c r="D3870" s="17" t="s">
        <v>3481</v>
      </c>
      <c r="E3870" t="str">
        <f>IF(COUNTIF($B$2:B3870,B3870)&gt;1,"Duplicado","Único")</f>
        <v>Único</v>
      </c>
    </row>
    <row r="3871" spans="1:5" hidden="1" x14ac:dyDescent="0.25">
      <c r="A3871" s="15">
        <v>51488</v>
      </c>
      <c r="B3871" s="7">
        <v>93390492</v>
      </c>
      <c r="C3871" s="11">
        <v>46002.510370370401</v>
      </c>
      <c r="D3871" s="17" t="s">
        <v>2880</v>
      </c>
      <c r="E3871" t="str">
        <f>IF(COUNTIF($B$2:B3871,B3871)&gt;1,"Duplicado","Único")</f>
        <v>Duplicado</v>
      </c>
    </row>
    <row r="3872" spans="1:5" x14ac:dyDescent="0.25">
      <c r="A3872" s="15">
        <v>52435</v>
      </c>
      <c r="B3872" s="7">
        <v>93399171</v>
      </c>
      <c r="C3872" s="11">
        <v>46057.344849537003</v>
      </c>
      <c r="D3872" s="17" t="s">
        <v>3625</v>
      </c>
      <c r="E3872" t="str">
        <f>IF(COUNTIF($B$2:B3872,B3872)&gt;1,"Duplicado","Único")</f>
        <v>Único</v>
      </c>
    </row>
    <row r="3873" spans="1:5" hidden="1" x14ac:dyDescent="0.25">
      <c r="A3873" s="15">
        <v>52435</v>
      </c>
      <c r="B3873" s="7">
        <v>93399171</v>
      </c>
      <c r="C3873" s="11">
        <v>46009.440891203703</v>
      </c>
      <c r="D3873" s="17" t="s">
        <v>2985</v>
      </c>
      <c r="E3873" t="str">
        <f>IF(COUNTIF($B$2:B3873,B3873)&gt;1,"Duplicado","Único")</f>
        <v>Duplicado</v>
      </c>
    </row>
    <row r="3874" spans="1:5" hidden="1" x14ac:dyDescent="0.25">
      <c r="A3874" s="15">
        <v>29883</v>
      </c>
      <c r="B3874" s="7">
        <v>93399171</v>
      </c>
      <c r="C3874" s="11">
        <v>45898.426979166703</v>
      </c>
      <c r="D3874" s="17" t="s">
        <v>1447</v>
      </c>
      <c r="E3874" t="str">
        <f>IF(COUNTIF($B$2:B3874,B3874)&gt;1,"Duplicado","Único")</f>
        <v>Duplicado</v>
      </c>
    </row>
    <row r="3875" spans="1:5" x14ac:dyDescent="0.25">
      <c r="A3875" s="15">
        <v>44429</v>
      </c>
      <c r="B3875" s="7">
        <v>93400875</v>
      </c>
      <c r="C3875" s="11">
        <v>45958.458657407398</v>
      </c>
      <c r="D3875" s="17" t="s">
        <v>2127</v>
      </c>
      <c r="E3875" t="str">
        <f>IF(COUNTIF($B$2:B3875,B3875)&gt;1,"Duplicado","Único")</f>
        <v>Único</v>
      </c>
    </row>
    <row r="3876" spans="1:5" x14ac:dyDescent="0.25">
      <c r="A3876" s="15">
        <v>28695</v>
      </c>
      <c r="B3876" s="7">
        <v>93405413</v>
      </c>
      <c r="C3876" s="11">
        <v>45888.635162036997</v>
      </c>
      <c r="D3876" s="17" t="s">
        <v>1355</v>
      </c>
      <c r="E3876" t="str">
        <f>IF(COUNTIF($B$2:B3876,B3876)&gt;1,"Duplicado","Único")</f>
        <v>Único</v>
      </c>
    </row>
    <row r="3877" spans="1:5" x14ac:dyDescent="0.25">
      <c r="A3877" s="15">
        <v>13488</v>
      </c>
      <c r="B3877" s="7">
        <v>93409235</v>
      </c>
      <c r="C3877" s="11">
        <v>46149.6641550926</v>
      </c>
      <c r="D3877" s="17" t="s">
        <v>4553</v>
      </c>
      <c r="E3877" t="str">
        <f>IF(COUNTIF($B$2:B3877,B3877)&gt;1,"Duplicado","Único")</f>
        <v>Único</v>
      </c>
    </row>
    <row r="3878" spans="1:5" hidden="1" x14ac:dyDescent="0.25">
      <c r="A3878" s="15">
        <v>13488</v>
      </c>
      <c r="B3878" s="7">
        <v>93409235</v>
      </c>
      <c r="C3878" s="11">
        <v>46084.479872685202</v>
      </c>
      <c r="D3878" s="17" t="s">
        <v>3775</v>
      </c>
      <c r="E3878" t="str">
        <f>IF(COUNTIF($B$2:B3878,B3878)&gt;1,"Duplicado","Único")</f>
        <v>Duplicado</v>
      </c>
    </row>
    <row r="3879" spans="1:5" x14ac:dyDescent="0.25">
      <c r="A3879" s="15">
        <v>18610</v>
      </c>
      <c r="B3879" s="7">
        <v>93409418</v>
      </c>
      <c r="C3879" s="11">
        <v>45803.511261574102</v>
      </c>
      <c r="D3879" s="17" t="s">
        <v>773</v>
      </c>
      <c r="E3879" t="str">
        <f>IF(COUNTIF($B$2:B3879,B3879)&gt;1,"Duplicado","Único")</f>
        <v>Único</v>
      </c>
    </row>
    <row r="3880" spans="1:5" x14ac:dyDescent="0.25">
      <c r="A3880" s="15">
        <v>45769</v>
      </c>
      <c r="B3880" s="7">
        <v>93409464</v>
      </c>
      <c r="C3880" s="11">
        <v>45961.472361111097</v>
      </c>
      <c r="D3880" s="17" t="s">
        <v>2282</v>
      </c>
      <c r="E3880" t="str">
        <f>IF(COUNTIF($B$2:B3880,B3880)&gt;1,"Duplicado","Único")</f>
        <v>Único</v>
      </c>
    </row>
    <row r="3881" spans="1:5" x14ac:dyDescent="0.25">
      <c r="A3881" s="15">
        <v>53820</v>
      </c>
      <c r="B3881" s="7">
        <v>9399888</v>
      </c>
      <c r="C3881" s="11">
        <v>46057.397326388898</v>
      </c>
      <c r="D3881" s="17" t="s">
        <v>3672</v>
      </c>
      <c r="E3881" t="str">
        <f>IF(COUNTIF($B$2:B3881,B3881)&gt;1,"Duplicado","Único")</f>
        <v>Único</v>
      </c>
    </row>
    <row r="3882" spans="1:5" hidden="1" x14ac:dyDescent="0.25">
      <c r="A3882" s="15">
        <v>53820</v>
      </c>
      <c r="B3882" s="7">
        <v>9399888</v>
      </c>
      <c r="C3882" s="11">
        <v>46013.633402777799</v>
      </c>
      <c r="D3882" s="17" t="s">
        <v>3052</v>
      </c>
      <c r="E3882" t="str">
        <f>IF(COUNTIF($B$2:B3882,B3882)&gt;1,"Duplicado","Único")</f>
        <v>Duplicado</v>
      </c>
    </row>
    <row r="3883" spans="1:5" x14ac:dyDescent="0.25">
      <c r="A3883" s="15">
        <v>19184</v>
      </c>
      <c r="B3883" s="7">
        <v>94063303</v>
      </c>
      <c r="C3883" s="11">
        <v>45813.7397569444</v>
      </c>
      <c r="D3883" s="17" t="s">
        <v>817</v>
      </c>
      <c r="E3883" t="str">
        <f>IF(COUNTIF($B$2:B3883,B3883)&gt;1,"Duplicado","Único")</f>
        <v>Único</v>
      </c>
    </row>
    <row r="3884" spans="1:5" x14ac:dyDescent="0.25">
      <c r="A3884" s="15">
        <v>48252</v>
      </c>
      <c r="B3884" s="7">
        <v>94321264</v>
      </c>
      <c r="C3884" s="11">
        <v>46050.642476851899</v>
      </c>
      <c r="D3884" s="17" t="s">
        <v>3351</v>
      </c>
      <c r="E3884" t="str">
        <f>IF(COUNTIF($B$2:B3884,B3884)&gt;1,"Duplicado","Único")</f>
        <v>Único</v>
      </c>
    </row>
    <row r="3885" spans="1:5" hidden="1" x14ac:dyDescent="0.25">
      <c r="A3885" s="15">
        <v>48252</v>
      </c>
      <c r="B3885" s="7">
        <v>94321264</v>
      </c>
      <c r="C3885" s="11">
        <v>45989.630509259303</v>
      </c>
      <c r="D3885" s="17" t="s">
        <v>2798</v>
      </c>
      <c r="E3885" t="str">
        <f>IF(COUNTIF($B$2:B3885,B3885)&gt;1,"Duplicado","Único")</f>
        <v>Duplicado</v>
      </c>
    </row>
    <row r="3886" spans="1:5" hidden="1" x14ac:dyDescent="0.25">
      <c r="A3886" s="15">
        <v>48252</v>
      </c>
      <c r="B3886" s="7">
        <v>94321264</v>
      </c>
      <c r="C3886" s="11">
        <v>45979.355613425898</v>
      </c>
      <c r="D3886" s="17" t="s">
        <v>2537</v>
      </c>
      <c r="E3886" t="str">
        <f>IF(COUNTIF($B$2:B3886,B3886)&gt;1,"Duplicado","Único")</f>
        <v>Duplicado</v>
      </c>
    </row>
    <row r="3887" spans="1:5" x14ac:dyDescent="0.25">
      <c r="A3887" s="15">
        <v>53687</v>
      </c>
      <c r="B3887" s="7">
        <v>94328655</v>
      </c>
      <c r="C3887" s="11">
        <v>46057.369108796302</v>
      </c>
      <c r="D3887" s="17" t="s">
        <v>3654</v>
      </c>
      <c r="E3887" t="str">
        <f>IF(COUNTIF($B$2:B3887,B3887)&gt;1,"Duplicado","Único")</f>
        <v>Único</v>
      </c>
    </row>
    <row r="3888" spans="1:5" hidden="1" x14ac:dyDescent="0.25">
      <c r="A3888" s="15">
        <v>53687</v>
      </c>
      <c r="B3888" s="7">
        <v>94328655</v>
      </c>
      <c r="C3888" s="11">
        <v>46013.506053240701</v>
      </c>
      <c r="D3888" s="17" t="s">
        <v>3032</v>
      </c>
      <c r="E3888" t="str">
        <f>IF(COUNTIF($B$2:B3888,B3888)&gt;1,"Duplicado","Único")</f>
        <v>Duplicado</v>
      </c>
    </row>
    <row r="3889" spans="1:5" x14ac:dyDescent="0.25">
      <c r="A3889" s="15">
        <v>52640</v>
      </c>
      <c r="B3889" s="7">
        <v>94368660</v>
      </c>
      <c r="C3889" s="11">
        <v>46051.529756944401</v>
      </c>
      <c r="D3889" s="17" t="s">
        <v>3529</v>
      </c>
      <c r="E3889" t="str">
        <f>IF(COUNTIF($B$2:B3889,B3889)&gt;1,"Duplicado","Único")</f>
        <v>Único</v>
      </c>
    </row>
    <row r="3890" spans="1:5" hidden="1" x14ac:dyDescent="0.25">
      <c r="A3890" s="15">
        <v>52640</v>
      </c>
      <c r="B3890" s="7">
        <v>94368660</v>
      </c>
      <c r="C3890" s="11">
        <v>46007.491620370398</v>
      </c>
      <c r="D3890" s="17" t="s">
        <v>2947</v>
      </c>
      <c r="E3890" t="str">
        <f>IF(COUNTIF($B$2:B3890,B3890)&gt;1,"Duplicado","Único")</f>
        <v>Duplicado</v>
      </c>
    </row>
    <row r="3891" spans="1:5" x14ac:dyDescent="0.25">
      <c r="A3891" s="15">
        <v>28386</v>
      </c>
      <c r="B3891" s="7">
        <v>94376966</v>
      </c>
      <c r="C3891" s="11">
        <v>45888.475856481498</v>
      </c>
      <c r="D3891" s="17" t="s">
        <v>1328</v>
      </c>
      <c r="E3891" t="str">
        <f>IF(COUNTIF($B$2:B3891,B3891)&gt;1,"Duplicado","Único")</f>
        <v>Único</v>
      </c>
    </row>
    <row r="3892" spans="1:5" x14ac:dyDescent="0.25">
      <c r="A3892" s="15">
        <v>5918</v>
      </c>
      <c r="B3892" s="7">
        <v>94383684</v>
      </c>
      <c r="C3892" s="11">
        <v>46066.434328703697</v>
      </c>
      <c r="D3892" s="17" t="s">
        <v>3759</v>
      </c>
      <c r="E3892" t="str">
        <f>IF(COUNTIF($B$2:B3892,B3892)&gt;1,"Duplicado","Único")</f>
        <v>Único</v>
      </c>
    </row>
    <row r="3893" spans="1:5" hidden="1" x14ac:dyDescent="0.25">
      <c r="A3893" s="15">
        <v>5918</v>
      </c>
      <c r="B3893" s="7">
        <v>94383684</v>
      </c>
      <c r="C3893" s="11">
        <v>46063.469224537002</v>
      </c>
      <c r="D3893" s="17" t="s">
        <v>3755</v>
      </c>
      <c r="E3893" t="str">
        <f>IF(COUNTIF($B$2:B3893,B3893)&gt;1,"Duplicado","Único")</f>
        <v>Duplicado</v>
      </c>
    </row>
    <row r="3894" spans="1:5" x14ac:dyDescent="0.25">
      <c r="A3894" s="15">
        <v>29175</v>
      </c>
      <c r="B3894" s="7">
        <v>94414577</v>
      </c>
      <c r="C3894" s="11">
        <v>45891.680347222202</v>
      </c>
      <c r="D3894" s="17" t="s">
        <v>1394</v>
      </c>
      <c r="E3894" t="str">
        <f>IF(COUNTIF($B$2:B3894,B3894)&gt;1,"Duplicado","Único")</f>
        <v>Único</v>
      </c>
    </row>
    <row r="3895" spans="1:5" x14ac:dyDescent="0.25">
      <c r="A3895" s="15">
        <v>17523</v>
      </c>
      <c r="B3895" s="7">
        <v>94418248</v>
      </c>
      <c r="C3895" s="11">
        <v>46122.4391666667</v>
      </c>
      <c r="D3895" s="17" t="s">
        <v>4425</v>
      </c>
      <c r="E3895" t="str">
        <f>IF(COUNTIF($B$2:B3895,B3895)&gt;1,"Duplicado","Único")</f>
        <v>Único</v>
      </c>
    </row>
    <row r="3896" spans="1:5" hidden="1" x14ac:dyDescent="0.25">
      <c r="A3896" s="15">
        <v>17523</v>
      </c>
      <c r="B3896" s="7">
        <v>94418248</v>
      </c>
      <c r="C3896" s="11">
        <v>46108.4828009259</v>
      </c>
      <c r="D3896" s="17" t="s">
        <v>4192</v>
      </c>
      <c r="E3896" t="str">
        <f>IF(COUNTIF($B$2:B3896,B3896)&gt;1,"Duplicado","Único")</f>
        <v>Duplicado</v>
      </c>
    </row>
    <row r="3897" spans="1:5" x14ac:dyDescent="0.25">
      <c r="A3897" s="15">
        <v>50721</v>
      </c>
      <c r="B3897" s="7">
        <v>94427432</v>
      </c>
      <c r="C3897" s="11">
        <v>46050.678680555597</v>
      </c>
      <c r="D3897" s="17" t="s">
        <v>3396</v>
      </c>
      <c r="E3897" t="str">
        <f>IF(COUNTIF($B$2:B3897,B3897)&gt;1,"Duplicado","Único")</f>
        <v>Único</v>
      </c>
    </row>
    <row r="3898" spans="1:5" hidden="1" x14ac:dyDescent="0.25">
      <c r="A3898" s="15">
        <v>50721</v>
      </c>
      <c r="B3898" s="7">
        <v>94427432</v>
      </c>
      <c r="C3898" s="11">
        <v>45996.645844907398</v>
      </c>
      <c r="D3898" s="17" t="s">
        <v>2831</v>
      </c>
      <c r="E3898" t="str">
        <f>IF(COUNTIF($B$2:B3898,B3898)&gt;1,"Duplicado","Único")</f>
        <v>Duplicado</v>
      </c>
    </row>
    <row r="3899" spans="1:5" hidden="1" x14ac:dyDescent="0.25">
      <c r="A3899" s="15">
        <v>50721</v>
      </c>
      <c r="B3899" s="7">
        <v>94427432</v>
      </c>
      <c r="C3899" s="11">
        <v>45992.448564814797</v>
      </c>
      <c r="D3899" s="17" t="s">
        <v>2813</v>
      </c>
      <c r="E3899" t="str">
        <f>IF(COUNTIF($B$2:B3899,B3899)&gt;1,"Duplicado","Único")</f>
        <v>Duplicado</v>
      </c>
    </row>
    <row r="3900" spans="1:5" x14ac:dyDescent="0.25">
      <c r="A3900" s="15">
        <v>20477</v>
      </c>
      <c r="B3900" s="7">
        <v>94430295</v>
      </c>
      <c r="C3900" s="11">
        <v>45827.6937847222</v>
      </c>
      <c r="D3900" s="17" t="s">
        <v>961</v>
      </c>
      <c r="E3900" t="str">
        <f>IF(COUNTIF($B$2:B3900,B3900)&gt;1,"Duplicado","Único")</f>
        <v>Único</v>
      </c>
    </row>
    <row r="3901" spans="1:5" hidden="1" x14ac:dyDescent="0.25">
      <c r="A3901" s="15">
        <v>20477</v>
      </c>
      <c r="B3901" s="7">
        <v>94430295</v>
      </c>
      <c r="C3901" s="11">
        <v>45820.478333333303</v>
      </c>
      <c r="D3901" s="17" t="s">
        <v>886</v>
      </c>
      <c r="E3901" t="str">
        <f>IF(COUNTIF($B$2:B3901,B3901)&gt;1,"Duplicado","Único")</f>
        <v>Duplicado</v>
      </c>
    </row>
    <row r="3902" spans="1:5" x14ac:dyDescent="0.25">
      <c r="A3902" s="15">
        <v>37846</v>
      </c>
      <c r="B3902" s="7">
        <v>94433974</v>
      </c>
      <c r="C3902" s="11">
        <v>45924.454953703702</v>
      </c>
      <c r="D3902" s="17" t="s">
        <v>1811</v>
      </c>
      <c r="E3902" t="str">
        <f>IF(COUNTIF($B$2:B3902,B3902)&gt;1,"Duplicado","Único")</f>
        <v>Único</v>
      </c>
    </row>
    <row r="3903" spans="1:5" x14ac:dyDescent="0.25">
      <c r="A3903" s="15">
        <v>882</v>
      </c>
      <c r="B3903" s="7">
        <v>94439272</v>
      </c>
      <c r="C3903" s="11">
        <v>46086.505173611098</v>
      </c>
      <c r="D3903" s="17" t="s">
        <v>3825</v>
      </c>
      <c r="E3903" t="str">
        <f>IF(COUNTIF($B$2:B3903,B3903)&gt;1,"Duplicado","Único")</f>
        <v>Único</v>
      </c>
    </row>
    <row r="3904" spans="1:5" hidden="1" x14ac:dyDescent="0.25">
      <c r="A3904" s="15">
        <v>882</v>
      </c>
      <c r="B3904" s="7">
        <v>94439272</v>
      </c>
      <c r="C3904" s="11">
        <v>46035.590682870403</v>
      </c>
      <c r="D3904" s="17" t="s">
        <v>3152</v>
      </c>
      <c r="E3904" t="str">
        <f>IF(COUNTIF($B$2:B3904,B3904)&gt;1,"Duplicado","Único")</f>
        <v>Duplicado</v>
      </c>
    </row>
    <row r="3905" spans="1:5" x14ac:dyDescent="0.25">
      <c r="A3905" s="15">
        <v>39834</v>
      </c>
      <c r="B3905" s="7">
        <v>94449217</v>
      </c>
      <c r="C3905" s="11">
        <v>45961.374074074098</v>
      </c>
      <c r="D3905" s="17" t="s">
        <v>2268</v>
      </c>
      <c r="E3905" t="str">
        <f>IF(COUNTIF($B$2:B3905,B3905)&gt;1,"Duplicado","Único")</f>
        <v>Único</v>
      </c>
    </row>
    <row r="3906" spans="1:5" hidden="1" x14ac:dyDescent="0.25">
      <c r="A3906" s="15">
        <v>39834</v>
      </c>
      <c r="B3906" s="7">
        <v>94449217</v>
      </c>
      <c r="C3906" s="11">
        <v>45954.446956018503</v>
      </c>
      <c r="D3906" s="17" t="s">
        <v>2058</v>
      </c>
      <c r="E3906" t="str">
        <f>IF(COUNTIF($B$2:B3906,B3906)&gt;1,"Duplicado","Único")</f>
        <v>Duplicado</v>
      </c>
    </row>
    <row r="3907" spans="1:5" hidden="1" x14ac:dyDescent="0.25">
      <c r="A3907" s="15">
        <v>39834</v>
      </c>
      <c r="B3907" s="7">
        <v>94449217</v>
      </c>
      <c r="C3907" s="11">
        <v>45931.380324074104</v>
      </c>
      <c r="D3907" s="17" t="s">
        <v>1902</v>
      </c>
      <c r="E3907" t="str">
        <f>IF(COUNTIF($B$2:B3907,B3907)&gt;1,"Duplicado","Único")</f>
        <v>Duplicado</v>
      </c>
    </row>
    <row r="3908" spans="1:5" x14ac:dyDescent="0.25">
      <c r="A3908" s="15">
        <v>36636</v>
      </c>
      <c r="B3908" s="7">
        <v>94449318</v>
      </c>
      <c r="C3908" s="11">
        <v>45919.383750000001</v>
      </c>
      <c r="D3908" s="17" t="s">
        <v>1757</v>
      </c>
      <c r="E3908" t="str">
        <f>IF(COUNTIF($B$2:B3908,B3908)&gt;1,"Duplicado","Único")</f>
        <v>Único</v>
      </c>
    </row>
    <row r="3909" spans="1:5" x14ac:dyDescent="0.25">
      <c r="A3909" s="15">
        <v>14980</v>
      </c>
      <c r="B3909" s="7">
        <v>94515940</v>
      </c>
      <c r="C3909" s="11">
        <v>46120.626701388901</v>
      </c>
      <c r="D3909" s="17" t="s">
        <v>4307</v>
      </c>
      <c r="E3909" t="str">
        <f>IF(COUNTIF($B$2:B3909,B3909)&gt;1,"Duplicado","Único")</f>
        <v>Único</v>
      </c>
    </row>
    <row r="3910" spans="1:5" hidden="1" x14ac:dyDescent="0.25">
      <c r="A3910" s="15">
        <v>14980</v>
      </c>
      <c r="B3910" s="7">
        <v>94515940</v>
      </c>
      <c r="C3910" s="11">
        <v>46094.493564814802</v>
      </c>
      <c r="D3910" s="17" t="s">
        <v>4055</v>
      </c>
      <c r="E3910" t="str">
        <f>IF(COUNTIF($B$2:B3910,B3910)&gt;1,"Duplicado","Único")</f>
        <v>Duplicado</v>
      </c>
    </row>
    <row r="3911" spans="1:5" x14ac:dyDescent="0.25">
      <c r="A3911" s="15">
        <v>55659</v>
      </c>
      <c r="B3911" s="7">
        <v>94517946</v>
      </c>
      <c r="C3911" s="11">
        <v>46086.470138888901</v>
      </c>
      <c r="D3911" s="17" t="s">
        <v>3805</v>
      </c>
      <c r="E3911" t="str">
        <f>IF(COUNTIF($B$2:B3911,B3911)&gt;1,"Duplicado","Único")</f>
        <v>Único</v>
      </c>
    </row>
    <row r="3912" spans="1:5" hidden="1" x14ac:dyDescent="0.25">
      <c r="A3912" s="15">
        <v>55659</v>
      </c>
      <c r="B3912" s="7">
        <v>94517946</v>
      </c>
      <c r="C3912" s="11">
        <v>46024.488668981503</v>
      </c>
      <c r="D3912" s="17" t="s">
        <v>3117</v>
      </c>
      <c r="E3912" t="str">
        <f>IF(COUNTIF($B$2:B3912,B3912)&gt;1,"Duplicado","Único")</f>
        <v>Duplicado</v>
      </c>
    </row>
    <row r="3913" spans="1:5" x14ac:dyDescent="0.25">
      <c r="A3913" s="15">
        <v>11630</v>
      </c>
      <c r="B3913" s="7">
        <v>94521259</v>
      </c>
      <c r="C3913" s="11">
        <v>46087.505462963003</v>
      </c>
      <c r="D3913" s="17" t="s">
        <v>3997</v>
      </c>
      <c r="E3913" t="str">
        <f>IF(COUNTIF($B$2:B3913,B3913)&gt;1,"Duplicado","Único")</f>
        <v>Único</v>
      </c>
    </row>
    <row r="3914" spans="1:5" hidden="1" x14ac:dyDescent="0.25">
      <c r="A3914" s="15">
        <v>11630</v>
      </c>
      <c r="B3914" s="7">
        <v>94521259</v>
      </c>
      <c r="C3914" s="11">
        <v>46080.374108796299</v>
      </c>
      <c r="D3914" s="17" t="s">
        <v>3766</v>
      </c>
      <c r="E3914" t="str">
        <f>IF(COUNTIF($B$2:B3914,B3914)&gt;1,"Duplicado","Único")</f>
        <v>Duplicado</v>
      </c>
    </row>
    <row r="3915" spans="1:5" hidden="1" x14ac:dyDescent="0.25">
      <c r="A3915" s="15">
        <v>11630</v>
      </c>
      <c r="B3915" s="7">
        <v>94521259</v>
      </c>
      <c r="C3915" s="11">
        <v>46077.648425925901</v>
      </c>
      <c r="D3915" s="17" t="s">
        <v>3763</v>
      </c>
      <c r="E3915" t="str">
        <f>IF(COUNTIF($B$2:B3915,B3915)&gt;1,"Duplicado","Único")</f>
        <v>Duplicado</v>
      </c>
    </row>
    <row r="3916" spans="1:5" x14ac:dyDescent="0.25">
      <c r="A3916" s="15">
        <v>27621</v>
      </c>
      <c r="B3916" s="7">
        <v>94530881</v>
      </c>
      <c r="C3916" s="11">
        <v>45877.381817129601</v>
      </c>
      <c r="D3916" s="17" t="s">
        <v>1284</v>
      </c>
      <c r="E3916" t="str">
        <f>IF(COUNTIF($B$2:B3916,B3916)&gt;1,"Duplicado","Único")</f>
        <v>Único</v>
      </c>
    </row>
    <row r="3917" spans="1:5" x14ac:dyDescent="0.25">
      <c r="A3917" s="15">
        <v>48800</v>
      </c>
      <c r="B3917" s="7">
        <v>94534425</v>
      </c>
      <c r="C3917" s="11">
        <v>45980.360648148097</v>
      </c>
      <c r="D3917" s="17" t="s">
        <v>2579</v>
      </c>
      <c r="E3917" t="str">
        <f>IF(COUNTIF($B$2:B3917,B3917)&gt;1,"Duplicado","Único")</f>
        <v>Único</v>
      </c>
    </row>
    <row r="3918" spans="1:5" x14ac:dyDescent="0.25">
      <c r="A3918" s="15">
        <v>52839</v>
      </c>
      <c r="B3918" s="7">
        <v>9520542</v>
      </c>
      <c r="C3918" s="11">
        <v>46051.604143518503</v>
      </c>
      <c r="D3918" s="17" t="s">
        <v>3535</v>
      </c>
      <c r="E3918" t="str">
        <f>IF(COUNTIF($B$2:B3918,B3918)&gt;1,"Duplicado","Único")</f>
        <v>Único</v>
      </c>
    </row>
    <row r="3919" spans="1:5" hidden="1" x14ac:dyDescent="0.25">
      <c r="A3919" s="15">
        <v>52839</v>
      </c>
      <c r="B3919" s="7">
        <v>9520542</v>
      </c>
      <c r="C3919" s="11">
        <v>46009.389942129601</v>
      </c>
      <c r="D3919" s="17" t="s">
        <v>2973</v>
      </c>
      <c r="E3919" t="str">
        <f>IF(COUNTIF($B$2:B3919,B3919)&gt;1,"Duplicado","Único")</f>
        <v>Duplicado</v>
      </c>
    </row>
    <row r="3920" spans="1:5" x14ac:dyDescent="0.25">
      <c r="A3920" s="15">
        <v>48077</v>
      </c>
      <c r="B3920" s="7">
        <v>9530305</v>
      </c>
      <c r="C3920" s="11">
        <v>45974.396643518499</v>
      </c>
      <c r="D3920" s="17" t="s">
        <v>2495</v>
      </c>
      <c r="E3920" t="str">
        <f>IF(COUNTIF($B$2:B3920,B3920)&gt;1,"Duplicado","Único")</f>
        <v>Único</v>
      </c>
    </row>
    <row r="3921" spans="1:5" x14ac:dyDescent="0.25">
      <c r="A3921" s="15">
        <v>47937</v>
      </c>
      <c r="B3921" s="7">
        <v>96362256</v>
      </c>
      <c r="C3921" s="11">
        <v>45973.700706018499</v>
      </c>
      <c r="D3921" s="17" t="s">
        <v>2481</v>
      </c>
      <c r="E3921" t="str">
        <f>IF(COUNTIF($B$2:B3921,B3921)&gt;1,"Duplicado","Único")</f>
        <v>Único</v>
      </c>
    </row>
    <row r="3922" spans="1:5" x14ac:dyDescent="0.25">
      <c r="A3922" s="15">
        <v>30479</v>
      </c>
      <c r="B3922" s="7">
        <v>9693032</v>
      </c>
      <c r="C3922" s="11">
        <v>45895.721956018497</v>
      </c>
      <c r="D3922" s="17" t="s">
        <v>1438</v>
      </c>
      <c r="E3922" t="str">
        <f>IF(COUNTIF($B$2:B3922,B3922)&gt;1,"Duplicado","Único")</f>
        <v>Único</v>
      </c>
    </row>
    <row r="3923" spans="1:5" x14ac:dyDescent="0.25">
      <c r="A3923" s="15">
        <v>46728</v>
      </c>
      <c r="B3923" s="7">
        <v>9728845</v>
      </c>
      <c r="C3923" s="11">
        <v>45967.6965740741</v>
      </c>
      <c r="D3923" s="17" t="s">
        <v>2357</v>
      </c>
      <c r="E3923" t="str">
        <f>IF(COUNTIF($B$2:B3923,B3923)&gt;1,"Duplicado","Único")</f>
        <v>Único</v>
      </c>
    </row>
    <row r="3924" spans="1:5" x14ac:dyDescent="0.25">
      <c r="A3924" s="15">
        <v>48202</v>
      </c>
      <c r="B3924" s="7">
        <v>9771968</v>
      </c>
      <c r="C3924" s="11">
        <v>45974.454537037003</v>
      </c>
      <c r="D3924" s="17" t="s">
        <v>2509</v>
      </c>
      <c r="E3924" t="str">
        <f>IF(COUNTIF($B$2:B3924,B3924)&gt;1,"Duplicado","Único")</f>
        <v>Único</v>
      </c>
    </row>
    <row r="3925" spans="1:5" x14ac:dyDescent="0.25">
      <c r="A3925" s="15">
        <v>3927</v>
      </c>
      <c r="B3925" s="7">
        <v>98135305</v>
      </c>
      <c r="C3925" s="11">
        <v>46086.777858796297</v>
      </c>
      <c r="D3925" s="17" t="s">
        <v>3965</v>
      </c>
      <c r="E3925" t="str">
        <f>IF(COUNTIF($B$2:B3925,B3925)&gt;1,"Duplicado","Único")</f>
        <v>Único</v>
      </c>
    </row>
    <row r="3926" spans="1:5" hidden="1" x14ac:dyDescent="0.25">
      <c r="A3926" s="15">
        <v>3927</v>
      </c>
      <c r="B3926" s="7">
        <v>98135305</v>
      </c>
      <c r="C3926" s="11">
        <v>46055.464282407404</v>
      </c>
      <c r="D3926" s="17" t="s">
        <v>3601</v>
      </c>
      <c r="E3926" t="str">
        <f>IF(COUNTIF($B$2:B3926,B3926)&gt;1,"Duplicado","Único")</f>
        <v>Duplicado</v>
      </c>
    </row>
    <row r="3927" spans="1:5" x14ac:dyDescent="0.25">
      <c r="A3927" s="15">
        <v>51931</v>
      </c>
      <c r="B3927" s="7">
        <v>98389349</v>
      </c>
      <c r="C3927" s="11">
        <v>46051.435243055603</v>
      </c>
      <c r="D3927" s="17" t="s">
        <v>3455</v>
      </c>
      <c r="E3927" t="str">
        <f>IF(COUNTIF($B$2:B3927,B3927)&gt;1,"Duplicado","Único")</f>
        <v>Único</v>
      </c>
    </row>
    <row r="3928" spans="1:5" hidden="1" x14ac:dyDescent="0.25">
      <c r="A3928" s="15">
        <v>51931</v>
      </c>
      <c r="B3928" s="7">
        <v>98389349</v>
      </c>
      <c r="C3928" s="11">
        <v>46002.707361111097</v>
      </c>
      <c r="D3928" s="17" t="s">
        <v>2908</v>
      </c>
      <c r="E3928" t="str">
        <f>IF(COUNTIF($B$2:B3928,B3928)&gt;1,"Duplicado","Único")</f>
        <v>Duplicado</v>
      </c>
    </row>
    <row r="3929" spans="1:5" x14ac:dyDescent="0.25">
      <c r="A3929" s="15">
        <v>47879</v>
      </c>
      <c r="B3929" s="7">
        <v>98392271</v>
      </c>
      <c r="C3929" s="11">
        <v>45973.669004629599</v>
      </c>
      <c r="D3929" s="17" t="s">
        <v>2473</v>
      </c>
      <c r="E3929" t="str">
        <f>IF(COUNTIF($B$2:B3929,B3929)&gt;1,"Duplicado","Único")</f>
        <v>Único</v>
      </c>
    </row>
    <row r="3930" spans="1:5" x14ac:dyDescent="0.25">
      <c r="A3930" s="15">
        <v>50568</v>
      </c>
      <c r="B3930" s="7">
        <v>98397704</v>
      </c>
      <c r="C3930" s="11">
        <v>46050.643229166701</v>
      </c>
      <c r="D3930" s="17" t="s">
        <v>3352</v>
      </c>
      <c r="E3930" t="str">
        <f>IF(COUNTIF($B$2:B3930,B3930)&gt;1,"Duplicado","Único")</f>
        <v>Único</v>
      </c>
    </row>
    <row r="3931" spans="1:5" hidden="1" x14ac:dyDescent="0.25">
      <c r="A3931" s="15">
        <v>50568</v>
      </c>
      <c r="B3931" s="7">
        <v>98397704</v>
      </c>
      <c r="C3931" s="11">
        <v>45989.408449074101</v>
      </c>
      <c r="D3931" s="17" t="s">
        <v>2780</v>
      </c>
      <c r="E3931" t="str">
        <f>IF(COUNTIF($B$2:B3931,B3931)&gt;1,"Duplicado","Único")</f>
        <v>Duplicado</v>
      </c>
    </row>
    <row r="3932" spans="1:5" x14ac:dyDescent="0.25">
      <c r="A3932" s="15">
        <v>3276</v>
      </c>
      <c r="B3932" s="7">
        <v>98399258</v>
      </c>
      <c r="C3932" s="11">
        <v>46086.778333333299</v>
      </c>
      <c r="D3932" s="17" t="s">
        <v>3966</v>
      </c>
      <c r="E3932" t="str">
        <f>IF(COUNTIF($B$2:B3932,B3932)&gt;1,"Duplicado","Único")</f>
        <v>Único</v>
      </c>
    </row>
    <row r="3933" spans="1:5" hidden="1" x14ac:dyDescent="0.25">
      <c r="A3933" s="15">
        <v>3276</v>
      </c>
      <c r="B3933" s="7">
        <v>98399258</v>
      </c>
      <c r="C3933" s="11">
        <v>46055.441215277802</v>
      </c>
      <c r="D3933" s="17" t="s">
        <v>3594</v>
      </c>
      <c r="E3933" t="str">
        <f>IF(COUNTIF($B$2:B3933,B3933)&gt;1,"Duplicado","Único")</f>
        <v>Duplicado</v>
      </c>
    </row>
    <row r="3934" spans="1:5" x14ac:dyDescent="0.25">
      <c r="A3934" s="15">
        <v>18436</v>
      </c>
      <c r="B3934" s="7">
        <v>98399996</v>
      </c>
      <c r="C3934" s="11">
        <v>45803.383796296301</v>
      </c>
      <c r="D3934" s="17" t="s">
        <v>767</v>
      </c>
      <c r="E3934" t="str">
        <f>IF(COUNTIF($B$2:B3934,B3934)&gt;1,"Duplicado","Único")</f>
        <v>Único</v>
      </c>
    </row>
    <row r="3935" spans="1:5" x14ac:dyDescent="0.25">
      <c r="A3935" s="15">
        <v>30351</v>
      </c>
      <c r="B3935" s="7">
        <v>98523007</v>
      </c>
      <c r="C3935" s="11">
        <v>45901.700196759302</v>
      </c>
      <c r="D3935" s="17" t="s">
        <v>1496</v>
      </c>
      <c r="E3935" t="str">
        <f>IF(COUNTIF($B$2:B3935,B3935)&gt;1,"Duplicado","Único")</f>
        <v>Único</v>
      </c>
    </row>
    <row r="3936" spans="1:5" x14ac:dyDescent="0.25">
      <c r="A3936" s="15">
        <v>22597</v>
      </c>
      <c r="B3936" s="7">
        <v>98531392</v>
      </c>
      <c r="C3936" s="11">
        <v>45841.706678240698</v>
      </c>
      <c r="D3936" s="17" t="s">
        <v>1019</v>
      </c>
      <c r="E3936" t="str">
        <f>IF(COUNTIF($B$2:B3936,B3936)&gt;1,"Duplicado","Único")</f>
        <v>Único</v>
      </c>
    </row>
    <row r="3937" spans="1:5" x14ac:dyDescent="0.25">
      <c r="A3937" s="15">
        <v>24699</v>
      </c>
      <c r="B3937" s="7">
        <v>98569975</v>
      </c>
      <c r="C3937" s="11">
        <v>45859.378240740698</v>
      </c>
      <c r="D3937" s="17" t="s">
        <v>1092</v>
      </c>
      <c r="E3937" t="str">
        <f>IF(COUNTIF($B$2:B3937,B3937)&gt;1,"Duplicado","Único")</f>
        <v>Único</v>
      </c>
    </row>
    <row r="3938" spans="1:5" x14ac:dyDescent="0.25">
      <c r="A3938" s="15">
        <v>31930</v>
      </c>
      <c r="B3938" s="7">
        <v>9858785</v>
      </c>
      <c r="C3938" s="11">
        <v>45905.667962963002</v>
      </c>
      <c r="D3938" s="17" t="s">
        <v>1574</v>
      </c>
      <c r="E3938" t="str">
        <f>IF(COUNTIF($B$2:B3938,B3938)&gt;1,"Duplicado","Único")</f>
        <v>Único</v>
      </c>
    </row>
    <row r="3939" spans="1:5" x14ac:dyDescent="0.25">
      <c r="A3939" s="15">
        <v>1330</v>
      </c>
      <c r="B3939" s="7">
        <v>98600573</v>
      </c>
      <c r="C3939" s="11">
        <v>46086.661099536999</v>
      </c>
      <c r="D3939" s="17" t="s">
        <v>3859</v>
      </c>
      <c r="E3939" t="str">
        <f>IF(COUNTIF($B$2:B3939,B3939)&gt;1,"Duplicado","Único")</f>
        <v>Único</v>
      </c>
    </row>
    <row r="3940" spans="1:5" hidden="1" x14ac:dyDescent="0.25">
      <c r="A3940" s="15">
        <v>1330</v>
      </c>
      <c r="B3940" s="7">
        <v>98600573</v>
      </c>
      <c r="C3940" s="11">
        <v>46036.481921296298</v>
      </c>
      <c r="D3940" s="17" t="s">
        <v>3170</v>
      </c>
      <c r="E3940" t="str">
        <f>IF(COUNTIF($B$2:B3940,B3940)&gt;1,"Duplicado","Único")</f>
        <v>Duplicado</v>
      </c>
    </row>
    <row r="3941" spans="1:5" x14ac:dyDescent="0.25">
      <c r="A3941" s="15">
        <v>52370</v>
      </c>
      <c r="B3941" s="7">
        <v>98616070</v>
      </c>
      <c r="C3941" s="11">
        <v>46057.345486111102</v>
      </c>
      <c r="D3941" s="17" t="s">
        <v>3626</v>
      </c>
      <c r="E3941" t="str">
        <f>IF(COUNTIF($B$2:B3941,B3941)&gt;1,"Duplicado","Único")</f>
        <v>Único</v>
      </c>
    </row>
    <row r="3942" spans="1:5" hidden="1" x14ac:dyDescent="0.25">
      <c r="A3942" s="15">
        <v>52370</v>
      </c>
      <c r="B3942" s="7">
        <v>98616070</v>
      </c>
      <c r="C3942" s="11">
        <v>46009.643553240698</v>
      </c>
      <c r="D3942" s="17" t="s">
        <v>2989</v>
      </c>
      <c r="E3942" t="str">
        <f>IF(COUNTIF($B$2:B3942,B3942)&gt;1,"Duplicado","Único")</f>
        <v>Duplicado</v>
      </c>
    </row>
    <row r="3943" spans="1:5" x14ac:dyDescent="0.25">
      <c r="A3943" s="15">
        <v>20403</v>
      </c>
      <c r="B3943" s="7">
        <v>98631845</v>
      </c>
      <c r="C3943" s="11">
        <v>45834.409571759301</v>
      </c>
      <c r="D3943" s="17" t="s">
        <v>965</v>
      </c>
      <c r="E3943" t="str">
        <f>IF(COUNTIF($B$2:B3943,B3943)&gt;1,"Duplicado","Único")</f>
        <v>Único</v>
      </c>
    </row>
    <row r="3944" spans="1:5" hidden="1" x14ac:dyDescent="0.25">
      <c r="A3944" s="15">
        <v>20403</v>
      </c>
      <c r="B3944" s="7">
        <v>98631845</v>
      </c>
      <c r="C3944" s="11">
        <v>45820.464247685202</v>
      </c>
      <c r="D3944" s="17" t="s">
        <v>884</v>
      </c>
      <c r="E3944" t="str">
        <f>IF(COUNTIF($B$2:B3944,B3944)&gt;1,"Duplicado","Único")</f>
        <v>Duplicado</v>
      </c>
    </row>
    <row r="3945" spans="1:5" x14ac:dyDescent="0.25">
      <c r="A3945" s="15">
        <v>51013</v>
      </c>
      <c r="B3945" s="7">
        <v>98636181</v>
      </c>
      <c r="C3945" s="11">
        <v>46050.685752314799</v>
      </c>
      <c r="D3945" s="17" t="s">
        <v>3404</v>
      </c>
      <c r="E3945" t="str">
        <f>IF(COUNTIF($B$2:B3945,B3945)&gt;1,"Duplicado","Único")</f>
        <v>Único</v>
      </c>
    </row>
    <row r="3946" spans="1:5" hidden="1" x14ac:dyDescent="0.25">
      <c r="A3946" s="15">
        <v>51013</v>
      </c>
      <c r="B3946" s="7">
        <v>98636181</v>
      </c>
      <c r="C3946" s="11">
        <v>46000.623263888898</v>
      </c>
      <c r="D3946" s="17" t="s">
        <v>2839</v>
      </c>
      <c r="E3946" t="str">
        <f>IF(COUNTIF($B$2:B3946,B3946)&gt;1,"Duplicado","Único")</f>
        <v>Duplicado</v>
      </c>
    </row>
    <row r="3947" spans="1:5" x14ac:dyDescent="0.25">
      <c r="A3947" s="15">
        <v>27722</v>
      </c>
      <c r="B3947" s="7">
        <v>98638610</v>
      </c>
      <c r="C3947" s="11">
        <v>45877.523136574098</v>
      </c>
      <c r="D3947" s="17" t="s">
        <v>1294</v>
      </c>
      <c r="E3947" t="str">
        <f>IF(COUNTIF($B$2:B3947,B3947)&gt;1,"Duplicado","Único")</f>
        <v>Único</v>
      </c>
    </row>
    <row r="3948" spans="1:5" x14ac:dyDescent="0.25">
      <c r="A3948" s="15">
        <v>38892</v>
      </c>
      <c r="B3948" s="7">
        <v>98647520</v>
      </c>
      <c r="C3948" s="11">
        <v>45929.429537037002</v>
      </c>
      <c r="D3948" s="17" t="s">
        <v>1858</v>
      </c>
      <c r="E3948" t="str">
        <f>IF(COUNTIF($B$2:B3948,B3948)&gt;1,"Duplicado","Único")</f>
        <v>Único</v>
      </c>
    </row>
    <row r="3949" spans="1:5" x14ac:dyDescent="0.25">
      <c r="A3949" s="15">
        <v>17133</v>
      </c>
      <c r="B3949" s="7">
        <v>98662898</v>
      </c>
      <c r="C3949" s="11">
        <v>46149.451932870397</v>
      </c>
      <c r="D3949" s="17" t="s">
        <v>4489</v>
      </c>
      <c r="E3949" t="str">
        <f>IF(COUNTIF($B$2:B3949,B3949)&gt;1,"Duplicado","Único")</f>
        <v>Único</v>
      </c>
    </row>
    <row r="3950" spans="1:5" hidden="1" x14ac:dyDescent="0.25">
      <c r="A3950" s="15">
        <v>17133</v>
      </c>
      <c r="B3950" s="7">
        <v>98662898</v>
      </c>
      <c r="C3950" s="11">
        <v>46108.5065509259</v>
      </c>
      <c r="D3950" s="17" t="s">
        <v>4208</v>
      </c>
      <c r="E3950" t="str">
        <f>IF(COUNTIF($B$2:B3950,B3950)&gt;1,"Duplicado","Único")</f>
        <v>Duplicado</v>
      </c>
    </row>
    <row r="3951" spans="1:5" hidden="1" x14ac:dyDescent="0.25">
      <c r="A3951" s="15">
        <v>20289</v>
      </c>
      <c r="B3951" s="7">
        <v>98662898</v>
      </c>
      <c r="C3951" s="11">
        <v>45820.369328703702</v>
      </c>
      <c r="D3951" s="17" t="s">
        <v>875</v>
      </c>
      <c r="E3951" t="str">
        <f>IF(COUNTIF($B$2:B3951,B3951)&gt;1,"Duplicado","Único")</f>
        <v>Duplicado</v>
      </c>
    </row>
    <row r="3952" spans="1:5" x14ac:dyDescent="0.25">
      <c r="A3952" s="15">
        <v>48345</v>
      </c>
      <c r="B3952" s="7">
        <v>98663877</v>
      </c>
      <c r="C3952" s="11">
        <v>45979.364247685196</v>
      </c>
      <c r="D3952" s="17" t="s">
        <v>2543</v>
      </c>
      <c r="E3952" t="str">
        <f>IF(COUNTIF($B$2:B3952,B3952)&gt;1,"Duplicado","Único")</f>
        <v>Único</v>
      </c>
    </row>
    <row r="3953" spans="1:5" hidden="1" x14ac:dyDescent="0.25">
      <c r="A3953" s="15">
        <v>25672</v>
      </c>
      <c r="B3953" s="7">
        <v>98663877</v>
      </c>
      <c r="C3953" s="11">
        <v>45891.4216087963</v>
      </c>
      <c r="D3953" s="17" t="s">
        <v>1381</v>
      </c>
      <c r="E3953" t="str">
        <f>IF(COUNTIF($B$2:B3953,B3953)&gt;1,"Duplicado","Único")</f>
        <v>Duplicado</v>
      </c>
    </row>
    <row r="3954" spans="1:5" hidden="1" x14ac:dyDescent="0.25">
      <c r="A3954" s="15">
        <v>25672</v>
      </c>
      <c r="B3954" s="7">
        <v>98663877</v>
      </c>
      <c r="C3954" s="11">
        <v>45866.589490740698</v>
      </c>
      <c r="D3954" s="17" t="s">
        <v>1143</v>
      </c>
      <c r="E3954" t="str">
        <f>IF(COUNTIF($B$2:B3954,B3954)&gt;1,"Duplicado","Único")</f>
        <v>Duplicado</v>
      </c>
    </row>
    <row r="3955" spans="1:5" x14ac:dyDescent="0.25">
      <c r="A3955" s="15">
        <v>54662</v>
      </c>
      <c r="B3955" s="7">
        <v>98665047</v>
      </c>
      <c r="C3955" s="11">
        <v>46086.457013888903</v>
      </c>
      <c r="D3955" s="17" t="s">
        <v>3793</v>
      </c>
      <c r="E3955" t="str">
        <f>IF(COUNTIF($B$2:B3955,B3955)&gt;1,"Duplicado","Único")</f>
        <v>Único</v>
      </c>
    </row>
    <row r="3956" spans="1:5" hidden="1" x14ac:dyDescent="0.25">
      <c r="A3956" s="15">
        <v>54662</v>
      </c>
      <c r="B3956" s="7">
        <v>98665047</v>
      </c>
      <c r="C3956" s="11">
        <v>46020.596550925897</v>
      </c>
      <c r="D3956" s="17" t="s">
        <v>3097</v>
      </c>
      <c r="E3956" t="str">
        <f>IF(COUNTIF($B$2:B3956,B3956)&gt;1,"Duplicado","Único")</f>
        <v>Duplicado</v>
      </c>
    </row>
    <row r="3957" spans="1:5" x14ac:dyDescent="0.25">
      <c r="A3957" s="15">
        <v>6525</v>
      </c>
      <c r="B3957" s="7">
        <v>98667792</v>
      </c>
      <c r="C3957" s="11">
        <v>46073.373530092598</v>
      </c>
      <c r="D3957" s="17" t="s">
        <v>3762</v>
      </c>
      <c r="E3957" t="str">
        <f>IF(COUNTIF($B$2:B3957,B3957)&gt;1,"Duplicado","Único")</f>
        <v>Único</v>
      </c>
    </row>
    <row r="3958" spans="1:5" hidden="1" x14ac:dyDescent="0.25">
      <c r="A3958" s="15">
        <v>6525</v>
      </c>
      <c r="B3958" s="7">
        <v>98667792</v>
      </c>
      <c r="C3958" s="11">
        <v>46065.411469907398</v>
      </c>
      <c r="D3958" s="17" t="s">
        <v>3757</v>
      </c>
      <c r="E3958" t="str">
        <f>IF(COUNTIF($B$2:B3958,B3958)&gt;1,"Duplicado","Único")</f>
        <v>Duplicado</v>
      </c>
    </row>
    <row r="3959" spans="1:5" x14ac:dyDescent="0.25">
      <c r="A3959" s="15">
        <v>22435</v>
      </c>
      <c r="B3959" s="7">
        <v>98696897</v>
      </c>
      <c r="C3959" s="11">
        <v>45841.526759259301</v>
      </c>
      <c r="D3959" s="17" t="s">
        <v>1011</v>
      </c>
      <c r="E3959" t="str">
        <f>IF(COUNTIF($B$2:B3959,B3959)&gt;1,"Duplicado","Único")</f>
        <v>Único</v>
      </c>
    </row>
    <row r="3960" spans="1:5" x14ac:dyDescent="0.25">
      <c r="A3960" s="15">
        <v>28446</v>
      </c>
      <c r="B3960" s="7">
        <v>98697399</v>
      </c>
      <c r="C3960" s="11">
        <v>45888.506874999999</v>
      </c>
      <c r="D3960" s="17" t="s">
        <v>1333</v>
      </c>
      <c r="E3960" t="str">
        <f>IF(COUNTIF($B$2:B3960,B3960)&gt;1,"Duplicado","Único")</f>
        <v>Único</v>
      </c>
    </row>
    <row r="3961" spans="1:5" x14ac:dyDescent="0.25">
      <c r="A3961" s="15">
        <v>47961</v>
      </c>
      <c r="B3961" s="7">
        <v>98698598</v>
      </c>
      <c r="C3961" s="11">
        <v>45973.705567129597</v>
      </c>
      <c r="D3961" s="17" t="s">
        <v>2484</v>
      </c>
      <c r="E3961" t="str">
        <f>IF(COUNTIF($B$2:B3961,B3961)&gt;1,"Duplicado","Único")</f>
        <v>Único</v>
      </c>
    </row>
    <row r="3962" spans="1:5" x14ac:dyDescent="0.25">
      <c r="A3962" s="15">
        <v>48003</v>
      </c>
      <c r="B3962" s="7">
        <v>98704317</v>
      </c>
      <c r="C3962" s="11">
        <v>45974.3733796296</v>
      </c>
      <c r="D3962" s="17" t="s">
        <v>2486</v>
      </c>
      <c r="E3962" t="str">
        <f>IF(COUNTIF($B$2:B3962,B3962)&gt;1,"Duplicado","Único")</f>
        <v>Único</v>
      </c>
    </row>
    <row r="3963" spans="1:5" x14ac:dyDescent="0.25">
      <c r="A3963" s="15">
        <v>44610</v>
      </c>
      <c r="B3963" s="7">
        <v>98709279</v>
      </c>
      <c r="C3963" s="11">
        <v>45958.519027777802</v>
      </c>
      <c r="D3963" s="17" t="s">
        <v>2143</v>
      </c>
      <c r="E3963" t="str">
        <f>IF(COUNTIF($B$2:B3963,B3963)&gt;1,"Duplicado","Único")</f>
        <v>Único</v>
      </c>
    </row>
    <row r="3964" spans="1:5" x14ac:dyDescent="0.25">
      <c r="A3964" s="15">
        <v>18353</v>
      </c>
      <c r="B3964" s="7">
        <v>98709984</v>
      </c>
      <c r="C3964" s="11">
        <v>45800.633402777799</v>
      </c>
      <c r="D3964" s="17" t="s">
        <v>760</v>
      </c>
      <c r="E3964" t="str">
        <f>IF(COUNTIF($B$2:B3964,B3964)&gt;1,"Duplicado","Único")</f>
        <v>Único</v>
      </c>
    </row>
    <row r="3965" spans="1:5" x14ac:dyDescent="0.25">
      <c r="A3965" s="15">
        <v>1967</v>
      </c>
      <c r="B3965" s="7">
        <v>9871191</v>
      </c>
      <c r="C3965" s="11">
        <v>46086.692268518498</v>
      </c>
      <c r="D3965" s="17" t="s">
        <v>3878</v>
      </c>
      <c r="E3965" t="str">
        <f>IF(COUNTIF($B$2:B3965,B3965)&gt;1,"Duplicado","Único")</f>
        <v>Único</v>
      </c>
    </row>
    <row r="3966" spans="1:5" hidden="1" x14ac:dyDescent="0.25">
      <c r="A3966" s="15">
        <v>1967</v>
      </c>
      <c r="B3966" s="7">
        <v>9871191</v>
      </c>
      <c r="C3966" s="11">
        <v>46048.628946759301</v>
      </c>
      <c r="D3966" s="17" t="s">
        <v>3204</v>
      </c>
      <c r="E3966" t="str">
        <f>IF(COUNTIF($B$2:B3966,B3966)&gt;1,"Duplicado","Único")</f>
        <v>Duplicado</v>
      </c>
    </row>
    <row r="3967" spans="1:5" x14ac:dyDescent="0.25">
      <c r="A3967" s="15">
        <v>54169</v>
      </c>
      <c r="B3967" s="7">
        <v>9873829</v>
      </c>
      <c r="C3967" s="11">
        <v>46057.356365740699</v>
      </c>
      <c r="D3967" s="17" t="s">
        <v>3640</v>
      </c>
      <c r="E3967" t="str">
        <f>IF(COUNTIF($B$2:B3967,B3967)&gt;1,"Duplicado","Único")</f>
        <v>Único</v>
      </c>
    </row>
    <row r="3968" spans="1:5" hidden="1" x14ac:dyDescent="0.25">
      <c r="A3968" s="15">
        <v>54169</v>
      </c>
      <c r="B3968" s="7">
        <v>9873829</v>
      </c>
      <c r="C3968" s="11">
        <v>46013.676770833299</v>
      </c>
      <c r="D3968" s="17" t="s">
        <v>3064</v>
      </c>
      <c r="E3968" t="str">
        <f>IF(COUNTIF($B$2:B3968,B3968)&gt;1,"Duplicado","Único")</f>
        <v>Duplicado</v>
      </c>
    </row>
    <row r="3969" spans="1:5" x14ac:dyDescent="0.25">
      <c r="A3969" s="15">
        <v>16553</v>
      </c>
      <c r="B3969" s="7">
        <v>98762001</v>
      </c>
      <c r="C3969" s="11">
        <v>46121.443587962996</v>
      </c>
      <c r="D3969" s="17" t="s">
        <v>4380</v>
      </c>
      <c r="E3969" t="str">
        <f>IF(COUNTIF($B$2:B3969,B3969)&gt;1,"Duplicado","Único")</f>
        <v>Único</v>
      </c>
    </row>
    <row r="3970" spans="1:5" hidden="1" x14ac:dyDescent="0.25">
      <c r="A3970" s="15">
        <v>16553</v>
      </c>
      <c r="B3970" s="7">
        <v>98762001</v>
      </c>
      <c r="C3970" s="11">
        <v>46101.646689814799</v>
      </c>
      <c r="D3970" s="17" t="s">
        <v>4103</v>
      </c>
      <c r="E3970" t="str">
        <f>IF(COUNTIF($B$2:B3970,B3970)&gt;1,"Duplicado","Único")</f>
        <v>Duplicado</v>
      </c>
    </row>
    <row r="3971" spans="1:5" x14ac:dyDescent="0.25">
      <c r="A3971" s="15">
        <v>37032</v>
      </c>
      <c r="B3971" s="7">
        <v>98765398</v>
      </c>
      <c r="C3971" s="11">
        <v>45922.381921296299</v>
      </c>
      <c r="D3971" s="17" t="s">
        <v>1774</v>
      </c>
      <c r="E3971" t="str">
        <f>IF(COUNTIF($B$2:B3971,B3971)&gt;1,"Duplicado","Único")</f>
        <v>Único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Base</vt:lpstr>
      <vt:lpstr>Base LT</vt:lpstr>
      <vt:lpstr>Resoluciones 1 (Res)</vt:lpstr>
      <vt:lpstr>Resoluciones 2 (Req)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Duvan Fabian Sanchez Vargas</dc:creator>
  <cp:lastModifiedBy>Alexis Alejandro Reyes Camargo</cp:lastModifiedBy>
  <dcterms:created xsi:type="dcterms:W3CDTF">2026-04-13T15:14:52Z</dcterms:created>
  <dcterms:modified xsi:type="dcterms:W3CDTF">2026-06-12T17:23:28Z</dcterms:modified>
</cp:coreProperties>
</file>